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E\Desktop\"/>
    </mc:Choice>
  </mc:AlternateContent>
  <xr:revisionPtr revIDLastSave="0" documentId="13_ncr:1_{2DECA022-76DA-4534-9780-AB6CFE2343C0}" xr6:coauthVersionLast="47" xr6:coauthVersionMax="47" xr10:uidLastSave="{00000000-0000-0000-0000-000000000000}"/>
  <bookViews>
    <workbookView xWindow="-120" yWindow="-120" windowWidth="20730" windowHeight="11160" activeTab="3" xr2:uid="{CE0275EB-A9E9-4B1B-A7C5-986155E693F7}"/>
  </bookViews>
  <sheets>
    <sheet name="products" sheetId="4" r:id="rId1"/>
    <sheet name="Pivottable" sheetId="7" r:id="rId2"/>
    <sheet name="orders" sheetId="3" r:id="rId3"/>
    <sheet name="marketing_spend" sheetId="2" r:id="rId4"/>
  </sheets>
  <definedNames>
    <definedName name="ExternalData_1" localSheetId="3" hidden="1">marketing_spend!$A$1:$J$145</definedName>
    <definedName name="ExternalData_2" localSheetId="2" hidden="1">orders!$A$1:$T$2003</definedName>
    <definedName name="ExternalData_3" localSheetId="0" hidden="1">products!$A$1:$I$208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5" i="2" l="1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4" i="3"/>
  <c r="U2" i="3"/>
  <c r="U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F56351-2856-4901-9DF6-5A83559F477D}" keepAlive="1" name="Query - marketing_spend" description="Connection to the 'marketing_spend' query in the workbook." type="5" refreshedVersion="8" background="1" saveData="1">
    <dbPr connection="Provider=Microsoft.Mashup.OleDb.1;Data Source=$Workbook$;Location=marketing_spend;Extended Properties=&quot;&quot;" command="SELECT * FROM [marketing_spend]"/>
  </connection>
  <connection id="2" xr16:uid="{B179499A-9EE2-4FF9-8B41-30516C67611E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0688966D-3F88-4DA9-A4CF-71ECC4A6F516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<sst xmlns="http://schemas.openxmlformats.org/spreadsheetml/2006/main" count="15234" uniqueCount="3278">
  <si>
    <t>month</t>
  </si>
  <si>
    <t>platform</t>
  </si>
  <si>
    <t>spend</t>
  </si>
  <si>
    <t>impressions</t>
  </si>
  <si>
    <t>clicks</t>
  </si>
  <si>
    <t>conversions</t>
  </si>
  <si>
    <t>revenue_attributed</t>
  </si>
  <si>
    <t>cpc</t>
  </si>
  <si>
    <t>cpa</t>
  </si>
  <si>
    <t>roas</t>
  </si>
  <si>
    <t>Google Ads</t>
  </si>
  <si>
    <t>Facebook Ads</t>
  </si>
  <si>
    <t>Instagram Ads</t>
  </si>
  <si>
    <t>TikTok Ads</t>
  </si>
  <si>
    <t>Email Marketing</t>
  </si>
  <si>
    <t>Influencer</t>
  </si>
  <si>
    <t>order_id</t>
  </si>
  <si>
    <t>customer_id</t>
  </si>
  <si>
    <t>order_date</t>
  </si>
  <si>
    <t>channel</t>
  </si>
  <si>
    <t>payment_method</t>
  </si>
  <si>
    <t>region</t>
  </si>
  <si>
    <t>items_ordered</t>
  </si>
  <si>
    <t>primary_category</t>
  </si>
  <si>
    <t>gross_revenue</t>
  </si>
  <si>
    <t>discount_pct</t>
  </si>
  <si>
    <t>discount_amount</t>
  </si>
  <si>
    <t>shipping_cost</t>
  </si>
  <si>
    <t>product_cost</t>
  </si>
  <si>
    <t>platform_fee</t>
  </si>
  <si>
    <t>transaction_fee</t>
  </si>
  <si>
    <t>returned</t>
  </si>
  <si>
    <t>refund_amount</t>
  </si>
  <si>
    <t>net_revenue</t>
  </si>
  <si>
    <t>total_costs</t>
  </si>
  <si>
    <t>profit</t>
  </si>
  <si>
    <t>ORD-000001</t>
  </si>
  <si>
    <t>C-0617</t>
  </si>
  <si>
    <t>Mobile App</t>
  </si>
  <si>
    <t>Gift Card</t>
  </si>
  <si>
    <t>Northeast</t>
  </si>
  <si>
    <t>Electronics</t>
  </si>
  <si>
    <t>No</t>
  </si>
  <si>
    <t>ORD-000002</t>
  </si>
  <si>
    <t>C-0720</t>
  </si>
  <si>
    <t>Website</t>
  </si>
  <si>
    <t>Credit Card</t>
  </si>
  <si>
    <t>Midwest</t>
  </si>
  <si>
    <t>Beauty</t>
  </si>
  <si>
    <t>ORD-000003</t>
  </si>
  <si>
    <t>C-0189</t>
  </si>
  <si>
    <t>Southeast</t>
  </si>
  <si>
    <t>Toys</t>
  </si>
  <si>
    <t>ORD-000004</t>
  </si>
  <si>
    <t>C-0058</t>
  </si>
  <si>
    <t>Debit Card</t>
  </si>
  <si>
    <t>Sports</t>
  </si>
  <si>
    <t>ORD-000005</t>
  </si>
  <si>
    <t>C-0580</t>
  </si>
  <si>
    <t>Marketplace</t>
  </si>
  <si>
    <t>ORD-000006</t>
  </si>
  <si>
    <t>C-0678</t>
  </si>
  <si>
    <t>ORD-000007</t>
  </si>
  <si>
    <t>C-0484</t>
  </si>
  <si>
    <t>Clothing</t>
  </si>
  <si>
    <t>ORD-000008</t>
  </si>
  <si>
    <t>C-0715</t>
  </si>
  <si>
    <t>Buy Now Pay Later</t>
  </si>
  <si>
    <t>Yes</t>
  </si>
  <si>
    <t>ORD-000009</t>
  </si>
  <si>
    <t>C-0221</t>
  </si>
  <si>
    <t>PayPal</t>
  </si>
  <si>
    <t>ORD-000010</t>
  </si>
  <si>
    <t>C-0726</t>
  </si>
  <si>
    <t>Food &amp; Beverage</t>
  </si>
  <si>
    <t>ORD-000011</t>
  </si>
  <si>
    <t>C-0413</t>
  </si>
  <si>
    <t>Books</t>
  </si>
  <si>
    <t>ORD-000012</t>
  </si>
  <si>
    <t>C-0759</t>
  </si>
  <si>
    <t>Social Commerce</t>
  </si>
  <si>
    <t>ORD-000013</t>
  </si>
  <si>
    <t>C-0090</t>
  </si>
  <si>
    <t>ORD-000014</t>
  </si>
  <si>
    <t>C-0632</t>
  </si>
  <si>
    <t>West Coast</t>
  </si>
  <si>
    <t>ORD-000015</t>
  </si>
  <si>
    <t>C-0777</t>
  </si>
  <si>
    <t>ORD-000016</t>
  </si>
  <si>
    <t>C-0559</t>
  </si>
  <si>
    <t>ORD-000017</t>
  </si>
  <si>
    <t>C-0608</t>
  </si>
  <si>
    <t>ORD-000018</t>
  </si>
  <si>
    <t>C-0639</t>
  </si>
  <si>
    <t>Southwest</t>
  </si>
  <si>
    <t>ORD-000019</t>
  </si>
  <si>
    <t>C-0600</t>
  </si>
  <si>
    <t>ORD-000020</t>
  </si>
  <si>
    <t>C-0309</t>
  </si>
  <si>
    <t>ORD-000021</t>
  </si>
  <si>
    <t>C-0392</t>
  </si>
  <si>
    <t>ORD-000022</t>
  </si>
  <si>
    <t>C-0208</t>
  </si>
  <si>
    <t>ORD-000023</t>
  </si>
  <si>
    <t>C-0162</t>
  </si>
  <si>
    <t>ORD-000024</t>
  </si>
  <si>
    <t>C-0634</t>
  </si>
  <si>
    <t>ORD-000025</t>
  </si>
  <si>
    <t>C-0334</t>
  </si>
  <si>
    <t>ORD-000026</t>
  </si>
  <si>
    <t>C-0569</t>
  </si>
  <si>
    <t>Home &amp; Kitchen</t>
  </si>
  <si>
    <t>ORD-000027</t>
  </si>
  <si>
    <t>C-0095</t>
  </si>
  <si>
    <t>ORD-000028</t>
  </si>
  <si>
    <t>C-0085</t>
  </si>
  <si>
    <t>ORD-000029</t>
  </si>
  <si>
    <t>C-0436</t>
  </si>
  <si>
    <t>ORD-000030</t>
  </si>
  <si>
    <t>C-0053</t>
  </si>
  <si>
    <t>ORD-000031</t>
  </si>
  <si>
    <t>C-0605</t>
  </si>
  <si>
    <t>ORD-000032</t>
  </si>
  <si>
    <t>C-0535</t>
  </si>
  <si>
    <t>ORD-000033</t>
  </si>
  <si>
    <t>C-0667</t>
  </si>
  <si>
    <t>ORD-000034</t>
  </si>
  <si>
    <t>C-0342</t>
  </si>
  <si>
    <t>ORD-000035</t>
  </si>
  <si>
    <t>C-0021</t>
  </si>
  <si>
    <t>ORD-000036</t>
  </si>
  <si>
    <t>C-0479</t>
  </si>
  <si>
    <t>ORD-000037</t>
  </si>
  <si>
    <t>C-0711</t>
  </si>
  <si>
    <t>ORD-000038</t>
  </si>
  <si>
    <t>ORD-000039</t>
  </si>
  <si>
    <t>C-0150</t>
  </si>
  <si>
    <t>ORD-000040</t>
  </si>
  <si>
    <t>C-0471</t>
  </si>
  <si>
    <t>ORD-000041</t>
  </si>
  <si>
    <t>C-0006</t>
  </si>
  <si>
    <t>ORD-000042</t>
  </si>
  <si>
    <t>ORD-000043</t>
  </si>
  <si>
    <t>C-0633</t>
  </si>
  <si>
    <t>ORD-000044</t>
  </si>
  <si>
    <t>C-0483</t>
  </si>
  <si>
    <t>ORD-000045</t>
  </si>
  <si>
    <t>C-0746</t>
  </si>
  <si>
    <t>ORD-000046</t>
  </si>
  <si>
    <t>C-0204</t>
  </si>
  <si>
    <t>ORD-000047</t>
  </si>
  <si>
    <t>C-0734</t>
  </si>
  <si>
    <t>ORD-000048</t>
  </si>
  <si>
    <t>C-0202</t>
  </si>
  <si>
    <t>ORD-000049</t>
  </si>
  <si>
    <t>C-0229</t>
  </si>
  <si>
    <t>ORD-000050</t>
  </si>
  <si>
    <t>C-0169</t>
  </si>
  <si>
    <t>ORD-000051</t>
  </si>
  <si>
    <t>C-0550</t>
  </si>
  <si>
    <t>ORD-000052</t>
  </si>
  <si>
    <t>C-0207</t>
  </si>
  <si>
    <t>ORD-000053</t>
  </si>
  <si>
    <t>C-0247</t>
  </si>
  <si>
    <t>ORD-000054</t>
  </si>
  <si>
    <t>C-0378</t>
  </si>
  <si>
    <t>ORD-000055</t>
  </si>
  <si>
    <t>ORD-000056</t>
  </si>
  <si>
    <t>C-0583</t>
  </si>
  <si>
    <t>ORD-000057</t>
  </si>
  <si>
    <t>C-0246</t>
  </si>
  <si>
    <t>ORD-000058</t>
  </si>
  <si>
    <t>C-0282</t>
  </si>
  <si>
    <t>ORD-000059</t>
  </si>
  <si>
    <t>C-0123</t>
  </si>
  <si>
    <t>ORD-000060</t>
  </si>
  <si>
    <t>C-0168</t>
  </si>
  <si>
    <t>ORD-000061</t>
  </si>
  <si>
    <t>ORD-000062</t>
  </si>
  <si>
    <t>ORD-000063</t>
  </si>
  <si>
    <t>C-0584</t>
  </si>
  <si>
    <t>ORD-000064</t>
  </si>
  <si>
    <t>C-0697</t>
  </si>
  <si>
    <t>ORD-000065</t>
  </si>
  <si>
    <t>C-0326</t>
  </si>
  <si>
    <t>ORD-000066</t>
  </si>
  <si>
    <t>C-0118</t>
  </si>
  <si>
    <t>ORD-000067</t>
  </si>
  <si>
    <t>C-0273</t>
  </si>
  <si>
    <t>ORD-000068</t>
  </si>
  <si>
    <t>ORD-000069</t>
  </si>
  <si>
    <t>C-0188</t>
  </si>
  <si>
    <t>ORD-000070</t>
  </si>
  <si>
    <t>C-0635</t>
  </si>
  <si>
    <t>ORD-000071</t>
  </si>
  <si>
    <t>C-0774</t>
  </si>
  <si>
    <t>ORD-000072</t>
  </si>
  <si>
    <t>C-0321</t>
  </si>
  <si>
    <t>ORD-000073</t>
  </si>
  <si>
    <t>C-0507</t>
  </si>
  <si>
    <t>ORD-000074</t>
  </si>
  <si>
    <t>C-0341</t>
  </si>
  <si>
    <t>ORD-000075</t>
  </si>
  <si>
    <t>C-0223</t>
  </si>
  <si>
    <t>ORD-000076</t>
  </si>
  <si>
    <t>C-0071</t>
  </si>
  <si>
    <t>ORD-000077</t>
  </si>
  <si>
    <t>C-0022</t>
  </si>
  <si>
    <t>ORD-000078</t>
  </si>
  <si>
    <t>C-0664</t>
  </si>
  <si>
    <t>ORD-000079</t>
  </si>
  <si>
    <t>C-0661</t>
  </si>
  <si>
    <t>ORD-000080</t>
  </si>
  <si>
    <t>C-0506</t>
  </si>
  <si>
    <t>ORD-000081</t>
  </si>
  <si>
    <t>C-0008</t>
  </si>
  <si>
    <t>ORD-000082</t>
  </si>
  <si>
    <t>C-0329</t>
  </si>
  <si>
    <t>ORD-000083</t>
  </si>
  <si>
    <t>C-0721</t>
  </si>
  <si>
    <t>ORD-000084</t>
  </si>
  <si>
    <t>C-0130</t>
  </si>
  <si>
    <t>ORD-000085</t>
  </si>
  <si>
    <t>C-0114</t>
  </si>
  <si>
    <t>ORD-000086</t>
  </si>
  <si>
    <t>C-0117</t>
  </si>
  <si>
    <t>ORD-000087</t>
  </si>
  <si>
    <t>C-0271</t>
  </si>
  <si>
    <t>ORD-000088</t>
  </si>
  <si>
    <t>C-0623</t>
  </si>
  <si>
    <t>ORD-000089</t>
  </si>
  <si>
    <t>C-0730</t>
  </si>
  <si>
    <t>ORD-000090</t>
  </si>
  <si>
    <t>ORD-000091</t>
  </si>
  <si>
    <t>ORD-000092</t>
  </si>
  <si>
    <t>C-0301</t>
  </si>
  <si>
    <t>ORD-000093</t>
  </si>
  <si>
    <t>C-0646</t>
  </si>
  <si>
    <t>ORD-000094</t>
  </si>
  <si>
    <t>C-0740</t>
  </si>
  <si>
    <t>ORD-000095</t>
  </si>
  <si>
    <t>C-0680</t>
  </si>
  <si>
    <t>ORD-000096</t>
  </si>
  <si>
    <t>C-0410</t>
  </si>
  <si>
    <t>ORD-000097</t>
  </si>
  <si>
    <t>C-0039</t>
  </si>
  <si>
    <t>ORD-000098</t>
  </si>
  <si>
    <t>ORD-000099</t>
  </si>
  <si>
    <t>ORD-000100</t>
  </si>
  <si>
    <t>C-0368</t>
  </si>
  <si>
    <t>ORD-000101</t>
  </si>
  <si>
    <t>C-0598</t>
  </si>
  <si>
    <t>ORD-000102</t>
  </si>
  <si>
    <t>C-0742</t>
  </si>
  <si>
    <t>ORD-000103</t>
  </si>
  <si>
    <t>C-0478</t>
  </si>
  <si>
    <t>ORD-000104</t>
  </si>
  <si>
    <t>C-0731</t>
  </si>
  <si>
    <t>ORD-000105</t>
  </si>
  <si>
    <t>C-0224</t>
  </si>
  <si>
    <t>ORD-000106</t>
  </si>
  <si>
    <t>ORD-000107</t>
  </si>
  <si>
    <t>C-0200</t>
  </si>
  <si>
    <t>ORD-000108</t>
  </si>
  <si>
    <t>C-0044</t>
  </si>
  <si>
    <t>ORD-000109</t>
  </si>
  <si>
    <t>ORD-000110</t>
  </si>
  <si>
    <t>C-0442</t>
  </si>
  <si>
    <t>ORD-000111</t>
  </si>
  <si>
    <t>C-0784</t>
  </si>
  <si>
    <t>ORD-000112</t>
  </si>
  <si>
    <t>C-0665</t>
  </si>
  <si>
    <t>ORD-000113</t>
  </si>
  <si>
    <t>ORD-000114</t>
  </si>
  <si>
    <t>C-0489</t>
  </si>
  <si>
    <t>ORD-000115</t>
  </si>
  <si>
    <t>C-0513</t>
  </si>
  <si>
    <t>ORD-000116</t>
  </si>
  <si>
    <t>C-0511</t>
  </si>
  <si>
    <t>ORD-000117</t>
  </si>
  <si>
    <t>C-0482</t>
  </si>
  <si>
    <t>ORD-000118</t>
  </si>
  <si>
    <t>ORD-000119</t>
  </si>
  <si>
    <t>C-0438</t>
  </si>
  <si>
    <t>ORD-000120</t>
  </si>
  <si>
    <t>C-0075</t>
  </si>
  <si>
    <t>ORD-000121</t>
  </si>
  <si>
    <t>C-0243</t>
  </si>
  <si>
    <t>ORD-000122</t>
  </si>
  <si>
    <t>C-0115</t>
  </si>
  <si>
    <t>ORD-000123</t>
  </si>
  <si>
    <t>C-0676</t>
  </si>
  <si>
    <t>ORD-000124</t>
  </si>
  <si>
    <t>C-0519</t>
  </si>
  <si>
    <t>ORD-000125</t>
  </si>
  <si>
    <t>C-0350</t>
  </si>
  <si>
    <t>ORD-000126</t>
  </si>
  <si>
    <t>C-0148</t>
  </si>
  <si>
    <t>ORD-000127</t>
  </si>
  <si>
    <t>C-0266</t>
  </si>
  <si>
    <t>ORD-000128</t>
  </si>
  <si>
    <t>C-0467</t>
  </si>
  <si>
    <t>ORD-000129</t>
  </si>
  <si>
    <t>C-0594</t>
  </si>
  <si>
    <t>ORD-000130</t>
  </si>
  <si>
    <t>C-0315</t>
  </si>
  <si>
    <t>ORD-000131</t>
  </si>
  <si>
    <t>C-0348</t>
  </si>
  <si>
    <t>ORD-000132</t>
  </si>
  <si>
    <t>C-0590</t>
  </si>
  <si>
    <t>ORD-000133</t>
  </si>
  <si>
    <t>ORD-000134</t>
  </si>
  <si>
    <t>C-0252</t>
  </si>
  <si>
    <t>ORD-000135</t>
  </si>
  <si>
    <t>C-0567</t>
  </si>
  <si>
    <t>ORD-000136</t>
  </si>
  <si>
    <t>C-0716</t>
  </si>
  <si>
    <t>ORD-000137</t>
  </si>
  <si>
    <t>C-0280</t>
  </si>
  <si>
    <t>ORD-000138</t>
  </si>
  <si>
    <t>C-0621</t>
  </si>
  <si>
    <t>ORD-000139</t>
  </si>
  <si>
    <t>C-0767</t>
  </si>
  <si>
    <t>ORD-000140</t>
  </si>
  <si>
    <t>C-0527</t>
  </si>
  <si>
    <t>ORD-000141</t>
  </si>
  <si>
    <t>C-0327</t>
  </si>
  <si>
    <t>ORD-000142</t>
  </si>
  <si>
    <t>ORD-000143</t>
  </si>
  <si>
    <t>ORD-000144</t>
  </si>
  <si>
    <t>C-0178</t>
  </si>
  <si>
    <t>ORD-000145</t>
  </si>
  <si>
    <t>C-0437</t>
  </si>
  <si>
    <t>ORD-000146</t>
  </si>
  <si>
    <t>C-0597</t>
  </si>
  <si>
    <t>ORD-000147</t>
  </si>
  <si>
    <t>C-0444</t>
  </si>
  <si>
    <t>ORD-000148</t>
  </si>
  <si>
    <t>C-0668</t>
  </si>
  <si>
    <t>ORD-000149</t>
  </si>
  <si>
    <t>C-0374</t>
  </si>
  <si>
    <t>ORD-000150</t>
  </si>
  <si>
    <t>C-0769</t>
  </si>
  <si>
    <t>ORD-000151</t>
  </si>
  <si>
    <t>ORD-000152</t>
  </si>
  <si>
    <t>ORD-000153</t>
  </si>
  <si>
    <t>C-0735</t>
  </si>
  <si>
    <t>ORD-000154</t>
  </si>
  <si>
    <t>C-0220</t>
  </si>
  <si>
    <t>ORD-000155</t>
  </si>
  <si>
    <t>ORD-000156</t>
  </si>
  <si>
    <t>C-0655</t>
  </si>
  <si>
    <t>ORD-000157</t>
  </si>
  <si>
    <t>C-0681</t>
  </si>
  <si>
    <t>ORD-000158</t>
  </si>
  <si>
    <t>C-0546</t>
  </si>
  <si>
    <t>ORD-000159</t>
  </si>
  <si>
    <t>C-0577</t>
  </si>
  <si>
    <t>ORD-000160</t>
  </si>
  <si>
    <t>C-0112</t>
  </si>
  <si>
    <t>ORD-000161</t>
  </si>
  <si>
    <t>C-0091</t>
  </si>
  <si>
    <t>ORD-000162</t>
  </si>
  <si>
    <t>C-0429</t>
  </si>
  <si>
    <t>ORD-000163</t>
  </si>
  <si>
    <t>C-0182</t>
  </si>
  <si>
    <t>ORD-000164</t>
  </si>
  <si>
    <t>C-0305</t>
  </si>
  <si>
    <t>ORD-000165</t>
  </si>
  <si>
    <t>ORD-000166</t>
  </si>
  <si>
    <t>C-0270</t>
  </si>
  <si>
    <t>ORD-000167</t>
  </si>
  <si>
    <t>C-0708</t>
  </si>
  <si>
    <t>ORD-000168</t>
  </si>
  <si>
    <t>C-0551</t>
  </si>
  <si>
    <t>ORD-000169</t>
  </si>
  <si>
    <t>C-0705</t>
  </si>
  <si>
    <t>ORD-000170</t>
  </si>
  <si>
    <t>C-0104</t>
  </si>
  <si>
    <t>ORD-000171</t>
  </si>
  <si>
    <t>C-0283</t>
  </si>
  <si>
    <t>ORD-000172</t>
  </si>
  <si>
    <t>C-0028</t>
  </si>
  <si>
    <t>ORD-000173</t>
  </si>
  <si>
    <t>C-0054</t>
  </si>
  <si>
    <t>ORD-000174</t>
  </si>
  <si>
    <t>C-0651</t>
  </si>
  <si>
    <t>ORD-000175</t>
  </si>
  <si>
    <t>C-0074</t>
  </si>
  <si>
    <t>ORD-000176</t>
  </si>
  <si>
    <t>C-0320</t>
  </si>
  <si>
    <t>ORD-000177</t>
  </si>
  <si>
    <t>C-0555</t>
  </si>
  <si>
    <t>ORD-000178</t>
  </si>
  <si>
    <t>C-0261</t>
  </si>
  <si>
    <t>ORD-000179</t>
  </si>
  <si>
    <t>ORD-000180</t>
  </si>
  <si>
    <t>C-0690</t>
  </si>
  <si>
    <t>ORD-000181</t>
  </si>
  <si>
    <t>ORD-000182</t>
  </si>
  <si>
    <t>C-0650</t>
  </si>
  <si>
    <t>ORD-000183</t>
  </si>
  <si>
    <t>C-0540</t>
  </si>
  <si>
    <t>ORD-000184</t>
  </si>
  <si>
    <t>C-0164</t>
  </si>
  <si>
    <t>ORD-000185</t>
  </si>
  <si>
    <t>C-0602</t>
  </si>
  <si>
    <t>ORD-000186</t>
  </si>
  <si>
    <t>C-0177</t>
  </si>
  <si>
    <t>ORD-000187</t>
  </si>
  <si>
    <t>C-0185</t>
  </si>
  <si>
    <t>ORD-000188</t>
  </si>
  <si>
    <t>C-0441</t>
  </si>
  <si>
    <t>ORD-000189</t>
  </si>
  <si>
    <t>C-0339</t>
  </si>
  <si>
    <t>ORD-000190</t>
  </si>
  <si>
    <t>C-0254</t>
  </si>
  <si>
    <t>ORD-000191</t>
  </si>
  <si>
    <t>C-0673</t>
  </si>
  <si>
    <t>ORD-000192</t>
  </si>
  <si>
    <t>C-0619</t>
  </si>
  <si>
    <t>ORD-000193</t>
  </si>
  <si>
    <t>ORD-000194</t>
  </si>
  <si>
    <t>C-0406</t>
  </si>
  <si>
    <t>ORD-000195</t>
  </si>
  <si>
    <t>C-0136</t>
  </si>
  <si>
    <t>ORD-000196</t>
  </si>
  <si>
    <t>C-0674</t>
  </si>
  <si>
    <t>ORD-000197</t>
  </si>
  <si>
    <t>C-0314</t>
  </si>
  <si>
    <t>ORD-000198</t>
  </si>
  <si>
    <t>C-0404</t>
  </si>
  <si>
    <t>ORD-000199</t>
  </si>
  <si>
    <t>C-0308</t>
  </si>
  <si>
    <t>ORD-000200</t>
  </si>
  <si>
    <t>C-0311</t>
  </si>
  <si>
    <t>ORD-000201</t>
  </si>
  <si>
    <t>C-0234</t>
  </si>
  <si>
    <t>ORD-000202</t>
  </si>
  <si>
    <t>C-0239</t>
  </si>
  <si>
    <t>ORD-000203</t>
  </si>
  <si>
    <t>ORD-000204</t>
  </si>
  <si>
    <t>ORD-000205</t>
  </si>
  <si>
    <t>C-0695</t>
  </si>
  <si>
    <t>ORD-000206</t>
  </si>
  <si>
    <t>C-0111</t>
  </si>
  <si>
    <t>ORD-000207</t>
  </si>
  <si>
    <t>C-0330</t>
  </si>
  <si>
    <t>ORD-000208</t>
  </si>
  <si>
    <t>C-0073</t>
  </si>
  <si>
    <t>ORD-000209</t>
  </si>
  <si>
    <t>C-0066</t>
  </si>
  <si>
    <t>ORD-000210</t>
  </si>
  <si>
    <t>C-0037</t>
  </si>
  <si>
    <t>ORD-000211</t>
  </si>
  <si>
    <t>C-0007</t>
  </si>
  <si>
    <t>ORD-000212</t>
  </si>
  <si>
    <t>C-0244</t>
  </si>
  <si>
    <t>ORD-000213</t>
  </si>
  <si>
    <t>C-0125</t>
  </si>
  <si>
    <t>ORD-000214</t>
  </si>
  <si>
    <t>C-0572</t>
  </si>
  <si>
    <t>ORD-000215</t>
  </si>
  <si>
    <t>C-0679</t>
  </si>
  <si>
    <t>ORD-000216</t>
  </si>
  <si>
    <t>C-0260</t>
  </si>
  <si>
    <t>ORD-000217</t>
  </si>
  <si>
    <t>C-0292</t>
  </si>
  <si>
    <t>ORD-000218</t>
  </si>
  <si>
    <t>C-0389</t>
  </si>
  <si>
    <t>ORD-000219</t>
  </si>
  <si>
    <t>C-0618</t>
  </si>
  <si>
    <t>ORD-000220</t>
  </si>
  <si>
    <t>ORD-000221</t>
  </si>
  <si>
    <t>ORD-000222</t>
  </si>
  <si>
    <t>C-0072</t>
  </si>
  <si>
    <t>ORD-000223</t>
  </si>
  <si>
    <t>C-0707</t>
  </si>
  <si>
    <t>ORD-000224</t>
  </si>
  <si>
    <t>C-0026</t>
  </si>
  <si>
    <t>ORD-000225</t>
  </si>
  <si>
    <t>C-0794</t>
  </si>
  <si>
    <t>ORD-000226</t>
  </si>
  <si>
    <t>C-0764</t>
  </si>
  <si>
    <t>ORD-000227</t>
  </si>
  <si>
    <t>C-0086</t>
  </si>
  <si>
    <t>ORD-000228</t>
  </si>
  <si>
    <t>ORD-000229</t>
  </si>
  <si>
    <t>C-0454</t>
  </si>
  <si>
    <t>ORD-000230</t>
  </si>
  <si>
    <t>C-0303</t>
  </si>
  <si>
    <t>ORD-000231</t>
  </si>
  <si>
    <t>ORD-000232</t>
  </si>
  <si>
    <t>C-0147</t>
  </si>
  <si>
    <t>ORD-000233</t>
  </si>
  <si>
    <t>ORD-000234</t>
  </si>
  <si>
    <t>C-0558</t>
  </si>
  <si>
    <t>ORD-000235</t>
  </si>
  <si>
    <t>C-0553</t>
  </si>
  <si>
    <t>ORD-000236</t>
  </si>
  <si>
    <t>C-0192</t>
  </si>
  <si>
    <t>ORD-000237</t>
  </si>
  <si>
    <t>C-0787</t>
  </si>
  <si>
    <t>ORD-000238</t>
  </si>
  <si>
    <t>ORD-000239</t>
  </si>
  <si>
    <t>C-0002</t>
  </si>
  <si>
    <t>ORD-000240</t>
  </si>
  <si>
    <t>C-0400</t>
  </si>
  <si>
    <t>ORD-000241</t>
  </si>
  <si>
    <t>C-0629</t>
  </si>
  <si>
    <t>ORD-000242</t>
  </si>
  <si>
    <t>C-0300</t>
  </si>
  <si>
    <t>ORD-000243</t>
  </si>
  <si>
    <t>ORD-000244</t>
  </si>
  <si>
    <t>ORD-000245</t>
  </si>
  <si>
    <t>C-0251</t>
  </si>
  <si>
    <t>ORD-000246</t>
  </si>
  <si>
    <t>C-0800</t>
  </si>
  <si>
    <t>ORD-000247</t>
  </si>
  <si>
    <t>ORD-000248</t>
  </si>
  <si>
    <t>C-0183</t>
  </si>
  <si>
    <t>ORD-000249</t>
  </si>
  <si>
    <t>C-0541</t>
  </si>
  <si>
    <t>ORD-000250</t>
  </si>
  <si>
    <t>C-0799</t>
  </si>
  <si>
    <t>ORD-000251</t>
  </si>
  <si>
    <t>C-0257</t>
  </si>
  <si>
    <t>ORD-000252</t>
  </si>
  <si>
    <t>C-0419</t>
  </si>
  <si>
    <t>ORD-000253</t>
  </si>
  <si>
    <t>C-0433</t>
  </si>
  <si>
    <t>ORD-000254</t>
  </si>
  <si>
    <t>C-0240</t>
  </si>
  <si>
    <t>ORD-000255</t>
  </si>
  <si>
    <t>C-0137</t>
  </si>
  <si>
    <t>ORD-000256</t>
  </si>
  <si>
    <t>C-0388</t>
  </si>
  <si>
    <t>ORD-000257</t>
  </si>
  <si>
    <t>C-0332</t>
  </si>
  <si>
    <t>ORD-000258</t>
  </si>
  <si>
    <t>C-0565</t>
  </si>
  <si>
    <t>ORD-000259</t>
  </si>
  <si>
    <t>ORD-000260</t>
  </si>
  <si>
    <t>C-0156</t>
  </si>
  <si>
    <t>ORD-000261</t>
  </si>
  <si>
    <t>ORD-000262</t>
  </si>
  <si>
    <t>ORD-000263</t>
  </si>
  <si>
    <t>C-0215</t>
  </si>
  <si>
    <t>ORD-000264</t>
  </si>
  <si>
    <t>C-0313</t>
  </si>
  <si>
    <t>ORD-000265</t>
  </si>
  <si>
    <t>ORD-000266</t>
  </si>
  <si>
    <t>C-0289</t>
  </si>
  <si>
    <t>ORD-000267</t>
  </si>
  <si>
    <t>C-0203</t>
  </si>
  <si>
    <t>ORD-000268</t>
  </si>
  <si>
    <t>ORD-000269</t>
  </si>
  <si>
    <t>C-0294</t>
  </si>
  <si>
    <t>ORD-000270</t>
  </si>
  <si>
    <t>ORD-000271</t>
  </si>
  <si>
    <t>C-0638</t>
  </si>
  <si>
    <t>ORD-000272</t>
  </si>
  <si>
    <t>C-0771</t>
  </si>
  <si>
    <t>ORD-000273</t>
  </si>
  <si>
    <t>C-0514</t>
  </si>
  <si>
    <t>ORD-000274</t>
  </si>
  <si>
    <t>C-0749</t>
  </si>
  <si>
    <t>ORD-000275</t>
  </si>
  <si>
    <t>C-0663</t>
  </si>
  <si>
    <t>ORD-000276</t>
  </si>
  <si>
    <t>C-0359</t>
  </si>
  <si>
    <t>ORD-000277</t>
  </si>
  <si>
    <t>C-0217</t>
  </si>
  <si>
    <t>ORD-000278</t>
  </si>
  <si>
    <t>C-0109</t>
  </si>
  <si>
    <t>ORD-000279</t>
  </si>
  <si>
    <t>C-0574</t>
  </si>
  <si>
    <t>ORD-000280</t>
  </si>
  <si>
    <t>C-0077</t>
  </si>
  <si>
    <t>ORD-000281</t>
  </si>
  <si>
    <t>C-0213</t>
  </si>
  <si>
    <t>ORD-000282</t>
  </si>
  <si>
    <t>ORD-000283</t>
  </si>
  <si>
    <t>C-0443</t>
  </si>
  <si>
    <t>ORD-000284</t>
  </si>
  <si>
    <t>C-0041</t>
  </si>
  <si>
    <t>ORD-000285</t>
  </si>
  <si>
    <t>C-0440</t>
  </si>
  <si>
    <t>ORD-000286</t>
  </si>
  <si>
    <t>C-0290</t>
  </si>
  <si>
    <t>ORD-000287</t>
  </si>
  <si>
    <t>C-0258</t>
  </si>
  <si>
    <t>ORD-000288</t>
  </si>
  <si>
    <t>C-0190</t>
  </si>
  <si>
    <t>ORD-000289</t>
  </si>
  <si>
    <t>C-0624</t>
  </si>
  <si>
    <t>ORD-000290</t>
  </si>
  <si>
    <t>ORD-000291</t>
  </si>
  <si>
    <t>C-0533</t>
  </si>
  <si>
    <t>ORD-000292</t>
  </si>
  <si>
    <t>ORD-000293</t>
  </si>
  <si>
    <t>ORD-000294</t>
  </si>
  <si>
    <t>ORD-000295</t>
  </si>
  <si>
    <t>C-0614</t>
  </si>
  <si>
    <t>ORD-000296</t>
  </si>
  <si>
    <t>C-0439</t>
  </si>
  <si>
    <t>ORD-000297</t>
  </si>
  <si>
    <t>ORD-000298</t>
  </si>
  <si>
    <t>ORD-000299</t>
  </si>
  <si>
    <t>C-0494</t>
  </si>
  <si>
    <t>ORD-000300</t>
  </si>
  <si>
    <t>ORD-000301</t>
  </si>
  <si>
    <t>C-0548</t>
  </si>
  <si>
    <t>ORD-000302</t>
  </si>
  <si>
    <t>ORD-000303</t>
  </si>
  <si>
    <t>C-0387</t>
  </si>
  <si>
    <t>ORD-000304</t>
  </si>
  <si>
    <t>C-0133</t>
  </si>
  <si>
    <t>ORD-000305</t>
  </si>
  <si>
    <t>C-0405</t>
  </si>
  <si>
    <t>ORD-000306</t>
  </si>
  <si>
    <t>C-0463</t>
  </si>
  <si>
    <t>ORD-000307</t>
  </si>
  <si>
    <t>C-0355</t>
  </si>
  <si>
    <t>ORD-000308</t>
  </si>
  <si>
    <t>C-0049</t>
  </si>
  <si>
    <t>ORD-000309</t>
  </si>
  <si>
    <t>ORD-000310</t>
  </si>
  <si>
    <t>C-0180</t>
  </si>
  <si>
    <t>ORD-000311</t>
  </si>
  <si>
    <t>C-0379</t>
  </si>
  <si>
    <t>ORD-000312</t>
  </si>
  <si>
    <t>C-0622</t>
  </si>
  <si>
    <t>ORD-000313</t>
  </si>
  <si>
    <t>C-0166</t>
  </si>
  <si>
    <t>ORD-000314</t>
  </si>
  <si>
    <t>ORD-000315</t>
  </si>
  <si>
    <t>C-0531</t>
  </si>
  <si>
    <t>ORD-000316</t>
  </si>
  <si>
    <t>C-0534</t>
  </si>
  <si>
    <t>ORD-000317</t>
  </si>
  <si>
    <t>ORD-000318</t>
  </si>
  <si>
    <t>C-0029</t>
  </si>
  <si>
    <t>ORD-000319</t>
  </si>
  <si>
    <t>ORD-000320</t>
  </si>
  <si>
    <t>C-0278</t>
  </si>
  <si>
    <t>ORD-000321</t>
  </si>
  <si>
    <t>ORD-000322</t>
  </si>
  <si>
    <t>ORD-000323</t>
  </si>
  <si>
    <t>ORD-000324</t>
  </si>
  <si>
    <t>C-0325</t>
  </si>
  <si>
    <t>ORD-000325</t>
  </si>
  <si>
    <t>ORD-000326</t>
  </si>
  <si>
    <t>C-0093</t>
  </si>
  <si>
    <t>ORD-000327</t>
  </si>
  <si>
    <t>ORD-000328</t>
  </si>
  <si>
    <t>C-0358</t>
  </si>
  <si>
    <t>ORD-000329</t>
  </si>
  <si>
    <t>C-0126</t>
  </si>
  <si>
    <t>ORD-000330</t>
  </si>
  <si>
    <t>ORD-000331</t>
  </si>
  <si>
    <t>C-0265</t>
  </si>
  <si>
    <t>ORD-000332</t>
  </si>
  <si>
    <t>C-0040</t>
  </si>
  <si>
    <t>ORD-000333</t>
  </si>
  <si>
    <t>ORD-000334</t>
  </si>
  <si>
    <t>C-0427</t>
  </si>
  <si>
    <t>ORD-000335</t>
  </si>
  <si>
    <t>C-0502</t>
  </si>
  <si>
    <t>ORD-000336</t>
  </si>
  <si>
    <t>ORD-000337</t>
  </si>
  <si>
    <t>ORD-000338</t>
  </si>
  <si>
    <t>C-0323</t>
  </si>
  <si>
    <t>ORD-000339</t>
  </si>
  <si>
    <t>C-0496</t>
  </si>
  <si>
    <t>ORD-000340</t>
  </si>
  <si>
    <t>C-0371</t>
  </si>
  <si>
    <t>ORD-000341</t>
  </si>
  <si>
    <t>C-0510</t>
  </si>
  <si>
    <t>ORD-000342</t>
  </si>
  <si>
    <t>ORD-000343</t>
  </si>
  <si>
    <t>C-0501</t>
  </si>
  <si>
    <t>ORD-000344</t>
  </si>
  <si>
    <t>C-0449</t>
  </si>
  <si>
    <t>ORD-000345</t>
  </si>
  <si>
    <t>C-0362</t>
  </si>
  <si>
    <t>ORD-000346</t>
  </si>
  <si>
    <t>ORD-000347</t>
  </si>
  <si>
    <t>C-0603</t>
  </si>
  <si>
    <t>ORD-000348</t>
  </si>
  <si>
    <t>C-0019</t>
  </si>
  <si>
    <t>ORD-000349</t>
  </si>
  <si>
    <t>C-0745</t>
  </si>
  <si>
    <t>ORD-000350</t>
  </si>
  <si>
    <t>C-0797</t>
  </si>
  <si>
    <t>ORD-000351</t>
  </si>
  <si>
    <t>C-0225</t>
  </si>
  <si>
    <t>ORD-000352</t>
  </si>
  <si>
    <t>C-0017</t>
  </si>
  <si>
    <t>ORD-000353</t>
  </si>
  <si>
    <t>C-0128</t>
  </si>
  <si>
    <t>ORD-000354</t>
  </si>
  <si>
    <t>C-0346</t>
  </si>
  <si>
    <t>ORD-000355</t>
  </si>
  <si>
    <t>ORD-000356</t>
  </si>
  <si>
    <t>C-0591</t>
  </si>
  <si>
    <t>ORD-000357</t>
  </si>
  <si>
    <t>ORD-000358</t>
  </si>
  <si>
    <t>C-0669</t>
  </si>
  <si>
    <t>ORD-000359</t>
  </si>
  <si>
    <t>C-0057</t>
  </si>
  <si>
    <t>ORD-000360</t>
  </si>
  <si>
    <t>ORD-000361</t>
  </si>
  <si>
    <t>C-0476</t>
  </si>
  <si>
    <t>ORD-000362</t>
  </si>
  <si>
    <t>C-0581</t>
  </si>
  <si>
    <t>ORD-000363</t>
  </si>
  <si>
    <t>ORD-000364</t>
  </si>
  <si>
    <t>C-0426</t>
  </si>
  <si>
    <t>ORD-000365</t>
  </si>
  <si>
    <t>C-0409</t>
  </si>
  <si>
    <t>ORD-000366</t>
  </si>
  <si>
    <t>ORD-000367</t>
  </si>
  <si>
    <t>ORD-000368</t>
  </si>
  <si>
    <t>C-0491</t>
  </si>
  <si>
    <t>ORD-000369</t>
  </si>
  <si>
    <t>C-0689</t>
  </si>
  <si>
    <t>ORD-000370</t>
  </si>
  <si>
    <t>ORD-000371</t>
  </si>
  <si>
    <t>C-0732</t>
  </si>
  <si>
    <t>ORD-000372</t>
  </si>
  <si>
    <t>ORD-000373</t>
  </si>
  <si>
    <t>C-0640</t>
  </si>
  <si>
    <t>ORD-000374</t>
  </si>
  <si>
    <t>C-0738</t>
  </si>
  <si>
    <t>ORD-000375</t>
  </si>
  <si>
    <t>C-0625</t>
  </si>
  <si>
    <t>ORD-000376</t>
  </si>
  <si>
    <t>C-0094</t>
  </si>
  <si>
    <t>ORD-000377</t>
  </si>
  <si>
    <t>ORD-000378</t>
  </si>
  <si>
    <t>ORD-000379</t>
  </si>
  <si>
    <t>C-0636</t>
  </si>
  <si>
    <t>ORD-000380</t>
  </si>
  <si>
    <t>ORD-000381</t>
  </si>
  <si>
    <t>ORD-000382</t>
  </si>
  <si>
    <t>ORD-000383</t>
  </si>
  <si>
    <t>C-0042</t>
  </si>
  <si>
    <t>ORD-000384</t>
  </si>
  <si>
    <t>C-0447</t>
  </si>
  <si>
    <t>ORD-000385</t>
  </si>
  <si>
    <t>ORD-000386</t>
  </si>
  <si>
    <t>ORD-000387</t>
  </si>
  <si>
    <t>C-0263</t>
  </si>
  <si>
    <t>ORD-000388</t>
  </si>
  <si>
    <t>ORD-000389</t>
  </si>
  <si>
    <t>ORD-000390</t>
  </si>
  <si>
    <t>ORD-000391</t>
  </si>
  <si>
    <t>C-0487</t>
  </si>
  <si>
    <t>ORD-000392</t>
  </si>
  <si>
    <t>C-0645</t>
  </si>
  <si>
    <t>ORD-000393</t>
  </si>
  <si>
    <t>C-0285</t>
  </si>
  <si>
    <t>ORD-000394</t>
  </si>
  <si>
    <t>C-0226</t>
  </si>
  <si>
    <t>ORD-000395</t>
  </si>
  <si>
    <t>C-0336</t>
  </si>
  <si>
    <t>ORD-000396</t>
  </si>
  <si>
    <t>C-0105</t>
  </si>
  <si>
    <t>ORD-000397</t>
  </si>
  <si>
    <t>C-0757</t>
  </si>
  <si>
    <t>ORD-000398</t>
  </si>
  <si>
    <t>ORD-000399</t>
  </si>
  <si>
    <t>ORD-000400</t>
  </si>
  <si>
    <t>C-0582</t>
  </si>
  <si>
    <t>ORD-000401</t>
  </si>
  <si>
    <t>ORD-000402</t>
  </si>
  <si>
    <t>C-0399</t>
  </si>
  <si>
    <t>ORD-000403</t>
  </si>
  <si>
    <t>C-0119</t>
  </si>
  <si>
    <t>ORD-000404</t>
  </si>
  <si>
    <t>ORD-000405</t>
  </si>
  <si>
    <t>C-0576</t>
  </si>
  <si>
    <t>ORD-000406</t>
  </si>
  <si>
    <t>ORD-000407</t>
  </si>
  <si>
    <t>ORD-000408</t>
  </si>
  <si>
    <t>ORD-000409</t>
  </si>
  <si>
    <t>ORD-000410</t>
  </si>
  <si>
    <t>C-0394</t>
  </si>
  <si>
    <t>ORD-000411</t>
  </si>
  <si>
    <t>C-0059</t>
  </si>
  <si>
    <t>ORD-000412</t>
  </si>
  <si>
    <t>ORD-000413</t>
  </si>
  <si>
    <t>ORD-000414</t>
  </si>
  <si>
    <t>C-0231</t>
  </si>
  <si>
    <t>ORD-000415</t>
  </si>
  <si>
    <t>ORD-000416</t>
  </si>
  <si>
    <t>C-0416</t>
  </si>
  <si>
    <t>ORD-000417</t>
  </si>
  <si>
    <t>C-0451</t>
  </si>
  <si>
    <t>ORD-000418</t>
  </si>
  <si>
    <t>C-0588</t>
  </si>
  <si>
    <t>ORD-000419</t>
  </si>
  <si>
    <t>C-0762</t>
  </si>
  <si>
    <t>ORD-000420</t>
  </si>
  <si>
    <t>ORD-000421</t>
  </si>
  <si>
    <t>ORD-000422</t>
  </si>
  <si>
    <t>ORD-000423</t>
  </si>
  <si>
    <t>C-0161</t>
  </si>
  <si>
    <t>ORD-000424</t>
  </si>
  <si>
    <t>C-0173</t>
  </si>
  <si>
    <t>ORD-000425</t>
  </si>
  <si>
    <t>C-0542</t>
  </si>
  <si>
    <t>ORD-000426</t>
  </si>
  <si>
    <t>C-0230</t>
  </si>
  <si>
    <t>ORD-000427</t>
  </si>
  <si>
    <t>C-0407</t>
  </si>
  <si>
    <t>ORD-000428</t>
  </si>
  <si>
    <t>C-0475</t>
  </si>
  <si>
    <t>ORD-000429</t>
  </si>
  <si>
    <t>ORD-000430</t>
  </si>
  <si>
    <t>C-0706</t>
  </si>
  <si>
    <t>ORD-000431</t>
  </si>
  <si>
    <t>C-0172</t>
  </si>
  <si>
    <t>ORD-000432</t>
  </si>
  <si>
    <t>ORD-000433</t>
  </si>
  <si>
    <t>C-0214</t>
  </si>
  <si>
    <t>ORD-000434</t>
  </si>
  <si>
    <t>C-0421</t>
  </si>
  <si>
    <t>ORD-000435</t>
  </si>
  <si>
    <t>C-0337</t>
  </si>
  <si>
    <t>ORD-000436</t>
  </si>
  <si>
    <t>ORD-000437</t>
  </si>
  <si>
    <t>C-0089</t>
  </si>
  <si>
    <t>ORD-000438</t>
  </si>
  <si>
    <t>ORD-000439</t>
  </si>
  <si>
    <t>C-0414</t>
  </si>
  <si>
    <t>ORD-000440</t>
  </si>
  <si>
    <t>C-0649</t>
  </si>
  <si>
    <t>ORD-000441</t>
  </si>
  <si>
    <t>ORD-000442</t>
  </si>
  <si>
    <t>ORD-000443</t>
  </si>
  <si>
    <t>C-0113</t>
  </si>
  <si>
    <t>ORD-000444</t>
  </si>
  <si>
    <t>C-0376</t>
  </si>
  <si>
    <t>ORD-000445</t>
  </si>
  <si>
    <t>C-0051</t>
  </si>
  <si>
    <t>ORD-000446</t>
  </si>
  <si>
    <t>C-0013</t>
  </si>
  <si>
    <t>ORD-000447</t>
  </si>
  <si>
    <t>C-0460</t>
  </si>
  <si>
    <t>ORD-000448</t>
  </si>
  <si>
    <t>C-0076</t>
  </si>
  <si>
    <t>ORD-000449</t>
  </si>
  <si>
    <t>C-0522</t>
  </si>
  <si>
    <t>ORD-000450</t>
  </si>
  <si>
    <t>C-0033</t>
  </si>
  <si>
    <t>ORD-000451</t>
  </si>
  <si>
    <t>C-0363</t>
  </si>
  <si>
    <t>ORD-000452</t>
  </si>
  <si>
    <t>C-0227</t>
  </si>
  <si>
    <t>ORD-000453</t>
  </si>
  <si>
    <t>C-0613</t>
  </si>
  <si>
    <t>ORD-000454</t>
  </si>
  <si>
    <t>ORD-000455</t>
  </si>
  <si>
    <t>ORD-000456</t>
  </si>
  <si>
    <t>ORD-000457</t>
  </si>
  <si>
    <t>C-0585</t>
  </si>
  <si>
    <t>ORD-000458</t>
  </si>
  <si>
    <t>C-0653</t>
  </si>
  <si>
    <t>ORD-000459</t>
  </si>
  <si>
    <t>ORD-000460</t>
  </si>
  <si>
    <t>ORD-000461</t>
  </si>
  <si>
    <t>C-0390</t>
  </si>
  <si>
    <t>ORD-000462</t>
  </si>
  <si>
    <t>ORD-000463</t>
  </si>
  <si>
    <t>C-0160</t>
  </si>
  <si>
    <t>ORD-000464</t>
  </si>
  <si>
    <t>C-0209</t>
  </si>
  <si>
    <t>ORD-000465</t>
  </si>
  <si>
    <t>C-0375</t>
  </si>
  <si>
    <t>ORD-000466</t>
  </si>
  <si>
    <t>C-0486</t>
  </si>
  <si>
    <t>ORD-000467</t>
  </si>
  <si>
    <t>ORD-000468</t>
  </si>
  <si>
    <t>ORD-000469</t>
  </si>
  <si>
    <t>C-0420</t>
  </si>
  <si>
    <t>ORD-000470</t>
  </si>
  <si>
    <t>C-0149</t>
  </si>
  <si>
    <t>ORD-000471</t>
  </si>
  <si>
    <t>ORD-000472</t>
  </si>
  <si>
    <t>ORD-000473</t>
  </si>
  <si>
    <t>ORD-000474</t>
  </si>
  <si>
    <t>C-0010</t>
  </si>
  <si>
    <t>ORD-000475</t>
  </si>
  <si>
    <t>ORD-000476</t>
  </si>
  <si>
    <t>C-0107</t>
  </si>
  <si>
    <t>ORD-000477</t>
  </si>
  <si>
    <t>ORD-000478</t>
  </si>
  <si>
    <t>ORD-000479</t>
  </si>
  <si>
    <t>C-0100</t>
  </si>
  <si>
    <t>ORD-000480</t>
  </si>
  <si>
    <t>C-0218</t>
  </si>
  <si>
    <t>ORD-000481</t>
  </si>
  <si>
    <t>ORD-000482</t>
  </si>
  <si>
    <t>C-0060</t>
  </si>
  <si>
    <t>ORD-000483</t>
  </si>
  <si>
    <t>C-0532</t>
  </si>
  <si>
    <t>ORD-000484</t>
  </si>
  <si>
    <t>ORD-000485</t>
  </si>
  <si>
    <t>ORD-000486</t>
  </si>
  <si>
    <t>ORD-000487</t>
  </si>
  <si>
    <t>ORD-000488</t>
  </si>
  <si>
    <t>C-0070</t>
  </si>
  <si>
    <t>ORD-000489</t>
  </si>
  <si>
    <t>ORD-000490</t>
  </si>
  <si>
    <t>C-0088</t>
  </si>
  <si>
    <t>ORD-000491</t>
  </si>
  <si>
    <t>C-0031</t>
  </si>
  <si>
    <t>ORD-000492</t>
  </si>
  <si>
    <t>C-0654</t>
  </si>
  <si>
    <t>ORD-000493</t>
  </si>
  <si>
    <t>C-0408</t>
  </si>
  <si>
    <t>ORD-000494</t>
  </si>
  <si>
    <t>C-0018</t>
  </si>
  <si>
    <t>ORD-000495</t>
  </si>
  <si>
    <t>ORD-000496</t>
  </si>
  <si>
    <t>ORD-000497</t>
  </si>
  <si>
    <t>ORD-000498</t>
  </si>
  <si>
    <t>C-0500</t>
  </si>
  <si>
    <t>ORD-000499</t>
  </si>
  <si>
    <t>ORD-000500</t>
  </si>
  <si>
    <t>ORD-000501</t>
  </si>
  <si>
    <t>ORD-000502</t>
  </si>
  <si>
    <t>C-0370</t>
  </si>
  <si>
    <t>ORD-000503</t>
  </si>
  <si>
    <t>C-0268</t>
  </si>
  <si>
    <t>ORD-000504</t>
  </si>
  <si>
    <t>ORD-000505</t>
  </si>
  <si>
    <t>ORD-000506</t>
  </si>
  <si>
    <t>C-0155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</si>
  <si>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</si>
  <si>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</si>
  <si>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</si>
  <si>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</si>
  <si>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</si>
  <si>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</si>
  <si>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</si>
  <si>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</si>
  <si>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</si>
  <si>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C-0723</t>
  </si>
  <si>
    <t>ORD-000516</t>
  </si>
  <si>
    <t>ORD-000517</t>
  </si>
  <si>
    <t>ORD-000518</t>
  </si>
  <si>
    <t>C-0677</t>
  </si>
  <si>
    <t>ORD-000519</t>
  </si>
  <si>
    <t>ORD-000520</t>
  </si>
  <si>
    <t>C-0780</t>
  </si>
  <si>
    <t>ORD-000521</t>
  </si>
  <si>
    <t>ORD-000522</t>
  </si>
  <si>
    <t>C-0380</t>
  </si>
  <si>
    <t>ORD-000523</t>
  </si>
  <si>
    <t>ORD-000524</t>
  </si>
  <si>
    <t>ORD-000525</t>
  </si>
  <si>
    <t>C-0222</t>
  </si>
  <si>
    <t>ORD-000526</t>
  </si>
  <si>
    <t>ORD-000527</t>
  </si>
  <si>
    <t>C-0536</t>
  </si>
  <si>
    <t>ORD-000528</t>
  </si>
  <si>
    <t>C-0195</t>
  </si>
  <si>
    <t>ORD-000529</t>
  </si>
  <si>
    <t>C-0647</t>
  </si>
  <si>
    <t>ORD-000530</t>
  </si>
  <si>
    <t>ORD-000531</t>
  </si>
  <si>
    <t>ORD-000532</t>
  </si>
  <si>
    <t>C-0068</t>
  </si>
  <si>
    <t>ORD-000533</t>
  </si>
  <si>
    <t>ORD-000534</t>
  </si>
  <si>
    <t>ORD-000535</t>
  </si>
  <si>
    <t>C-0401</t>
  </si>
  <si>
    <t>ORD-000536</t>
  </si>
  <si>
    <t>ORD-000537</t>
  </si>
  <si>
    <t>ORD-000538</t>
  </si>
  <si>
    <t>C-0211</t>
  </si>
  <si>
    <t>ORD-000539</t>
  </si>
  <si>
    <t>ORD-000540</t>
  </si>
  <si>
    <t>C-0564</t>
  </si>
  <si>
    <t>ORD-000541</t>
  </si>
  <si>
    <t>C-0122</t>
  </si>
  <si>
    <t>ORD-000542</t>
  </si>
  <si>
    <t>C-0205</t>
  </si>
  <si>
    <t>ORD-000543</t>
  </si>
  <si>
    <t>ORD-000544</t>
  </si>
  <si>
    <t>ORD-000545</t>
  </si>
  <si>
    <t>C-0131</t>
  </si>
  <si>
    <t>ORD-000546</t>
  </si>
  <si>
    <t>C-0549</t>
  </si>
  <si>
    <t>ORD-000547</t>
  </si>
  <si>
    <t>ORD-000548</t>
  </si>
  <si>
    <t>C-0101</t>
  </si>
  <si>
    <t>ORD-000549</t>
  </si>
  <si>
    <t>ORD-000550</t>
  </si>
  <si>
    <t>ORD-000551</t>
  </si>
  <si>
    <t>C-0108</t>
  </si>
  <si>
    <t>ORD-000552</t>
  </si>
  <si>
    <t>C-0693</t>
  </si>
  <si>
    <t>ORD-000553</t>
  </si>
  <si>
    <t>ORD-000554</t>
  </si>
  <si>
    <t>ORD-000555</t>
  </si>
  <si>
    <t>C-0312</t>
  </si>
  <si>
    <t>ORD-000556</t>
  </si>
  <si>
    <t>C-0796</t>
  </si>
  <si>
    <t>ORD-000557</t>
  </si>
  <si>
    <t>C-0186</t>
  </si>
  <si>
    <t>ORD-000558</t>
  </si>
  <si>
    <t>C-0453</t>
  </si>
  <si>
    <t>ORD-000559</t>
  </si>
  <si>
    <t>ORD-000560</t>
  </si>
  <si>
    <t>C-0529</t>
  </si>
  <si>
    <t>ORD-000561</t>
  </si>
  <si>
    <t>ORD-000562</t>
  </si>
  <si>
    <t>ORD-000563</t>
  </si>
  <si>
    <t>C-0237</t>
  </si>
  <si>
    <t>ORD-000564</t>
  </si>
  <si>
    <t>C-0106</t>
  </si>
  <si>
    <t>ORD-000565</t>
  </si>
  <si>
    <t>C-0364</t>
  </si>
  <si>
    <t>ORD-000566</t>
  </si>
  <si>
    <t>ORD-000567</t>
  </si>
  <si>
    <t>ORD-000568</t>
  </si>
  <si>
    <t>ORD-000569</t>
  </si>
  <si>
    <t>C-0351</t>
  </si>
  <si>
    <t>ORD-000570</t>
  </si>
  <si>
    <t>ORD-000571</t>
  </si>
  <si>
    <t>ORD-000572</t>
  </si>
  <si>
    <t>ORD-000573</t>
  </si>
  <si>
    <t>ORD-000574</t>
  </si>
  <si>
    <t>ORD-000575</t>
  </si>
  <si>
    <t>C-0760</t>
  </si>
  <si>
    <t>ORD-000576</t>
  </si>
  <si>
    <t>ORD-000577</t>
  </si>
  <si>
    <t>ORD-000578</t>
  </si>
  <si>
    <t>ORD-000579</t>
  </si>
  <si>
    <t>ORD-000580</t>
  </si>
  <si>
    <t>C-0238</t>
  </si>
  <si>
    <t>ORD-000581</t>
  </si>
  <si>
    <t>ORD-000582</t>
  </si>
  <si>
    <t>ORD-000583</t>
  </si>
  <si>
    <t>C-0423</t>
  </si>
  <si>
    <t>ORD-000584</t>
  </si>
  <si>
    <t>C-0219</t>
  </si>
  <si>
    <t>ORD-000585</t>
  </si>
  <si>
    <t>ORD-000586</t>
  </si>
  <si>
    <t>C-0170</t>
  </si>
  <si>
    <t>ORD-000587</t>
  </si>
  <si>
    <t>C-0138</t>
  </si>
  <si>
    <t>ORD-000588</t>
  </si>
  <si>
    <t>C-0256</t>
  </si>
  <si>
    <t>ORD-000589</t>
  </si>
  <si>
    <t>ORD-000590</t>
  </si>
  <si>
    <t>C-0418</t>
  </si>
  <si>
    <t>ORD-000591</t>
  </si>
  <si>
    <t>C-0725</t>
  </si>
  <si>
    <t>ORD-000592</t>
  </si>
  <si>
    <t>C-0079</t>
  </si>
  <si>
    <t>ORD-000593</t>
  </si>
  <si>
    <t>ORD-000594</t>
  </si>
  <si>
    <t>ORD-000595</t>
  </si>
  <si>
    <t>ORD-000596</t>
  </si>
  <si>
    <t>ORD-000597</t>
  </si>
  <si>
    <t>C-0396</t>
  </si>
  <si>
    <t>ORD-000598</t>
  </si>
  <si>
    <t>C-0391</t>
  </si>
  <si>
    <t>ORD-000599</t>
  </si>
  <si>
    <t>ORD-000600</t>
  </si>
  <si>
    <t>ORD-000601</t>
  </si>
  <si>
    <t>C-0110</t>
  </si>
  <si>
    <t>ORD-000602</t>
  </si>
  <si>
    <t>ORD-000603</t>
  </si>
  <si>
    <t>ORD-000604</t>
  </si>
  <si>
    <t>ORD-000605</t>
  </si>
  <si>
    <t>C-0377</t>
  </si>
  <si>
    <t>ORD-000606</t>
  </si>
  <si>
    <t>C-0728</t>
  </si>
  <si>
    <t>ORD-000607</t>
  </si>
  <si>
    <t>ORD-000608</t>
  </si>
  <si>
    <t>C-0372</t>
  </si>
  <si>
    <t>ORD-000609</t>
  </si>
  <si>
    <t>ORD-000610</t>
  </si>
  <si>
    <t>ORD-000611</t>
  </si>
  <si>
    <t>C-0034</t>
  </si>
  <si>
    <t>ORD-000612</t>
  </si>
  <si>
    <t>C-0523</t>
  </si>
  <si>
    <t>ORD-000613</t>
  </si>
  <si>
    <t>ORD-000614</t>
  </si>
  <si>
    <t>ORD-000615</t>
  </si>
  <si>
    <t>C-0318</t>
  </si>
  <si>
    <t>ORD-000616</t>
  </si>
  <si>
    <t>C-0116</t>
  </si>
  <si>
    <t>ORD-000617</t>
  </si>
  <si>
    <t>C-0367</t>
  </si>
  <si>
    <t>ORD-000618</t>
  </si>
  <si>
    <t>C-0570</t>
  </si>
  <si>
    <t>ORD-000619</t>
  </si>
  <si>
    <t>ORD-000620</t>
  </si>
  <si>
    <t>ORD-000621</t>
  </si>
  <si>
    <t>C-0165</t>
  </si>
  <si>
    <t>ORD-000622</t>
  </si>
  <si>
    <t>ORD-000623</t>
  </si>
  <si>
    <t>ORD-000624</t>
  </si>
  <si>
    <t>ORD-000625</t>
  </si>
  <si>
    <t>C-0356</t>
  </si>
  <si>
    <t>ORD-000626</t>
  </si>
  <si>
    <t>ORD-000627</t>
  </si>
  <si>
    <t>ORD-000628</t>
  </si>
  <si>
    <t>ORD-000629</t>
  </si>
  <si>
    <t>ORD-000630</t>
  </si>
  <si>
    <t>C-0539</t>
  </si>
  <si>
    <t>ORD-000631</t>
  </si>
  <si>
    <t>C-0403</t>
  </si>
  <si>
    <t>ORD-000632</t>
  </si>
  <si>
    <t>ORD-000633</t>
  </si>
  <si>
    <t>C-0099</t>
  </si>
  <si>
    <t>ORD-000634</t>
  </si>
  <si>
    <t>ORD-000635</t>
  </si>
  <si>
    <t>C-0009</t>
  </si>
  <si>
    <t>ORD-000636</t>
  </si>
  <si>
    <t>ORD-000637</t>
  </si>
  <si>
    <t>ORD-000638</t>
  </si>
  <si>
    <t>C-0212</t>
  </si>
  <si>
    <t>ORD-000639</t>
  </si>
  <si>
    <t>ORD-000640</t>
  </si>
  <si>
    <t>ORD-000641</t>
  </si>
  <si>
    <t>ORD-000642</t>
  </si>
  <si>
    <t>ORD-000643</t>
  </si>
  <si>
    <t>C-0783</t>
  </si>
  <si>
    <t>ORD-000644</t>
  </si>
  <si>
    <t>C-0083</t>
  </si>
  <si>
    <t>ORD-000645</t>
  </si>
  <si>
    <t>ORD-000646</t>
  </si>
  <si>
    <t>ORD-000647</t>
  </si>
  <si>
    <t>C-0488</t>
  </si>
  <si>
    <t>ORD-000648</t>
  </si>
  <si>
    <t>C-0520</t>
  </si>
  <si>
    <t>ORD-000649</t>
  </si>
  <si>
    <t>C-0349</t>
  </si>
  <si>
    <t>ORD-000650</t>
  </si>
  <si>
    <t>C-0411</t>
  </si>
  <si>
    <t>ORD-000651</t>
  </si>
  <si>
    <t>C-0328</t>
  </si>
  <si>
    <t>ORD-000652</t>
  </si>
  <si>
    <t>ORD-000653</t>
  </si>
  <si>
    <t>C-0296</t>
  </si>
  <si>
    <t>ORD-000654</t>
  </si>
  <si>
    <t>C-0793</t>
  </si>
  <si>
    <t>ORD-000655</t>
  </si>
  <si>
    <t>C-0748</t>
  </si>
  <si>
    <t>ORD-000656</t>
  </si>
  <si>
    <t>C-0428</t>
  </si>
  <si>
    <t>ORD-000657</t>
  </si>
  <si>
    <t>C-0167</t>
  </si>
  <si>
    <t>ORD-000658</t>
  </si>
  <si>
    <t>ORD-000659</t>
  </si>
  <si>
    <t>ORD-000660</t>
  </si>
  <si>
    <t>ORD-000661</t>
  </si>
  <si>
    <t>C-0233</t>
  </si>
  <si>
    <t>ORD-000662</t>
  </si>
  <si>
    <t>C-0709</t>
  </si>
  <si>
    <t>ORD-000663</t>
  </si>
  <si>
    <t>C-0194</t>
  </si>
  <si>
    <t>ORD-000664</t>
  </si>
  <si>
    <t>C-0236</t>
  </si>
  <si>
    <t>ORD-000665</t>
  </si>
  <si>
    <t>C-0779</t>
  </si>
  <si>
    <t>ORD-000666</t>
  </si>
  <si>
    <t>ORD-000667</t>
  </si>
  <si>
    <t>C-0187</t>
  </si>
  <si>
    <t>ORD-000668</t>
  </si>
  <si>
    <t>ORD-000669</t>
  </si>
  <si>
    <t>ORD-000670</t>
  </si>
  <si>
    <t>ORD-000671</t>
  </si>
  <si>
    <t>ORD-000672</t>
  </si>
  <si>
    <t>C-0782</t>
  </si>
  <si>
    <t>ORD-000673</t>
  </si>
  <si>
    <t>C-0152</t>
  </si>
  <si>
    <t>ORD-000674</t>
  </si>
  <si>
    <t>ORD-000675</t>
  </si>
  <si>
    <t>C-0610</t>
  </si>
  <si>
    <t>ORD-000676</t>
  </si>
  <si>
    <t>ORD-000677</t>
  </si>
  <si>
    <t>C-0124</t>
  </si>
  <si>
    <t>ORD-000678</t>
  </si>
  <si>
    <t>C-0691</t>
  </si>
  <si>
    <t>ORD-000679</t>
  </si>
  <si>
    <t>ORD-000680</t>
  </si>
  <si>
    <t>ORD-000681</t>
  </si>
  <si>
    <t>C-0360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</si>
  <si>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</si>
  <si>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</si>
  <si>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</si>
  <si>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</si>
  <si>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</si>
  <si>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</si>
  <si>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</si>
  <si>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</si>
  <si>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</si>
  <si>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C-0607</t>
  </si>
  <si>
    <t>ORD-000691</t>
  </si>
  <si>
    <t>ORD-000692</t>
  </si>
  <si>
    <t>ORD-000693</t>
  </si>
  <si>
    <t>ORD-000694</t>
  </si>
  <si>
    <t>C-0473</t>
  </si>
  <si>
    <t>ORD-000695</t>
  </si>
  <si>
    <t>ORD-000696</t>
  </si>
  <si>
    <t>C-0628</t>
  </si>
  <si>
    <t>ORD-000697</t>
  </si>
  <si>
    <t>C-0643</t>
  </si>
  <si>
    <t>ORD-000698</t>
  </si>
  <si>
    <t>C-0298</t>
  </si>
  <si>
    <t>ORD-000699</t>
  </si>
  <si>
    <t>C-0052</t>
  </si>
  <si>
    <t>ORD-000700</t>
  </si>
  <si>
    <t>ORD-000701</t>
  </si>
  <si>
    <t>C-0080</t>
  </si>
  <si>
    <t>ORD-000702</t>
  </si>
  <si>
    <t>ORD-000703</t>
  </si>
  <si>
    <t>ORD-000704</t>
  </si>
  <si>
    <t>C-0098</t>
  </si>
  <si>
    <t>ORD-000705</t>
  </si>
  <si>
    <t>C-0024</t>
  </si>
  <si>
    <t>ORD-000706</t>
  </si>
  <si>
    <t>C-0304</t>
  </si>
  <si>
    <t>ORD-000707</t>
  </si>
  <si>
    <t>C-0448</t>
  </si>
  <si>
    <t>ORD-000708</t>
  </si>
  <si>
    <t>C-0497</t>
  </si>
  <si>
    <t>ORD-000709</t>
  </si>
  <si>
    <t>ORD-000710</t>
  </si>
  <si>
    <t>ORD-000711</t>
  </si>
  <si>
    <t>ORD-000712</t>
  </si>
  <si>
    <t>C-0776</t>
  </si>
  <si>
    <t>ORD-000713</t>
  </si>
  <si>
    <t>C-0038</t>
  </si>
  <si>
    <t>ORD-000714</t>
  </si>
  <si>
    <t>ORD-000715</t>
  </si>
  <si>
    <t>ORD-000716</t>
  </si>
  <si>
    <t>ORD-000717</t>
  </si>
  <si>
    <t>C-0417</t>
  </si>
  <si>
    <t>ORD-000718</t>
  </si>
  <si>
    <t>ORD-000719</t>
  </si>
  <si>
    <t>ORD-000720</t>
  </si>
  <si>
    <t>ORD-000721</t>
  </si>
  <si>
    <t>ORD-000722</t>
  </si>
  <si>
    <t>C-0159</t>
  </si>
  <si>
    <t>ORD-000723</t>
  </si>
  <si>
    <t>ORD-000724</t>
  </si>
  <si>
    <t>C-0084</t>
  </si>
  <si>
    <t>ORD-000725</t>
  </si>
  <si>
    <t>ORD-000726</t>
  </si>
  <si>
    <t>C-0424</t>
  </si>
  <si>
    <t>ORD-000727</t>
  </si>
  <si>
    <t>ORD-000728</t>
  </si>
  <si>
    <t>ORD-000729</t>
  </si>
  <si>
    <t>ORD-000730</t>
  </si>
  <si>
    <t>ORD-000731</t>
  </si>
  <si>
    <t>C-0035</t>
  </si>
  <si>
    <t>ORD-000732</t>
  </si>
  <si>
    <t>ORD-000733</t>
  </si>
  <si>
    <t>C-0056</t>
  </si>
  <si>
    <t>ORD-000734</t>
  </si>
  <si>
    <t>ORD-000735</t>
  </si>
  <si>
    <t>C-0685</t>
  </si>
  <si>
    <t>ORD-000736</t>
  </si>
  <si>
    <t>ORD-000737</t>
  </si>
  <si>
    <t>ORD-000738</t>
  </si>
  <si>
    <t>ORD-000739</t>
  </si>
  <si>
    <t>ORD-000740</t>
  </si>
  <si>
    <t>ORD-000741</t>
  </si>
  <si>
    <t>C-0319</t>
  </si>
  <si>
    <t>ORD-000742</t>
  </si>
  <si>
    <t>C-0781</t>
  </si>
  <si>
    <t>ORD-000743</t>
  </si>
  <si>
    <t>C-0171</t>
  </si>
  <si>
    <t>ORD-000744</t>
  </si>
  <si>
    <t>ORD-000745</t>
  </si>
  <si>
    <t>ORD-000746</t>
  </si>
  <si>
    <t>C-0120</t>
  </si>
  <si>
    <t>ORD-000747</t>
  </si>
  <si>
    <t>C-0703</t>
  </si>
  <si>
    <t>ORD-000748</t>
  </si>
  <si>
    <t>C-0036</t>
  </si>
  <si>
    <t>ORD-000749</t>
  </si>
  <si>
    <t>ORD-000750</t>
  </si>
  <si>
    <t>C-0102</t>
  </si>
  <si>
    <t>ORD-000751</t>
  </si>
  <si>
    <t>ORD-000752</t>
  </si>
  <si>
    <t>C-0545</t>
  </si>
  <si>
    <t>ORD-000753</t>
  </si>
  <si>
    <t>ORD-000754</t>
  </si>
  <si>
    <t>ORD-000755</t>
  </si>
  <si>
    <t>C-0719</t>
  </si>
  <si>
    <t>ORD-000756</t>
  </si>
  <si>
    <t>C-0682</t>
  </si>
  <si>
    <t>ORD-000757</t>
  </si>
  <si>
    <t>C-0096</t>
  </si>
  <si>
    <t>ORD-000758</t>
  </si>
  <si>
    <t>C-0055</t>
  </si>
  <si>
    <t>ORD-000759</t>
  </si>
  <si>
    <t>ORD-000760</t>
  </si>
  <si>
    <t>ORD-000761</t>
  </si>
  <si>
    <t>ORD-000762</t>
  </si>
  <si>
    <t>C-0736</t>
  </si>
  <si>
    <t>ORD-000763</t>
  </si>
  <si>
    <t>C-0505</t>
  </si>
  <si>
    <t>ORD-000764</t>
  </si>
  <si>
    <t>ORD-000765</t>
  </si>
  <si>
    <t>C-0747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</si>
  <si>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</si>
  <si>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</si>
  <si>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</si>
  <si>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</si>
  <si>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</si>
  <si>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</si>
  <si>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</si>
  <si>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</si>
  <si>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</si>
  <si>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</si>
  <si>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</si>
  <si>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</si>
  <si>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C-0642</t>
  </si>
  <si>
    <t>ORD-000778</t>
  </si>
  <si>
    <t>C-0262</t>
  </si>
  <si>
    <t>ORD-000779</t>
  </si>
  <si>
    <t>C-0672</t>
  </si>
  <si>
    <t>ORD-000780</t>
  </si>
  <si>
    <t>C-0765</t>
  </si>
  <si>
    <t>ORD-000781</t>
  </si>
  <si>
    <t>ORD-000782</t>
  </si>
  <si>
    <t>C-0193</t>
  </si>
  <si>
    <t>ORD-000783</t>
  </si>
  <si>
    <t>ORD-000784</t>
  </si>
  <si>
    <t>ORD-000785</t>
  </si>
  <si>
    <t>ORD-000786</t>
  </si>
  <si>
    <t>C-0143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</si>
  <si>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</si>
  <si>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</si>
  <si>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</si>
  <si>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</si>
  <si>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</si>
  <si>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</si>
  <si>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</si>
  <si>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</si>
  <si>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</si>
  <si>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</si>
  <si>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</si>
  <si>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C-0492</t>
  </si>
  <si>
    <t>ORD-000798</t>
  </si>
  <si>
    <t>ORD-000799</t>
  </si>
  <si>
    <t>ORD-000800</t>
  </si>
  <si>
    <t>ORD-000801</t>
  </si>
  <si>
    <t>ORD-000802</t>
  </si>
  <si>
    <t>C-0741</t>
  </si>
  <si>
    <t>ORD-000803</t>
  </si>
  <si>
    <t>C-0232</t>
  </si>
  <si>
    <t>ORD-000804</t>
  </si>
  <si>
    <t>C-0129</t>
  </si>
  <si>
    <t>ORD-000805</t>
  </si>
  <si>
    <t>ORD-000806</t>
  </si>
  <si>
    <t>C-0004</t>
  </si>
  <si>
    <t>ORD-000807</t>
  </si>
  <si>
    <t>C-0568</t>
  </si>
  <si>
    <t>ORD-000808</t>
  </si>
  <si>
    <t>C-0683</t>
  </si>
  <si>
    <t>ORD-000809</t>
  </si>
  <si>
    <t>ORD-000810</t>
  </si>
  <si>
    <t>C-0700</t>
  </si>
  <si>
    <t>ORD-000811</t>
  </si>
  <si>
    <t>C-0644</t>
  </si>
  <si>
    <t>ORD-000812</t>
  </si>
  <si>
    <t>ORD-000813</t>
  </si>
  <si>
    <t>ORD-000814</t>
  </si>
  <si>
    <t>ORD-000815</t>
  </si>
  <si>
    <t>ORD-000816</t>
  </si>
  <si>
    <t>ORD-000817</t>
  </si>
  <si>
    <t>C-0658</t>
  </si>
  <si>
    <t>ORD-000818</t>
  </si>
  <si>
    <t>ORD-000819</t>
  </si>
  <si>
    <t>ORD-000820</t>
  </si>
  <si>
    <t>C-0714</t>
  </si>
  <si>
    <t>ORD-000821</t>
  </si>
  <si>
    <t>ORD-000822</t>
  </si>
  <si>
    <t>ORD-000823</t>
  </si>
  <si>
    <t>ORD-000824</t>
  </si>
  <si>
    <t>ORD-000825</t>
  </si>
  <si>
    <t>ORD-000826</t>
  </si>
  <si>
    <t>C-0462</t>
  </si>
  <si>
    <t>ORD-000827</t>
  </si>
  <si>
    <t>ORD-000828</t>
  </si>
  <si>
    <t>ORD-000829</t>
  </si>
  <si>
    <t>ORD-000830</t>
  </si>
  <si>
    <t>C-0249</t>
  </si>
  <si>
    <t>ORD-000831</t>
  </si>
  <si>
    <t>ORD-000832</t>
  </si>
  <si>
    <t>ORD-000833</t>
  </si>
  <si>
    <t>ORD-000834</t>
  </si>
  <si>
    <t>ORD-000835</t>
  </si>
  <si>
    <t>C-0014</t>
  </si>
  <si>
    <t>ORD-000836</t>
  </si>
  <si>
    <t>ORD-000837</t>
  </si>
  <si>
    <t>ORD-000838</t>
  </si>
  <si>
    <t>ORD-000839</t>
  </si>
  <si>
    <t>ORD-000840</t>
  </si>
  <si>
    <t>C-0509</t>
  </si>
  <si>
    <t>ORD-000841</t>
  </si>
  <si>
    <t>ORD-000842</t>
  </si>
  <si>
    <t>ORD-000843</t>
  </si>
  <si>
    <t>C-0791</t>
  </si>
  <si>
    <t>ORD-000844</t>
  </si>
  <si>
    <t>C-0544</t>
  </si>
  <si>
    <t>ORD-000845</t>
  </si>
  <si>
    <t>ORD-000846</t>
  </si>
  <si>
    <t>C-0432</t>
  </si>
  <si>
    <t>ORD-000847</t>
  </si>
  <si>
    <t>C-0134</t>
  </si>
  <si>
    <t>ORD-000848</t>
  </si>
  <si>
    <t>C-0504</t>
  </si>
  <si>
    <t>ORD-000849</t>
  </si>
  <si>
    <t>ORD-000850</t>
  </si>
  <si>
    <t>ORD-000851</t>
  </si>
  <si>
    <t>C-0468</t>
  </si>
  <si>
    <t>ORD-000852</t>
  </si>
  <si>
    <t>ORD-000853</t>
  </si>
  <si>
    <t>ORD-000854</t>
  </si>
  <si>
    <t>C-0069</t>
  </si>
  <si>
    <t>ORD-000855</t>
  </si>
  <si>
    <t>ORD-000856</t>
  </si>
  <si>
    <t>ORD-000857</t>
  </si>
  <si>
    <t>C-0382</t>
  </si>
  <si>
    <t>ORD-000858</t>
  </si>
  <si>
    <t>C-0729</t>
  </si>
  <si>
    <t>ORD-000859</t>
  </si>
  <si>
    <t>ORD-000860</t>
  </si>
  <si>
    <t>ORD-000861</t>
  </si>
  <si>
    <t>C-0435</t>
  </si>
  <si>
    <t>ORD-000862</t>
  </si>
  <si>
    <t>C-0675</t>
  </si>
  <si>
    <t>ORD-000863</t>
  </si>
  <si>
    <t>C-0563</t>
  </si>
  <si>
    <t>ORD-000864</t>
  </si>
  <si>
    <t>C-0430</t>
  </si>
  <si>
    <t>ORD-000865</t>
  </si>
  <si>
    <t>C-0611</t>
  </si>
  <si>
    <t>ORD-000866</t>
  </si>
  <si>
    <t>ORD-000867</t>
  </si>
  <si>
    <t>ORD-000868</t>
  </si>
  <si>
    <t>ORD-000869</t>
  </si>
  <si>
    <t>C-0770</t>
  </si>
  <si>
    <t>ORD-000870</t>
  </si>
  <si>
    <t>C-0210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</si>
  <si>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</si>
  <si>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</si>
  <si>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</si>
  <si>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</si>
  <si>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</si>
  <si>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</si>
  <si>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</si>
  <si>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</si>
  <si>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</si>
  <si>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C-0733</t>
  </si>
  <si>
    <t>ORD-000880</t>
  </si>
  <si>
    <t>ORD-000881</t>
  </si>
  <si>
    <t>ORD-000882</t>
  </si>
  <si>
    <t>ORD-000883</t>
  </si>
  <si>
    <t>C-0306</t>
  </si>
  <si>
    <t>ORD-000884</t>
  </si>
  <si>
    <t>ORD-000885</t>
  </si>
  <si>
    <t>ORD-000886</t>
  </si>
  <si>
    <t>C-0604</t>
  </si>
  <si>
    <t>ORD-000887</t>
  </si>
  <si>
    <t>ORD-000888</t>
  </si>
  <si>
    <t>ORD-000889</t>
  </si>
  <si>
    <t>ORD-000890</t>
  </si>
  <si>
    <t>ORD-000891</t>
  </si>
  <si>
    <t>ORD-000892</t>
  </si>
  <si>
    <t>C-0340</t>
  </si>
  <si>
    <t>ORD-000893</t>
  </si>
  <si>
    <t>C-0121</t>
  </si>
  <si>
    <t>ORD-000894</t>
  </si>
  <si>
    <t>ORD-000895</t>
  </si>
  <si>
    <t>ORD-000896</t>
  </si>
  <si>
    <t>C-0530</t>
  </si>
  <si>
    <t>ORD-000897</t>
  </si>
  <si>
    <t>ORD-000898</t>
  </si>
  <si>
    <t>ORD-000899</t>
  </si>
  <si>
    <t>ORD-000900</t>
  </si>
  <si>
    <t>ORD-000901</t>
  </si>
  <si>
    <t>C-0046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</si>
  <si>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</si>
  <si>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</si>
  <si>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</si>
  <si>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</si>
  <si>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</si>
  <si>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</si>
  <si>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</si>
  <si>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</si>
  <si>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</si>
  <si>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C-0287</t>
  </si>
  <si>
    <t>ORD-000911</t>
  </si>
  <si>
    <t>C-0198</t>
  </si>
  <si>
    <t>ORD-000912</t>
  </si>
  <si>
    <t>ORD-000913</t>
  </si>
  <si>
    <t>C-0087</t>
  </si>
  <si>
    <t>ORD-000914</t>
  </si>
  <si>
    <t>C-0495</t>
  </si>
  <si>
    <t>ORD-000915</t>
  </si>
  <si>
    <t>C-0666</t>
  </si>
  <si>
    <t>ORD-000916</t>
  </si>
  <si>
    <t>C-0554</t>
  </si>
  <si>
    <t>ORD-000917</t>
  </si>
  <si>
    <t>ORD-000918</t>
  </si>
  <si>
    <t>C-0395</t>
  </si>
  <si>
    <t>ORD-000919</t>
  </si>
  <si>
    <t>C-0352</t>
  </si>
  <si>
    <t>ORD-000920</t>
  </si>
  <si>
    <t>ORD-000921</t>
  </si>
  <si>
    <t>ORD-000922</t>
  </si>
  <si>
    <t>ORD-000923</t>
  </si>
  <si>
    <t>ORD-000924</t>
  </si>
  <si>
    <t>ORD-000925</t>
  </si>
  <si>
    <t>C-0175</t>
  </si>
  <si>
    <t>ORD-000926</t>
  </si>
  <si>
    <t>C-0163</t>
  </si>
  <si>
    <t>ORD-000927</t>
  </si>
  <si>
    <t>ORD-000928</t>
  </si>
  <si>
    <t>ORD-000929</t>
  </si>
  <si>
    <t>ORD-000930</t>
  </si>
  <si>
    <t>C-0772</t>
  </si>
  <si>
    <t>ORD-000931</t>
  </si>
  <si>
    <t>ORD-000932</t>
  </si>
  <si>
    <t>ORD-000933</t>
  </si>
  <si>
    <t>ORD-000934</t>
  </si>
  <si>
    <t>C-0589</t>
  </si>
  <si>
    <t>ORD-000935</t>
  </si>
  <si>
    <t>ORD-000936</t>
  </si>
  <si>
    <t>ORD-000937</t>
  </si>
  <si>
    <t>ORD-000938</t>
  </si>
  <si>
    <t>C-0573</t>
  </si>
  <si>
    <t>ORD-000939</t>
  </si>
  <si>
    <t>ORD-000940</t>
  </si>
  <si>
    <t>ORD-000941</t>
  </si>
  <si>
    <t>ORD-000942</t>
  </si>
  <si>
    <t>ORD-000943</t>
  </si>
  <si>
    <t>C-0012</t>
  </si>
  <si>
    <t>ORD-000944</t>
  </si>
  <si>
    <t>ORD-000945</t>
  </si>
  <si>
    <t>ORD-000946</t>
  </si>
  <si>
    <t>ORD-000947</t>
  </si>
  <si>
    <t>C-0331</t>
  </si>
  <si>
    <t>ORD-000948</t>
  </si>
  <si>
    <t>ORD-000949</t>
  </si>
  <si>
    <t>C-0592</t>
  </si>
  <si>
    <t>ORD-000950</t>
  </si>
  <si>
    <t>C-0687</t>
  </si>
  <si>
    <t>ORD-000951</t>
  </si>
  <si>
    <t>C-0631</t>
  </si>
  <si>
    <t>ORD-000952</t>
  </si>
  <si>
    <t>ORD-000953</t>
  </si>
  <si>
    <t>ORD-000954</t>
  </si>
  <si>
    <t>ORD-000955</t>
  </si>
  <si>
    <t>C-0472</t>
  </si>
  <si>
    <t>ORD-000956</t>
  </si>
  <si>
    <t>C-0458</t>
  </si>
  <si>
    <t>ORD-000957</t>
  </si>
  <si>
    <t>C-0712</t>
  </si>
  <si>
    <t>ORD-000958</t>
  </si>
  <si>
    <t>ORD-000959</t>
  </si>
  <si>
    <t>C-0201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</si>
  <si>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</si>
  <si>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</si>
  <si>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</si>
  <si>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</si>
  <si>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</si>
  <si>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</si>
  <si>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</si>
  <si>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</si>
  <si>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C-0561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</si>
  <si>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</si>
  <si>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</si>
  <si>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</si>
  <si>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</si>
  <si>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</si>
  <si>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</si>
  <si>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</si>
  <si>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</si>
  <si>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C-0316</t>
  </si>
  <si>
    <t>ORD-000976</t>
  </si>
  <si>
    <t>ORD-000977</t>
  </si>
  <si>
    <t>C-0061</t>
  </si>
  <si>
    <t>ORD-000978</t>
  </si>
  <si>
    <t>ORD-000979</t>
  </si>
  <si>
    <t>C-0626</t>
  </si>
  <si>
    <t>ORD-000980</t>
  </si>
  <si>
    <t>C-0158</t>
  </si>
  <si>
    <t>ORD-000981</t>
  </si>
  <si>
    <t>C-0795</t>
  </si>
  <si>
    <t>ORD-000982</t>
  </si>
  <si>
    <t>ORD-000983</t>
  </si>
  <si>
    <t>C-0286</t>
  </si>
  <si>
    <t>ORD-000984</t>
  </si>
  <si>
    <t>C-0015</t>
  </si>
  <si>
    <t>ORD-000985</t>
  </si>
  <si>
    <t>ORD-000986</t>
  </si>
  <si>
    <t>ORD-000987</t>
  </si>
  <si>
    <t>ORD-000988</t>
  </si>
  <si>
    <t>ORD-000989</t>
  </si>
  <si>
    <t>C-0699</t>
  </si>
  <si>
    <t>ORD-000990</t>
  </si>
  <si>
    <t>C-0011</t>
  </si>
  <si>
    <t>ORD-000991</t>
  </si>
  <si>
    <t>ORD-000992</t>
  </si>
  <si>
    <t>ORD-000993</t>
  </si>
  <si>
    <t>ORD-000994</t>
  </si>
  <si>
    <t>C-0299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</si>
  <si>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</si>
  <si>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</si>
  <si>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</si>
  <si>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</si>
  <si>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</si>
  <si>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</si>
  <si>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</si>
  <si>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</si>
  <si>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</si>
  <si>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C-0566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</si>
  <si>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</si>
  <si>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</si>
  <si>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</si>
  <si>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</si>
  <si>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</si>
  <si>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</si>
  <si>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</si>
  <si>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C-0293</t>
  </si>
  <si>
    <t>ORD-001011</t>
  </si>
  <si>
    <t>ORD-001012</t>
  </si>
  <si>
    <t>ORD-001013</t>
  </si>
  <si>
    <t>C-0768</t>
  </si>
  <si>
    <t>ORD-001014</t>
  </si>
  <si>
    <t>ORD-001015</t>
  </si>
  <si>
    <t>C-0543</t>
  </si>
  <si>
    <t>ORD-001016</t>
  </si>
  <si>
    <t>ORD-001017</t>
  </si>
  <si>
    <t>C-0141</t>
  </si>
  <si>
    <t>ORD-001018</t>
  </si>
  <si>
    <t>C-0701</t>
  </si>
  <si>
    <t>ORD-001019</t>
  </si>
  <si>
    <t>ORD-001020</t>
  </si>
  <si>
    <t>ORD-001021</t>
  </si>
  <si>
    <t>C-0151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</si>
  <si>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</si>
  <si>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</si>
  <si>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</si>
  <si>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</si>
  <si>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</si>
  <si>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</si>
  <si>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</si>
  <si>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</si>
  <si>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</si>
  <si>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</si>
  <si>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</si>
  <si>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</si>
  <si>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</si>
  <si>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</si>
  <si>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</si>
  <si>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</si>
  <si>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</si>
  <si>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C-0005</t>
  </si>
  <si>
    <t>ORD-001039</t>
  </si>
  <si>
    <t>ORD-001040</t>
  </si>
  <si>
    <t>ORD-001041</t>
  </si>
  <si>
    <t>ORD-001042</t>
  </si>
  <si>
    <t>C-0279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</si>
  <si>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</si>
  <si>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</si>
  <si>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</si>
  <si>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</si>
  <si>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</si>
  <si>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</si>
  <si>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</si>
  <si>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C-0216</t>
  </si>
  <si>
    <t>ORD-001050</t>
  </si>
  <si>
    <t>ORD-001051</t>
  </si>
  <si>
    <t>C-0025</t>
  </si>
  <si>
    <t>ORD-001052</t>
  </si>
  <si>
    <t>ORD-001053</t>
  </si>
  <si>
    <t>ORD-001054</t>
  </si>
  <si>
    <t>C-0310</t>
  </si>
  <si>
    <t>ORD-001055</t>
  </si>
  <si>
    <t>ORD-001056</t>
  </si>
  <si>
    <t>C-0465</t>
  </si>
  <si>
    <t>ORD-001057</t>
  </si>
  <si>
    <t>ORD-001058</t>
  </si>
  <si>
    <t>ORD-001059</t>
  </si>
  <si>
    <t>ORD-001060</t>
  </si>
  <si>
    <t>ORD-001061</t>
  </si>
  <si>
    <t>ORD-001062</t>
  </si>
  <si>
    <t>C-0452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</si>
  <si>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</si>
  <si>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</si>
  <si>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</si>
  <si>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</si>
  <si>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</si>
  <si>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</si>
  <si>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</si>
  <si>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</si>
  <si>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C-0751</t>
  </si>
  <si>
    <t>ORD-001071</t>
  </si>
  <si>
    <t>ORD-001072</t>
  </si>
  <si>
    <t>ORD-001073</t>
  </si>
  <si>
    <t>ORD-001074</t>
  </si>
  <si>
    <t>C-0660</t>
  </si>
  <si>
    <t>ORD-001075</t>
  </si>
  <si>
    <t>ORD-001076</t>
  </si>
  <si>
    <t>C-0250</t>
  </si>
  <si>
    <t>ORD-001077</t>
  </si>
  <si>
    <t>ORD-001078</t>
  </si>
  <si>
    <t>ORD-001079</t>
  </si>
  <si>
    <t>C-0493</t>
  </si>
  <si>
    <t>ORD-001080</t>
  </si>
  <si>
    <t>ORD-001081</t>
  </si>
  <si>
    <t>ORD-001082</t>
  </si>
  <si>
    <t>C-0081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</si>
  <si>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</si>
  <si>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</si>
  <si>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</si>
  <si>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</si>
  <si>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</si>
  <si>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</si>
  <si>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</si>
  <si>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</si>
  <si>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</si>
  <si>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</si>
  <si>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</si>
  <si>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</si>
  <si>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C-0586</t>
  </si>
  <si>
    <t>ORD-001095</t>
  </si>
  <si>
    <t>ORD-001096</t>
  </si>
  <si>
    <t>C-0481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</si>
  <si>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</si>
  <si>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</si>
  <si>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</si>
  <si>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</si>
  <si>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</si>
  <si>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</si>
  <si>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</si>
  <si>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</si>
  <si>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C-0763</t>
  </si>
  <si>
    <t>ORD-001105</t>
  </si>
  <si>
    <t>C-0369</t>
  </si>
  <si>
    <t>ORD-001106</t>
  </si>
  <si>
    <t>ORD-001107</t>
  </si>
  <si>
    <t>C-0063</t>
  </si>
  <si>
    <t>ORD-001108</t>
  </si>
  <si>
    <t>ORD-001109</t>
  </si>
  <si>
    <t>C-0670</t>
  </si>
  <si>
    <t>ORD-001110</t>
  </si>
  <si>
    <t>C-0065</t>
  </si>
  <si>
    <t>ORD-001111</t>
  </si>
  <si>
    <t>ORD-001112</t>
  </si>
  <si>
    <t>C-0272</t>
  </si>
  <si>
    <t>ORD-001113</t>
  </si>
  <si>
    <t>ORD-001114</t>
  </si>
  <si>
    <t>ORD-001115</t>
  </si>
  <si>
    <t>ORD-001116</t>
  </si>
  <si>
    <t>ORD-001117</t>
  </si>
  <si>
    <t>C-0347</t>
  </si>
  <si>
    <t>ORD-001118</t>
  </si>
  <si>
    <t>ORD-001119</t>
  </si>
  <si>
    <t>ORD-001120</t>
  </si>
  <si>
    <t>ORD-001121</t>
  </si>
  <si>
    <t>C-0357</t>
  </si>
  <si>
    <t>ORD-001122</t>
  </si>
  <si>
    <t>ORD-001123</t>
  </si>
  <si>
    <t>C-0228</t>
  </si>
  <si>
    <t>ORD-001124</t>
  </si>
  <si>
    <t>ORD-001125</t>
  </si>
  <si>
    <t>C-0512</t>
  </si>
  <si>
    <t>ORD-001126</t>
  </si>
  <si>
    <t>ORD-001127</t>
  </si>
  <si>
    <t>C-0792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</si>
  <si>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</si>
  <si>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</si>
  <si>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</si>
  <si>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</si>
  <si>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</si>
  <si>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</si>
  <si>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</si>
  <si>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</si>
  <si>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</si>
  <si>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C-0384</t>
  </si>
  <si>
    <t>ORD-001137</t>
  </si>
  <si>
    <t>C-0498</t>
  </si>
  <si>
    <t>ORD-001138</t>
  </si>
  <si>
    <t>C-0103</t>
  </si>
  <si>
    <t>ORD-001139</t>
  </si>
  <si>
    <t>ORD-001140</t>
  </si>
  <si>
    <t>ORD-001141</t>
  </si>
  <si>
    <t>ORD-001142</t>
  </si>
  <si>
    <t>ORD-001143</t>
  </si>
  <si>
    <t>C-0575</t>
  </si>
  <si>
    <t>ORD-001144</t>
  </si>
  <si>
    <t>ORD-001145</t>
  </si>
  <si>
    <t>C-0455</t>
  </si>
  <si>
    <t>ORD-001146</t>
  </si>
  <si>
    <t>ORD-001147</t>
  </si>
  <si>
    <t>ORD-001148</t>
  </si>
  <si>
    <t>C-0398</t>
  </si>
  <si>
    <t>ORD-001149</t>
  </si>
  <si>
    <t>ORD-001150</t>
  </si>
  <si>
    <t>C-0459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</si>
  <si>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</si>
  <si>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</si>
  <si>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</si>
  <si>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</si>
  <si>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</si>
  <si>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</si>
  <si>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</si>
  <si>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</si>
  <si>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</si>
  <si>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</si>
  <si>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</si>
  <si>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</si>
  <si>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C-0275</t>
  </si>
  <si>
    <t>ORD-001163</t>
  </si>
  <si>
    <t>ORD-001164</t>
  </si>
  <si>
    <t>C-0179</t>
  </si>
  <si>
    <t>ORD-001165</t>
  </si>
  <si>
    <t>ORD-001166</t>
  </si>
  <si>
    <t>C-0744</t>
  </si>
  <si>
    <t>ORD-001167</t>
  </si>
  <si>
    <t>ORD-001168</t>
  </si>
  <si>
    <t>C-0064</t>
  </si>
  <si>
    <t>ORD-001169</t>
  </si>
  <si>
    <t>C-0516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</si>
  <si>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</si>
  <si>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</si>
  <si>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</si>
  <si>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</si>
  <si>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</si>
  <si>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</si>
  <si>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</si>
  <si>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</si>
  <si>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C-0078</t>
  </si>
  <si>
    <t>ORD-001178</t>
  </si>
  <si>
    <t>ORD-001179</t>
  </si>
  <si>
    <t>ORD-001180</t>
  </si>
  <si>
    <t>ORD-001181</t>
  </si>
  <si>
    <t>ORD-001182</t>
  </si>
  <si>
    <t>C-0717</t>
  </si>
  <si>
    <t>ORD-001183</t>
  </si>
  <si>
    <t>C-0023</t>
  </si>
  <si>
    <t>ORD-001184</t>
  </si>
  <si>
    <t>ORD-001185</t>
  </si>
  <si>
    <t>ORD-001186</t>
  </si>
  <si>
    <t>ORD-001187</t>
  </si>
  <si>
    <t>ORD-001188</t>
  </si>
  <si>
    <t>ORD-001189</t>
  </si>
  <si>
    <t>C-0241</t>
  </si>
  <si>
    <t>ORD-001190</t>
  </si>
  <si>
    <t>ORD-001191</t>
  </si>
  <si>
    <t>C-0445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</si>
  <si>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</si>
  <si>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</si>
  <si>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</si>
  <si>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</si>
  <si>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</si>
  <si>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</si>
  <si>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</si>
  <si>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C-0517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</si>
  <si>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</si>
  <si>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</si>
  <si>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</si>
  <si>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</si>
  <si>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</si>
  <si>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</si>
  <si>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</si>
  <si>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C-0373</t>
  </si>
  <si>
    <t>ORD-001206</t>
  </si>
  <si>
    <t>C-0752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</si>
  <si>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</si>
  <si>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</si>
  <si>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</si>
  <si>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</si>
  <si>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</si>
  <si>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</si>
  <si>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</si>
  <si>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</si>
  <si>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</si>
  <si>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</si>
  <si>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C-0199</t>
  </si>
  <si>
    <t>ORD-001217</t>
  </si>
  <si>
    <t>ORD-001218</t>
  </si>
  <si>
    <t>ORD-001219</t>
  </si>
  <si>
    <t>ORD-001220</t>
  </si>
  <si>
    <t>C-0596</t>
  </si>
  <si>
    <t>ORD-001221</t>
  </si>
  <si>
    <t>C-0386</t>
  </si>
  <si>
    <t>ORD-001222</t>
  </si>
  <si>
    <t>ORD-001223</t>
  </si>
  <si>
    <t>ORD-001224</t>
  </si>
  <si>
    <t>ORD-001225</t>
  </si>
  <si>
    <t>ORD-001226</t>
  </si>
  <si>
    <t>ORD-001227</t>
  </si>
  <si>
    <t>C-0743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</si>
  <si>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</si>
  <si>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</si>
  <si>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</si>
  <si>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</si>
  <si>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</si>
  <si>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</si>
  <si>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</si>
  <si>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C-0538</t>
  </si>
  <si>
    <t>ORD-001235</t>
  </si>
  <si>
    <t>ORD-001236</t>
  </si>
  <si>
    <t>C-0253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</si>
  <si>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</si>
  <si>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</si>
  <si>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</si>
  <si>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</si>
  <si>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</si>
  <si>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</si>
  <si>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</si>
  <si>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C-0333</t>
  </si>
  <si>
    <t>ORD-001244</t>
  </si>
  <si>
    <t>ORD-001245</t>
  </si>
  <si>
    <t>ORD-001246</t>
  </si>
  <si>
    <t>C-0259</t>
  </si>
  <si>
    <t>ORD-001247</t>
  </si>
  <si>
    <t>ORD-001248</t>
  </si>
  <si>
    <t>ORD-001249</t>
  </si>
  <si>
    <t>ORD-001250</t>
  </si>
  <si>
    <t>ORD-001251</t>
  </si>
  <si>
    <t>C-0043</t>
  </si>
  <si>
    <t>ORD-001252</t>
  </si>
  <si>
    <t>C-0097</t>
  </si>
  <si>
    <t>ORD-001253</t>
  </si>
  <si>
    <t>ORD-001254</t>
  </si>
  <si>
    <t>ORD-001255</t>
  </si>
  <si>
    <t>ORD-001256</t>
  </si>
  <si>
    <t>ORD-001257</t>
  </si>
  <si>
    <t>C-0599</t>
  </si>
  <si>
    <t>ORD-001258</t>
  </si>
  <si>
    <t>ORD-001259</t>
  </si>
  <si>
    <t>C-0528</t>
  </si>
  <si>
    <t>ORD-001260</t>
  </si>
  <si>
    <t>ORD-001261</t>
  </si>
  <si>
    <t>ORD-001262</t>
  </si>
  <si>
    <t>C-0579</t>
  </si>
  <si>
    <t>ORD-001263</t>
  </si>
  <si>
    <t>C-0196</t>
  </si>
  <si>
    <t>ORD-001264</t>
  </si>
  <si>
    <t>C-0692</t>
  </si>
  <si>
    <t>ORD-001265</t>
  </si>
  <si>
    <t>ORD-001266</t>
  </si>
  <si>
    <t>ORD-001267</t>
  </si>
  <si>
    <t>C-0578</t>
  </si>
  <si>
    <t>ORD-001268</t>
  </si>
  <si>
    <t>ORD-001269</t>
  </si>
  <si>
    <t>ORD-001270</t>
  </si>
  <si>
    <t>ORD-001271</t>
  </si>
  <si>
    <t>ORD-001272</t>
  </si>
  <si>
    <t>C-0276</t>
  </si>
  <si>
    <t>ORD-001273</t>
  </si>
  <si>
    <t>ORD-001274</t>
  </si>
  <si>
    <t>ORD-001275</t>
  </si>
  <si>
    <t>ORD-001276</t>
  </si>
  <si>
    <t>ORD-001277</t>
  </si>
  <si>
    <t>C-0284</t>
  </si>
  <si>
    <t>ORD-001278</t>
  </si>
  <si>
    <t>ORD-001279</t>
  </si>
  <si>
    <t>ORD-001280</t>
  </si>
  <si>
    <t>C-0422</t>
  </si>
  <si>
    <t>ORD-001281</t>
  </si>
  <si>
    <t>ORD-001282</t>
  </si>
  <si>
    <t>C-0786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</si>
  <si>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</si>
  <si>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</si>
  <si>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</si>
  <si>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</si>
  <si>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</si>
  <si>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</si>
  <si>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</si>
  <si>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</si>
  <si>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</si>
  <si>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C-0571</t>
  </si>
  <si>
    <t>ORD-001292</t>
  </si>
  <si>
    <t>ORD-001293</t>
  </si>
  <si>
    <t>ORD-001294</t>
  </si>
  <si>
    <t>ORD-001295</t>
  </si>
  <si>
    <t>ORD-001296</t>
  </si>
  <si>
    <t>C-0713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</si>
  <si>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</si>
  <si>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</si>
  <si>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</si>
  <si>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</si>
  <si>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</si>
  <si>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</si>
  <si>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</si>
  <si>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</si>
  <si>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</si>
  <si>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C-0184</t>
  </si>
  <si>
    <t>ORD-001306</t>
  </si>
  <si>
    <t>C-0464</t>
  </si>
  <si>
    <t>ORD-001307</t>
  </si>
  <si>
    <t>ORD-001308</t>
  </si>
  <si>
    <t>ORD-001309</t>
  </si>
  <si>
    <t>ORD-001310</t>
  </si>
  <si>
    <t>C-0773</t>
  </si>
  <si>
    <t>ORD-001311</t>
  </si>
  <si>
    <t>ORD-001312</t>
  </si>
  <si>
    <t>C-0595</t>
  </si>
  <si>
    <t>ORD-001313</t>
  </si>
  <si>
    <t>ORD-001314</t>
  </si>
  <si>
    <t>ORD-001315</t>
  </si>
  <si>
    <t>ORD-001316</t>
  </si>
  <si>
    <t>ORD-001317</t>
  </si>
  <si>
    <t>C-0345</t>
  </si>
  <si>
    <t>ORD-001318</t>
  </si>
  <si>
    <t>C-0722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</si>
  <si>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</si>
  <si>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</si>
  <si>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</si>
  <si>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</si>
  <si>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</si>
  <si>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</si>
  <si>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</si>
  <si>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</si>
  <si>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</si>
  <si>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C-0457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</si>
  <si>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</si>
  <si>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</si>
  <si>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</si>
  <si>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</si>
  <si>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</si>
  <si>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</si>
  <si>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</si>
  <si>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</si>
  <si>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C-0694</t>
  </si>
  <si>
    <t>ORD-001336</t>
  </si>
  <si>
    <t>ORD-001337</t>
  </si>
  <si>
    <t>C-0048</t>
  </si>
  <si>
    <t>ORD-001338</t>
  </si>
  <si>
    <t>ORD-001339</t>
  </si>
  <si>
    <t>ORD-001340</t>
  </si>
  <si>
    <t>C-0197</t>
  </si>
  <si>
    <t>ORD-001341</t>
  </si>
  <si>
    <t>ORD-001342</t>
  </si>
  <si>
    <t>C-0302</t>
  </si>
  <si>
    <t>ORD-001343</t>
  </si>
  <si>
    <t>C-0274</t>
  </si>
  <si>
    <t>ORD-001344</t>
  </si>
  <si>
    <t>C-0518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</si>
  <si>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</si>
  <si>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</si>
  <si>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</si>
  <si>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</si>
  <si>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</si>
  <si>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</si>
  <si>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</si>
  <si>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</si>
  <si>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</si>
  <si>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</si>
  <si>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</si>
  <si>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</si>
  <si>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</si>
  <si>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C-0656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</si>
  <si>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</si>
  <si>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</si>
  <si>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</si>
  <si>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</si>
  <si>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</si>
  <si>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</si>
  <si>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</si>
  <si>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C-0662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</si>
  <si>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</si>
  <si>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</si>
  <si>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</si>
  <si>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</si>
  <si>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</si>
  <si>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</si>
  <si>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</si>
  <si>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</si>
  <si>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</si>
  <si>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</si>
  <si>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</si>
  <si>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</si>
  <si>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C-0456</t>
  </si>
  <si>
    <t>ORD-001377</t>
  </si>
  <si>
    <t>C-0470</t>
  </si>
  <si>
    <t>ORD-001378</t>
  </si>
  <si>
    <t>ORD-001379</t>
  </si>
  <si>
    <t>ORD-001380</t>
  </si>
  <si>
    <t>ORD-001381</t>
  </si>
  <si>
    <t>ORD-001382</t>
  </si>
  <si>
    <t>ORD-001383</t>
  </si>
  <si>
    <t>C-0425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</si>
  <si>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</si>
  <si>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</si>
  <si>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</si>
  <si>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</si>
  <si>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</si>
  <si>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</si>
  <si>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</si>
  <si>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C-0525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</si>
  <si>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</si>
  <si>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</si>
  <si>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</si>
  <si>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</si>
  <si>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</si>
  <si>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</si>
  <si>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</si>
  <si>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C-0684</t>
  </si>
  <si>
    <t>ORD-001398</t>
  </si>
  <si>
    <t>ORD-001399</t>
  </si>
  <si>
    <t>ORD-001400</t>
  </si>
  <si>
    <t>ORD-001401</t>
  </si>
  <si>
    <t>ORD-001402</t>
  </si>
  <si>
    <t>C-0587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</si>
  <si>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</si>
  <si>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</si>
  <si>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</si>
  <si>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</si>
  <si>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</si>
  <si>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</si>
  <si>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</si>
  <si>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</si>
  <si>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</si>
  <si>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</si>
  <si>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</si>
  <si>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</si>
  <si>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</si>
  <si>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</si>
  <si>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</si>
  <si>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</si>
  <si>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</si>
  <si>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</si>
  <si>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</si>
  <si>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</si>
  <si>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</si>
  <si>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</si>
  <si>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</si>
  <si>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</si>
  <si>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</si>
  <si>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</si>
  <si>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</si>
  <si>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</si>
  <si>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</si>
  <si>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</si>
  <si>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</si>
  <si>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</si>
  <si>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</si>
  <si>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</si>
  <si>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</si>
  <si>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</si>
  <si>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C-0176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</si>
  <si>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</si>
  <si>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</si>
  <si>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</si>
  <si>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</si>
  <si>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</si>
  <si>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</si>
  <si>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</si>
  <si>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</si>
  <si>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C-0142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</si>
  <si>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</si>
  <si>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</si>
  <si>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</si>
  <si>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</si>
  <si>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</si>
  <si>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</si>
  <si>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</si>
  <si>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</si>
  <si>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C-0499</t>
  </si>
  <si>
    <t>ORD-001455</t>
  </si>
  <si>
    <t>ORD-001456</t>
  </si>
  <si>
    <t>ORD-001457</t>
  </si>
  <si>
    <t>C-0248</t>
  </si>
  <si>
    <t>ORD-001458</t>
  </si>
  <si>
    <t>ORD-001459</t>
  </si>
  <si>
    <t>C-0191</t>
  </si>
  <si>
    <t>ORD-001460</t>
  </si>
  <si>
    <t>ORD-001461</t>
  </si>
  <si>
    <t>C-0461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</si>
  <si>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</si>
  <si>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</si>
  <si>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</si>
  <si>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</si>
  <si>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</si>
  <si>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</si>
  <si>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</si>
  <si>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</si>
  <si>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C-0485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</si>
  <si>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</si>
  <si>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</si>
  <si>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</si>
  <si>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</si>
  <si>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</si>
  <si>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</si>
  <si>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</si>
  <si>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</si>
  <si>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C-0515</t>
  </si>
  <si>
    <t>ORD-001478</t>
  </si>
  <si>
    <t>ORD-001479</t>
  </si>
  <si>
    <t>ORD-001480</t>
  </si>
  <si>
    <t>C-0132</t>
  </si>
  <si>
    <t>ORD-001481</t>
  </si>
  <si>
    <t>C-0027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</si>
  <si>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</si>
  <si>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</si>
  <si>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</si>
  <si>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</si>
  <si>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</si>
  <si>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</si>
  <si>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</si>
  <si>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</si>
  <si>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</si>
  <si>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</si>
  <si>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</si>
  <si>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</si>
  <si>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</si>
  <si>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C-0758</t>
  </si>
  <si>
    <t>ORD-001495</t>
  </si>
  <si>
    <t>ORD-001496</t>
  </si>
  <si>
    <t>C-0431</t>
  </si>
  <si>
    <t>ORD-001497</t>
  </si>
  <si>
    <t>ORD-001498</t>
  </si>
  <si>
    <t>ORD-001499</t>
  </si>
  <si>
    <t>ORD-001500</t>
  </si>
  <si>
    <t>ORD-001501</t>
  </si>
  <si>
    <t>C-0001</t>
  </si>
  <si>
    <t>ORD-001502</t>
  </si>
  <si>
    <t>ORD-001503</t>
  </si>
  <si>
    <t>ORD-001504</t>
  </si>
  <si>
    <t>ORD-001505</t>
  </si>
  <si>
    <t>ORD-001506</t>
  </si>
  <si>
    <t>C-0466</t>
  </si>
  <si>
    <t>ORD-001507</t>
  </si>
  <si>
    <t>ORD-001508</t>
  </si>
  <si>
    <t>ORD-001509</t>
  </si>
  <si>
    <t>C-0153</t>
  </si>
  <si>
    <t>ORD-001510</t>
  </si>
  <si>
    <t>ORD-001511</t>
  </si>
  <si>
    <t>C-0242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</si>
  <si>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</si>
  <si>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</si>
  <si>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</si>
  <si>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</si>
  <si>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</si>
  <si>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</si>
  <si>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</si>
  <si>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</si>
  <si>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C-0335</t>
  </si>
  <si>
    <t>ORD-001520</t>
  </si>
  <si>
    <t>C-0612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</si>
  <si>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</si>
  <si>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</si>
  <si>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</si>
  <si>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</si>
  <si>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</si>
  <si>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</si>
  <si>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</si>
  <si>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</si>
  <si>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</si>
  <si>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</si>
  <si>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C-0766</t>
  </si>
  <si>
    <t>ORD-001531</t>
  </si>
  <si>
    <t>C-0521</t>
  </si>
  <si>
    <t>ORD-001532</t>
  </si>
  <si>
    <t>ORD-001533</t>
  </si>
  <si>
    <t>ORD-001534</t>
  </si>
  <si>
    <t>ORD-001535</t>
  </si>
  <si>
    <t>ORD-001536</t>
  </si>
  <si>
    <t>ORD-001537</t>
  </si>
  <si>
    <t>C-0181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</si>
  <si>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</si>
  <si>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</si>
  <si>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</si>
  <si>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</si>
  <si>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</si>
  <si>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</si>
  <si>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</si>
  <si>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</si>
  <si>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</si>
  <si>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</si>
  <si>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</si>
  <si>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</si>
  <si>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</si>
  <si>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</si>
  <si>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</si>
  <si>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C-0295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</si>
  <si>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</si>
  <si>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</si>
  <si>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</si>
  <si>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</si>
  <si>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</si>
  <si>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</si>
  <si>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</si>
  <si>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</si>
  <si>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</si>
  <si>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</si>
  <si>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</si>
  <si>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</si>
  <si>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</si>
  <si>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</si>
  <si>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</si>
  <si>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</si>
  <si>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</si>
  <si>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</si>
  <si>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</si>
  <si>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</si>
  <si>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</si>
  <si>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</si>
  <si>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</si>
  <si>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</si>
  <si>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C-0366</t>
  </si>
  <si>
    <t>ORD-001577</t>
  </si>
  <si>
    <t>C-0702</t>
  </si>
  <si>
    <t>ORD-001578</t>
  </si>
  <si>
    <t>ORD-001579</t>
  </si>
  <si>
    <t>C-0785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</si>
  <si>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</si>
  <si>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</si>
  <si>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</si>
  <si>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</si>
  <si>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</si>
  <si>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</si>
  <si>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</si>
  <si>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</si>
  <si>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</si>
  <si>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</si>
  <si>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</si>
  <si>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</si>
  <si>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</si>
  <si>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</si>
  <si>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</si>
  <si>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</si>
  <si>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</si>
  <si>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</si>
  <si>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C-0552</t>
  </si>
  <si>
    <t>ORD-001598</t>
  </si>
  <si>
    <t>ORD-001599</t>
  </si>
  <si>
    <t>ORD-001600</t>
  </si>
  <si>
    <t>ORD-001601</t>
  </si>
  <si>
    <t>C-0727</t>
  </si>
  <si>
    <t>ORD-001602</t>
  </si>
  <si>
    <t>ORD-001603</t>
  </si>
  <si>
    <t>ORD-001604</t>
  </si>
  <si>
    <t>ORD-001605</t>
  </si>
  <si>
    <t>C-0135</t>
  </si>
  <si>
    <t>ORD-001606</t>
  </si>
  <si>
    <t>ORD-001607</t>
  </si>
  <si>
    <t>C-0637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</si>
  <si>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</si>
  <si>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</si>
  <si>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</si>
  <si>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</si>
  <si>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</si>
  <si>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</si>
  <si>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</si>
  <si>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</si>
  <si>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</si>
  <si>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C-0030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</si>
  <si>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</si>
  <si>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</si>
  <si>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</si>
  <si>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</si>
  <si>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</si>
  <si>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</si>
  <si>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</si>
  <si>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</si>
  <si>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</si>
  <si>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</si>
  <si>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</si>
  <si>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</si>
  <si>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</si>
  <si>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</si>
  <si>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</si>
  <si>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</si>
  <si>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</si>
  <si>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</si>
  <si>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</si>
  <si>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</si>
  <si>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</si>
  <si>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</si>
  <si>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</si>
  <si>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</si>
  <si>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</si>
  <si>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</si>
  <si>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</si>
  <si>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</si>
  <si>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</si>
  <si>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C-0297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</si>
  <si>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</si>
  <si>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</si>
  <si>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</si>
  <si>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</si>
  <si>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</si>
  <si>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</si>
  <si>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</si>
  <si>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</si>
  <si>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</si>
  <si>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</si>
  <si>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</si>
  <si>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</si>
  <si>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</si>
  <si>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</si>
  <si>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</si>
  <si>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</si>
  <si>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</si>
  <si>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</si>
  <si>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</si>
  <si>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</si>
  <si>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</si>
  <si>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</si>
  <si>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</si>
  <si>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</si>
  <si>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</si>
  <si>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</si>
  <si>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</si>
  <si>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</si>
  <si>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</si>
  <si>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</si>
  <si>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C-0245</t>
  </si>
  <si>
    <t>ORD-001676</t>
  </si>
  <si>
    <t>C-0397</t>
  </si>
  <si>
    <t>ORD-001677</t>
  </si>
  <si>
    <t>C-0560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</si>
  <si>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</si>
  <si>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</si>
  <si>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</si>
  <si>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</si>
  <si>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</si>
  <si>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</si>
  <si>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</si>
  <si>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</si>
  <si>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C-0307</t>
  </si>
  <si>
    <t>ORD-001686</t>
  </si>
  <si>
    <t>ORD-001687</t>
  </si>
  <si>
    <t>C-0696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</si>
  <si>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</si>
  <si>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</si>
  <si>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</si>
  <si>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</si>
  <si>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</si>
  <si>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</si>
  <si>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</si>
  <si>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</si>
  <si>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</si>
  <si>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</si>
  <si>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</si>
  <si>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</si>
  <si>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C-0383</t>
  </si>
  <si>
    <t>ORD-001700</t>
  </si>
  <si>
    <t>C-0474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</si>
  <si>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</si>
  <si>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</si>
  <si>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</si>
  <si>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</si>
  <si>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</si>
  <si>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</si>
  <si>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</si>
  <si>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</si>
  <si>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</si>
  <si>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</si>
  <si>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</si>
  <si>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</si>
  <si>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C-0338</t>
  </si>
  <si>
    <t>ORD-001713</t>
  </si>
  <si>
    <t>ORD-001714</t>
  </si>
  <si>
    <t>ORD-001715</t>
  </si>
  <si>
    <t>ORD-001716</t>
  </si>
  <si>
    <t>ORD-001717</t>
  </si>
  <si>
    <t>C-0788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</si>
  <si>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</si>
  <si>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</si>
  <si>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</si>
  <si>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</si>
  <si>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</si>
  <si>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</si>
  <si>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</si>
  <si>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C-0322</t>
  </si>
  <si>
    <t>ORD-001725</t>
  </si>
  <si>
    <t>ORD-001726</t>
  </si>
  <si>
    <t>ORD-001727</t>
  </si>
  <si>
    <t>C-0140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</si>
  <si>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</si>
  <si>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</si>
  <si>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</si>
  <si>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</si>
  <si>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</si>
  <si>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</si>
  <si>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</si>
  <si>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</si>
  <si>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</si>
  <si>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C-0659</t>
  </si>
  <si>
    <t>ORD-001737</t>
  </si>
  <si>
    <t>ORD-001738</t>
  </si>
  <si>
    <t>ORD-001739</t>
  </si>
  <si>
    <t>ORD-001740</t>
  </si>
  <si>
    <t>ORD-001741</t>
  </si>
  <si>
    <t>ORD-001742</t>
  </si>
  <si>
    <t>C-0277</t>
  </si>
  <si>
    <t>ORD-001743</t>
  </si>
  <si>
    <t>ORD-001744</t>
  </si>
  <si>
    <t>ORD-001745</t>
  </si>
  <si>
    <t>ORD-001746</t>
  </si>
  <si>
    <t>C-0032</t>
  </si>
  <si>
    <t>ORD-001747</t>
  </si>
  <si>
    <t>C-0601</t>
  </si>
  <si>
    <t>ORD-001748</t>
  </si>
  <si>
    <t>ORD-001749</t>
  </si>
  <si>
    <t>ORD-001750</t>
  </si>
  <si>
    <t>ORD-001751</t>
  </si>
  <si>
    <t>ORD-001752</t>
  </si>
  <si>
    <t>C-0062</t>
  </si>
  <si>
    <t>ORD-001753</t>
  </si>
  <si>
    <t>ORD-001754</t>
  </si>
  <si>
    <t>C-0490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</si>
  <si>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</si>
  <si>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</si>
  <si>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</si>
  <si>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</si>
  <si>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</si>
  <si>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</si>
  <si>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</si>
  <si>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</si>
  <si>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C-0264</t>
  </si>
  <si>
    <t>ORD-001763</t>
  </si>
  <si>
    <t>ORD-001764</t>
  </si>
  <si>
    <t>ORD-001765</t>
  </si>
  <si>
    <t>ORD-001766</t>
  </si>
  <si>
    <t>ORD-001767</t>
  </si>
  <si>
    <t>ORD-001768</t>
  </si>
  <si>
    <t>C-0630</t>
  </si>
  <si>
    <t>ORD-001769</t>
  </si>
  <si>
    <t>ORD-001770</t>
  </si>
  <si>
    <t>ORD-001771</t>
  </si>
  <si>
    <t>ORD-001772</t>
  </si>
  <si>
    <t>C-0778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</si>
  <si>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</si>
  <si>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</si>
  <si>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</si>
  <si>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</si>
  <si>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</si>
  <si>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</si>
  <si>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</si>
  <si>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C-0317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</si>
  <si>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</si>
  <si>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</si>
  <si>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</si>
  <si>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</si>
  <si>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</si>
  <si>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</si>
  <si>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</si>
  <si>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</si>
  <si>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</si>
  <si>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</si>
  <si>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</si>
  <si>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</si>
  <si>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</si>
  <si>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</si>
  <si>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</si>
  <si>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</si>
  <si>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</si>
  <si>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</si>
  <si>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</si>
  <si>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</si>
  <si>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C-0082</t>
  </si>
  <si>
    <t>ORD-001800</t>
  </si>
  <si>
    <t>ORD-001801</t>
  </si>
  <si>
    <t>ORD-001802</t>
  </si>
  <si>
    <t>ORD-001803</t>
  </si>
  <si>
    <t>ORD-001804</t>
  </si>
  <si>
    <t>ORD-001805</t>
  </si>
  <si>
    <t>C-0627</t>
  </si>
  <si>
    <t>ORD-001806</t>
  </si>
  <si>
    <t>ORD-001807</t>
  </si>
  <si>
    <t>ORD-001808</t>
  </si>
  <si>
    <t>ORD-001809</t>
  </si>
  <si>
    <t>C-0688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</si>
  <si>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</si>
  <si>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</si>
  <si>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</si>
  <si>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</si>
  <si>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</si>
  <si>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</si>
  <si>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</si>
  <si>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</si>
  <si>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C-0756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</si>
  <si>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</si>
  <si>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</si>
  <si>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</si>
  <si>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</si>
  <si>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</si>
  <si>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</si>
  <si>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</si>
  <si>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</si>
  <si>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</si>
  <si>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</si>
  <si>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</si>
  <si>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</si>
  <si>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</si>
  <si>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</si>
  <si>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</si>
  <si>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C-0145</t>
  </si>
  <si>
    <t>ORD-001833</t>
  </si>
  <si>
    <t>ORD-001834</t>
  </si>
  <si>
    <t>ORD-001835</t>
  </si>
  <si>
    <t>ORD-001836</t>
  </si>
  <si>
    <t>ORD-001837</t>
  </si>
  <si>
    <t>ORD-001838</t>
  </si>
  <si>
    <t>C-0657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</si>
  <si>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</si>
  <si>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</si>
  <si>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</si>
  <si>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</si>
  <si>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</si>
  <si>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</si>
  <si>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</si>
  <si>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</si>
  <si>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</si>
  <si>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</si>
  <si>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</si>
  <si>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</si>
  <si>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</si>
  <si>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</si>
  <si>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</si>
  <si>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</si>
  <si>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</si>
  <si>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</si>
  <si>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</si>
  <si>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</si>
  <si>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</si>
  <si>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</si>
  <si>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</si>
  <si>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</si>
  <si>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</si>
  <si>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</si>
  <si>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C-0281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</si>
  <si>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</si>
  <si>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</si>
  <si>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</si>
  <si>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</si>
  <si>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</si>
  <si>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</si>
  <si>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</si>
  <si>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</si>
  <si>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</si>
  <si>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C-0718</t>
  </si>
  <si>
    <t>ORD-001874</t>
  </si>
  <si>
    <t>ORD-001875</t>
  </si>
  <si>
    <t>ORD-001876</t>
  </si>
  <si>
    <t>ORD-001877</t>
  </si>
  <si>
    <t>C-0790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</si>
  <si>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</si>
  <si>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</si>
  <si>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</si>
  <si>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</si>
  <si>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</si>
  <si>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</si>
  <si>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</si>
  <si>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</si>
  <si>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C-0648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</si>
  <si>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</si>
  <si>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</si>
  <si>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</si>
  <si>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</si>
  <si>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</si>
  <si>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</si>
  <si>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</si>
  <si>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</si>
  <si>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</si>
  <si>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C-0415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</si>
  <si>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</si>
  <si>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</si>
  <si>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</si>
  <si>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</si>
  <si>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</si>
  <si>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</si>
  <si>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</si>
  <si>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</si>
  <si>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</si>
  <si>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</si>
  <si>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</si>
  <si>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</si>
  <si>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</si>
  <si>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</si>
  <si>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C-0393</t>
  </si>
  <si>
    <t>ORD-001909</t>
  </si>
  <si>
    <t>ORD-001910</t>
  </si>
  <si>
    <t>ORD-001911</t>
  </si>
  <si>
    <t>C-0235</t>
  </si>
  <si>
    <t>ORD-001912</t>
  </si>
  <si>
    <t>ORD-001913</t>
  </si>
  <si>
    <t>ORD-001914</t>
  </si>
  <si>
    <t>ORD-001915</t>
  </si>
  <si>
    <t>ORD-001916</t>
  </si>
  <si>
    <t>C-0557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</si>
  <si>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</si>
  <si>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</si>
  <si>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</si>
  <si>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</si>
  <si>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</si>
  <si>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</si>
  <si>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</si>
  <si>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</si>
  <si>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</si>
  <si>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</si>
  <si>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</si>
  <si>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</si>
  <si>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</si>
  <si>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</si>
  <si>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</si>
  <si>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</si>
  <si>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</si>
  <si>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</si>
  <si>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</si>
  <si>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</si>
  <si>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</si>
  <si>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</si>
  <si>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</si>
  <si>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</si>
  <si>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</si>
  <si>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</si>
  <si>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</si>
  <si>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</si>
  <si>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</si>
  <si>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</si>
  <si>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</si>
  <si>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</si>
  <si>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</si>
  <si>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</si>
  <si>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</si>
  <si>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</si>
  <si>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</si>
  <si>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</si>
  <si>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</si>
  <si>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</si>
  <si>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</si>
  <si>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</si>
  <si>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</si>
  <si>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</si>
  <si>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</si>
  <si>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</si>
  <si>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</si>
  <si>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C-0354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</si>
  <si>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</si>
  <si>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</si>
  <si>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</si>
  <si>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</si>
  <si>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</si>
  <si>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</si>
  <si>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</si>
  <si>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</si>
  <si>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</si>
  <si>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</si>
  <si>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</si>
  <si>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</si>
  <si>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</si>
  <si>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</si>
  <si>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</si>
  <si>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</si>
  <si>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</si>
  <si>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</si>
  <si>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C-0385</t>
  </si>
  <si>
    <t>ORD-001982</t>
  </si>
  <si>
    <t>ORD-001983</t>
  </si>
  <si>
    <t>ORD-001984</t>
  </si>
  <si>
    <t>ORD-001985</t>
  </si>
  <si>
    <t>ORD-001986</t>
  </si>
  <si>
    <t>ORD-001987</t>
  </si>
  <si>
    <t>C-0620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</si>
  <si>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</si>
  <si>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</si>
  <si>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</si>
  <si>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</si>
  <si>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</si>
  <si>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</si>
  <si>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</si>
  <si>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</si>
  <si>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</si>
  <si>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</si>
  <si>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C-0652</t>
  </si>
  <si>
    <t>ORD-001998</t>
  </si>
  <si>
    <t>ORD-001999</t>
  </si>
  <si>
    <t>ORD-002000</t>
  </si>
  <si>
    <t>product_id</t>
  </si>
  <si>
    <t>product_name</t>
  </si>
  <si>
    <t>category</t>
  </si>
  <si>
    <t>sub_category</t>
  </si>
  <si>
    <t>unit_cost</t>
  </si>
  <si>
    <t>selling_price</t>
  </si>
  <si>
    <t>shipping_cost_per_unit</t>
  </si>
  <si>
    <t>weight_lbs</t>
  </si>
  <si>
    <t>supplier</t>
  </si>
  <si>
    <t>SKU-0001</t>
  </si>
  <si>
    <t>Headphones - Variant 1</t>
  </si>
  <si>
    <t>Headphones</t>
  </si>
  <si>
    <t>Supplier A</t>
  </si>
  <si>
    <t>SKU-0002</t>
  </si>
  <si>
    <t>Headphones - Variant 2</t>
  </si>
  <si>
    <t>Supplier B</t>
  </si>
  <si>
    <t>SKU-0003</t>
  </si>
  <si>
    <t>Headphones - Variant 3</t>
  </si>
  <si>
    <t>Supplier C</t>
  </si>
  <si>
    <t>SKU-0004</t>
  </si>
  <si>
    <t>Headphones - Variant 4</t>
  </si>
  <si>
    <t>SKU-0005</t>
  </si>
  <si>
    <t>Headphones - Variant 5</t>
  </si>
  <si>
    <t>SKU-0006</t>
  </si>
  <si>
    <t>Phone Cases - Variant 1</t>
  </si>
  <si>
    <t>Phone Cases</t>
  </si>
  <si>
    <t>SKU-0007</t>
  </si>
  <si>
    <t>Phone Cases - Variant 2</t>
  </si>
  <si>
    <t>Supplier E</t>
  </si>
  <si>
    <t>SKU-0008</t>
  </si>
  <si>
    <t>Phone Cases - Variant 3</t>
  </si>
  <si>
    <t>SKU-0009</t>
  </si>
  <si>
    <t>Chargers - Variant 1</t>
  </si>
  <si>
    <t>Chargers</t>
  </si>
  <si>
    <t>Supplier D</t>
  </si>
  <si>
    <t>SKU-0010</t>
  </si>
  <si>
    <t>Chargers - Variant 2</t>
  </si>
  <si>
    <t>SKU-0011</t>
  </si>
  <si>
    <t>Chargers - Variant 3</t>
  </si>
  <si>
    <t>SKU-0012</t>
  </si>
  <si>
    <t>Chargers - Variant 4</t>
  </si>
  <si>
    <t>SKU-0013</t>
  </si>
  <si>
    <t>Smart Watches - Variant 1</t>
  </si>
  <si>
    <t>Smart Watches</t>
  </si>
  <si>
    <t>SKU-0014</t>
  </si>
  <si>
    <t>Smart Watches - Variant 2</t>
  </si>
  <si>
    <t>SKU-0015</t>
  </si>
  <si>
    <t>Smart Watches - Variant 3</t>
  </si>
  <si>
    <t>SKU-0016</t>
  </si>
  <si>
    <t>Smart Watches - Variant 4</t>
  </si>
  <si>
    <t>SKU-0017</t>
  </si>
  <si>
    <t>Speakers - Variant 1</t>
  </si>
  <si>
    <t>Speakers</t>
  </si>
  <si>
    <t>SKU-0018</t>
  </si>
  <si>
    <t>Speakers - Variant 2</t>
  </si>
  <si>
    <t>SKU-0019</t>
  </si>
  <si>
    <t>Speakers - Variant 3</t>
  </si>
  <si>
    <t>SKU-0020</t>
  </si>
  <si>
    <t>Speakers - Variant 4</t>
  </si>
  <si>
    <t>SKU-0021</t>
  </si>
  <si>
    <t>Speakers - Variant 5</t>
  </si>
  <si>
    <t>SKU-0022</t>
  </si>
  <si>
    <t>Speakers - Variant 6</t>
  </si>
  <si>
    <t>SKU-0023</t>
  </si>
  <si>
    <t>Cables - Variant 1</t>
  </si>
  <si>
    <t>Cables</t>
  </si>
  <si>
    <t>SKU-0024</t>
  </si>
  <si>
    <t>Cables - Variant 2</t>
  </si>
  <si>
    <t>SKU-0025</t>
  </si>
  <si>
    <t>Cables - Variant 3</t>
  </si>
  <si>
    <t>SKU-0026</t>
  </si>
  <si>
    <t>Cables - Variant 4</t>
  </si>
  <si>
    <t>SKU-0027</t>
  </si>
  <si>
    <t>T-Shirts - Variant 1</t>
  </si>
  <si>
    <t>T-Shirts</t>
  </si>
  <si>
    <t>SKU-0028</t>
  </si>
  <si>
    <t>T-Shirts - Variant 2</t>
  </si>
  <si>
    <t>SKU-0029</t>
  </si>
  <si>
    <t>T-Shirts - Variant 3</t>
  </si>
  <si>
    <t>SKU-0030</t>
  </si>
  <si>
    <t>T-Shirts - Variant 4</t>
  </si>
  <si>
    <t>SKU-0031</t>
  </si>
  <si>
    <t>T-Shirts - Variant 5</t>
  </si>
  <si>
    <t>SKU-0032</t>
  </si>
  <si>
    <t>T-Shirts - Variant 6</t>
  </si>
  <si>
    <t>SKU-0033</t>
  </si>
  <si>
    <t>Jeans - Variant 1</t>
  </si>
  <si>
    <t>Jeans</t>
  </si>
  <si>
    <t>SKU-0034</t>
  </si>
  <si>
    <t>Jeans - Variant 2</t>
  </si>
  <si>
    <t>SKU-0035</t>
  </si>
  <si>
    <t>Jeans - Variant 3</t>
  </si>
  <si>
    <t>SKU-0036</t>
  </si>
  <si>
    <t>Jeans - Variant 4</t>
  </si>
  <si>
    <t>SKU-0037</t>
  </si>
  <si>
    <t>Jeans - Variant 5</t>
  </si>
  <si>
    <t>SKU-0038</t>
  </si>
  <si>
    <t>Dresses - Variant 1</t>
  </si>
  <si>
    <t>Dresses</t>
  </si>
  <si>
    <t>SKU-0039</t>
  </si>
  <si>
    <t>Dresses - Variant 2</t>
  </si>
  <si>
    <t>SKU-0040</t>
  </si>
  <si>
    <t>Dresses - Variant 3</t>
  </si>
  <si>
    <t>SKU-0041</t>
  </si>
  <si>
    <t>Dresses - Variant 4</t>
  </si>
  <si>
    <t>SKU-0042</t>
  </si>
  <si>
    <t>Dresses - Variant 5</t>
  </si>
  <si>
    <t>SKU-0043</t>
  </si>
  <si>
    <t>Jackets - Variant 1</t>
  </si>
  <si>
    <t>Jackets</t>
  </si>
  <si>
    <t>SKU-0044</t>
  </si>
  <si>
    <t>Jackets - Variant 2</t>
  </si>
  <si>
    <t>SKU-0045</t>
  </si>
  <si>
    <t>Jackets - Variant 3</t>
  </si>
  <si>
    <t>SKU-0046</t>
  </si>
  <si>
    <t>Shoes - Variant 1</t>
  </si>
  <si>
    <t>Shoes</t>
  </si>
  <si>
    <t>SKU-0047</t>
  </si>
  <si>
    <t>Shoes - Variant 2</t>
  </si>
  <si>
    <t>SKU-0048</t>
  </si>
  <si>
    <t>Shoes - Variant 3</t>
  </si>
  <si>
    <t>SKU-0049</t>
  </si>
  <si>
    <t>Shoes - Variant 4</t>
  </si>
  <si>
    <t>SKU-0050</t>
  </si>
  <si>
    <t>Shoes - Variant 5</t>
  </si>
  <si>
    <t>SKU-0051</t>
  </si>
  <si>
    <t>Shoes - Variant 6</t>
  </si>
  <si>
    <t>SKU-0052</t>
  </si>
  <si>
    <t>Accessories - Variant 1</t>
  </si>
  <si>
    <t>Accessories</t>
  </si>
  <si>
    <t>SKU-0053</t>
  </si>
  <si>
    <t>Accessories - Variant 2</t>
  </si>
  <si>
    <t>SKU-0054</t>
  </si>
  <si>
    <t>Accessories - Variant 3</t>
  </si>
  <si>
    <t>SKU-0055</t>
  </si>
  <si>
    <t>Accessories - Variant 4</t>
  </si>
  <si>
    <t>SKU-0056</t>
  </si>
  <si>
    <t>Cookware - Variant 1</t>
  </si>
  <si>
    <t>Cookware</t>
  </si>
  <si>
    <t>SKU-0057</t>
  </si>
  <si>
    <t>Cookware - Variant 2</t>
  </si>
  <si>
    <t>SKU-0058</t>
  </si>
  <si>
    <t>Cookware - Variant 3</t>
  </si>
  <si>
    <t>SKU-0059</t>
  </si>
  <si>
    <t>Cookware - Variant 4</t>
  </si>
  <si>
    <t>SKU-0060</t>
  </si>
  <si>
    <t>Storage - Variant 1</t>
  </si>
  <si>
    <t>Storage</t>
  </si>
  <si>
    <t>SKU-0061</t>
  </si>
  <si>
    <t>Storage - Variant 2</t>
  </si>
  <si>
    <t>SKU-0062</t>
  </si>
  <si>
    <t>Storage - Variant 3</t>
  </si>
  <si>
    <t>SKU-0063</t>
  </si>
  <si>
    <t>Decor - Variant 1</t>
  </si>
  <si>
    <t>Decor</t>
  </si>
  <si>
    <t>SKU-0064</t>
  </si>
  <si>
    <t>Decor - Variant 2</t>
  </si>
  <si>
    <t>SKU-0065</t>
  </si>
  <si>
    <t>Decor - Variant 3</t>
  </si>
  <si>
    <t>SKU-0066</t>
  </si>
  <si>
    <t>Decor - Variant 4</t>
  </si>
  <si>
    <t>SKU-0067</t>
  </si>
  <si>
    <t>Decor - Variant 5</t>
  </si>
  <si>
    <t>SKU-0068</t>
  </si>
  <si>
    <t>Bedding - Variant 1</t>
  </si>
  <si>
    <t>Bedding</t>
  </si>
  <si>
    <t>SKU-0069</t>
  </si>
  <si>
    <t>Bedding - Variant 2</t>
  </si>
  <si>
    <t>SKU-0070</t>
  </si>
  <si>
    <t>Bedding - Variant 3</t>
  </si>
  <si>
    <t>SKU-0071</t>
  </si>
  <si>
    <t>Small Appliances - Variant 1</t>
  </si>
  <si>
    <t>Small Appliances</t>
  </si>
  <si>
    <t>SKU-0072</t>
  </si>
  <si>
    <t>Small Appliances - Variant 2</t>
  </si>
  <si>
    <t>SKU-0073</t>
  </si>
  <si>
    <t>Small Appliances - Variant 3</t>
  </si>
  <si>
    <t>SKU-0074</t>
  </si>
  <si>
    <t>Small Appliances - Variant 4</t>
  </si>
  <si>
    <t>SKU-0075</t>
  </si>
  <si>
    <t>Cleaning - Variant 1</t>
  </si>
  <si>
    <t>Cleaning</t>
  </si>
  <si>
    <t>SKU-0076</t>
  </si>
  <si>
    <t>Cleaning - Variant 2</t>
  </si>
  <si>
    <t>SKU-0077</t>
  </si>
  <si>
    <t>Cleaning - Variant 3</t>
  </si>
  <si>
    <t>SKU-0078</t>
  </si>
  <si>
    <t>Cleaning - Variant 4</t>
  </si>
  <si>
    <t>SKU-0079</t>
  </si>
  <si>
    <t>Cleaning - Variant 5</t>
  </si>
  <si>
    <t>SKU-0080</t>
  </si>
  <si>
    <t>Fitness Gear - Variant 1</t>
  </si>
  <si>
    <t>Fitness Gear</t>
  </si>
  <si>
    <t>SKU-0081</t>
  </si>
  <si>
    <t>Fitness Gear - Variant 2</t>
  </si>
  <si>
    <t>SKU-0082</t>
  </si>
  <si>
    <t>Fitness Gear - Variant 3</t>
  </si>
  <si>
    <t>SKU-0083</t>
  </si>
  <si>
    <t>Fitness Gear - Variant 4</t>
  </si>
  <si>
    <t>SKU-0084</t>
  </si>
  <si>
    <t>Yoga Mats - Variant 1</t>
  </si>
  <si>
    <t>Yoga Mats</t>
  </si>
  <si>
    <t>SKU-0085</t>
  </si>
  <si>
    <t>Yoga Mats - Variant 2</t>
  </si>
  <si>
    <t>SKU-0086</t>
  </si>
  <si>
    <t>Yoga Mats - Variant 3</t>
  </si>
  <si>
    <t>SKU-0087</t>
  </si>
  <si>
    <t>Yoga Mats - Variant 4</t>
  </si>
  <si>
    <t>SKU-0088</t>
  </si>
  <si>
    <t>Yoga Mats - Variant 5</t>
  </si>
  <si>
    <t>SKU-0089</t>
  </si>
  <si>
    <t>Water Bottles - Variant 1</t>
  </si>
  <si>
    <t>Water Bottles</t>
  </si>
  <si>
    <t>SKU-0090</t>
  </si>
  <si>
    <t>Water Bottles - Variant 2</t>
  </si>
  <si>
    <t>SKU-0091</t>
  </si>
  <si>
    <t>Water Bottles - Variant 3</t>
  </si>
  <si>
    <t>SKU-0092</t>
  </si>
  <si>
    <t>Water Bottles - Variant 4</t>
  </si>
  <si>
    <t>SKU-0093</t>
  </si>
  <si>
    <t>Water Bottles - Variant 5</t>
  </si>
  <si>
    <t>SKU-0094</t>
  </si>
  <si>
    <t>Resistance Bands - Variant 1</t>
  </si>
  <si>
    <t>Resistance Bands</t>
  </si>
  <si>
    <t>SKU-0095</t>
  </si>
  <si>
    <t>Resistance Bands - Variant 2</t>
  </si>
  <si>
    <t>SKU-0096</t>
  </si>
  <si>
    <t>Resistance Bands - Variant 3</t>
  </si>
  <si>
    <t>SKU-0097</t>
  </si>
  <si>
    <t>Resistance Bands - Variant 4</t>
  </si>
  <si>
    <t>SKU-0098</t>
  </si>
  <si>
    <t>Resistance Bands - Variant 5</t>
  </si>
  <si>
    <t>SKU-0099</t>
  </si>
  <si>
    <t>Resistance Bands - Variant 6</t>
  </si>
  <si>
    <t>SKU-0100</t>
  </si>
  <si>
    <t>Running Shoes - Variant 1</t>
  </si>
  <si>
    <t>Running Shoes</t>
  </si>
  <si>
    <t>SKU-0101</t>
  </si>
  <si>
    <t>Running Shoes - Variant 2</t>
  </si>
  <si>
    <t>SKU-0102</t>
  </si>
  <si>
    <t>Running Shoes - Variant 3</t>
  </si>
  <si>
    <t>SKU-0103</t>
  </si>
  <si>
    <t>Running Shoes - Variant 4</t>
  </si>
  <si>
    <t>SKU-0104</t>
  </si>
  <si>
    <t>Supplements - Variant 1</t>
  </si>
  <si>
    <t>Supplements</t>
  </si>
  <si>
    <t>SKU-0105</t>
  </si>
  <si>
    <t>Supplements - Variant 2</t>
  </si>
  <si>
    <t>SKU-0106</t>
  </si>
  <si>
    <t>Supplements - Variant 3</t>
  </si>
  <si>
    <t>SKU-0107</t>
  </si>
  <si>
    <t>Supplements - Variant 4</t>
  </si>
  <si>
    <t>SKU-0108</t>
  </si>
  <si>
    <t>Supplements - Variant 5</t>
  </si>
  <si>
    <t>SKU-0109</t>
  </si>
  <si>
    <t>Skincare - Variant 1</t>
  </si>
  <si>
    <t>Skincare</t>
  </si>
  <si>
    <t>SKU-0110</t>
  </si>
  <si>
    <t>Skincare - Variant 2</t>
  </si>
  <si>
    <t>SKU-0111</t>
  </si>
  <si>
    <t>Skincare - Variant 3</t>
  </si>
  <si>
    <t>SKU-0112</t>
  </si>
  <si>
    <t>Skincare - Variant 4</t>
  </si>
  <si>
    <t>SKU-0113</t>
  </si>
  <si>
    <t>Makeup - Variant 1</t>
  </si>
  <si>
    <t>Makeup</t>
  </si>
  <si>
    <t>SKU-0114</t>
  </si>
  <si>
    <t>Makeup - Variant 2</t>
  </si>
  <si>
    <t>SKU-0115</t>
  </si>
  <si>
    <t>Makeup - Variant 3</t>
  </si>
  <si>
    <t>SKU-0116</t>
  </si>
  <si>
    <t>Hair Care - Variant 1</t>
  </si>
  <si>
    <t>Hair Care</t>
  </si>
  <si>
    <t>SKU-0117</t>
  </si>
  <si>
    <t>Hair Care - Variant 2</t>
  </si>
  <si>
    <t>SKU-0118</t>
  </si>
  <si>
    <t>Hair Care - Variant 3</t>
  </si>
  <si>
    <t>SKU-0119</t>
  </si>
  <si>
    <t>Fragrances - Variant 1</t>
  </si>
  <si>
    <t>Fragrances</t>
  </si>
  <si>
    <t>SKU-0120</t>
  </si>
  <si>
    <t>Fragrances - Variant 2</t>
  </si>
  <si>
    <t>SKU-0121</t>
  </si>
  <si>
    <t>Fragrances - Variant 3</t>
  </si>
  <si>
    <t>SKU-0122</t>
  </si>
  <si>
    <t>Fragrances - Variant 4</t>
  </si>
  <si>
    <t>SKU-0123</t>
  </si>
  <si>
    <t>Fragrances - Variant 5</t>
  </si>
  <si>
    <t>SKU-0124</t>
  </si>
  <si>
    <t>Tools - Variant 1</t>
  </si>
  <si>
    <t>Tools</t>
  </si>
  <si>
    <t>SKU-0125</t>
  </si>
  <si>
    <t>Tools - Variant 2</t>
  </si>
  <si>
    <t>SKU-0126</t>
  </si>
  <si>
    <t>Tools - Variant 3</t>
  </si>
  <si>
    <t>SKU-0127</t>
  </si>
  <si>
    <t>Nail Care - Variant 1</t>
  </si>
  <si>
    <t>Nail Care</t>
  </si>
  <si>
    <t>SKU-0128</t>
  </si>
  <si>
    <t>Nail Care - Variant 2</t>
  </si>
  <si>
    <t>SKU-0129</t>
  </si>
  <si>
    <t>Nail Care - Variant 3</t>
  </si>
  <si>
    <t>SKU-0130</t>
  </si>
  <si>
    <t>Fiction - Variant 1</t>
  </si>
  <si>
    <t>Fiction</t>
  </si>
  <si>
    <t>SKU-0131</t>
  </si>
  <si>
    <t>Fiction - Variant 2</t>
  </si>
  <si>
    <t>SKU-0132</t>
  </si>
  <si>
    <t>Fiction - Variant 3</t>
  </si>
  <si>
    <t>SKU-0133</t>
  </si>
  <si>
    <t>Non-Fiction - Variant 1</t>
  </si>
  <si>
    <t>Non-Fiction</t>
  </si>
  <si>
    <t>SKU-0134</t>
  </si>
  <si>
    <t>Non-Fiction - Variant 2</t>
  </si>
  <si>
    <t>SKU-0135</t>
  </si>
  <si>
    <t>Non-Fiction - Variant 3</t>
  </si>
  <si>
    <t>SKU-0136</t>
  </si>
  <si>
    <t>Self-Help - Variant 1</t>
  </si>
  <si>
    <t>Self-Help</t>
  </si>
  <si>
    <t>SKU-0137</t>
  </si>
  <si>
    <t>Self-Help - Variant 2</t>
  </si>
  <si>
    <t>SKU-0138</t>
  </si>
  <si>
    <t>Self-Help - Variant 3</t>
  </si>
  <si>
    <t>SKU-0139</t>
  </si>
  <si>
    <t>Self-Help - Variant 4</t>
  </si>
  <si>
    <t>SKU-0140</t>
  </si>
  <si>
    <t>Self-Help - Variant 5</t>
  </si>
  <si>
    <t>SKU-0141</t>
  </si>
  <si>
    <t>Self-Help - Variant 6</t>
  </si>
  <si>
    <t>SKU-0142</t>
  </si>
  <si>
    <t>Business - Variant 1</t>
  </si>
  <si>
    <t>Business</t>
  </si>
  <si>
    <t>SKU-0143</t>
  </si>
  <si>
    <t>Business - Variant 2</t>
  </si>
  <si>
    <t>SKU-0144</t>
  </si>
  <si>
    <t>Business - Variant 3</t>
  </si>
  <si>
    <t>SKU-0145</t>
  </si>
  <si>
    <t>Textbooks - Variant 1</t>
  </si>
  <si>
    <t>Textbooks</t>
  </si>
  <si>
    <t>SKU-0146</t>
  </si>
  <si>
    <t>Textbooks - Variant 2</t>
  </si>
  <si>
    <t>SKU-0147</t>
  </si>
  <si>
    <t>Textbooks - Variant 3</t>
  </si>
  <si>
    <t>SKU-0148</t>
  </si>
  <si>
    <t>Textbooks - Variant 4</t>
  </si>
  <si>
    <t>SKU-0149</t>
  </si>
  <si>
    <t>Childrens - Variant 1</t>
  </si>
  <si>
    <t>Childrens</t>
  </si>
  <si>
    <t>SKU-0150</t>
  </si>
  <si>
    <t>Childrens - Variant 2</t>
  </si>
  <si>
    <t>SKU-0151</t>
  </si>
  <si>
    <t>Childrens - Variant 3</t>
  </si>
  <si>
    <t>SKU-0152</t>
  </si>
  <si>
    <t>Childrens - Variant 4</t>
  </si>
  <si>
    <t>SKU-0153</t>
  </si>
  <si>
    <t>Childrens - Variant 5</t>
  </si>
  <si>
    <t>SKU-0154</t>
  </si>
  <si>
    <t>Board Games - Variant 1</t>
  </si>
  <si>
    <t>Board Games</t>
  </si>
  <si>
    <t>SKU-0155</t>
  </si>
  <si>
    <t>Board Games - Variant 2</t>
  </si>
  <si>
    <t>SKU-0156</t>
  </si>
  <si>
    <t>Board Games - Variant 3</t>
  </si>
  <si>
    <t>SKU-0157</t>
  </si>
  <si>
    <t>Action Figures - Variant 1</t>
  </si>
  <si>
    <t>Action Figures</t>
  </si>
  <si>
    <t>SKU-0158</t>
  </si>
  <si>
    <t>Action Figures - Variant 2</t>
  </si>
  <si>
    <t>SKU-0159</t>
  </si>
  <si>
    <t>Action Figures - Variant 3</t>
  </si>
  <si>
    <t>SKU-0160</t>
  </si>
  <si>
    <t>Action Figures - Variant 4</t>
  </si>
  <si>
    <t>SKU-0161</t>
  </si>
  <si>
    <t>Action Figures - Variant 5</t>
  </si>
  <si>
    <t>SKU-0162</t>
  </si>
  <si>
    <t>Action Figures - Variant 6</t>
  </si>
  <si>
    <t>SKU-0163</t>
  </si>
  <si>
    <t>Puzzles - Variant 1</t>
  </si>
  <si>
    <t>Puzzles</t>
  </si>
  <si>
    <t>SKU-0164</t>
  </si>
  <si>
    <t>Puzzles - Variant 2</t>
  </si>
  <si>
    <t>SKU-0165</t>
  </si>
  <si>
    <t>Puzzles - Variant 3</t>
  </si>
  <si>
    <t>SKU-0166</t>
  </si>
  <si>
    <t>Puzzles - Variant 4</t>
  </si>
  <si>
    <t>SKU-0167</t>
  </si>
  <si>
    <t>Puzzles - Variant 5</t>
  </si>
  <si>
    <t>SKU-0168</t>
  </si>
  <si>
    <t>Building Sets - Variant 1</t>
  </si>
  <si>
    <t>Building Sets</t>
  </si>
  <si>
    <t>SKU-0169</t>
  </si>
  <si>
    <t>Building Sets - Variant 2</t>
  </si>
  <si>
    <t>SKU-0170</t>
  </si>
  <si>
    <t>Building Sets - Variant 3</t>
  </si>
  <si>
    <t>SKU-0171</t>
  </si>
  <si>
    <t>Building Sets - Variant 4</t>
  </si>
  <si>
    <t>SKU-0172</t>
  </si>
  <si>
    <t>Building Sets - Variant 5</t>
  </si>
  <si>
    <t>SKU-0173</t>
  </si>
  <si>
    <t>Dolls - Variant 1</t>
  </si>
  <si>
    <t>Dolls</t>
  </si>
  <si>
    <t>SKU-0174</t>
  </si>
  <si>
    <t>Dolls - Variant 2</t>
  </si>
  <si>
    <t>SKU-0175</t>
  </si>
  <si>
    <t>Dolls - Variant 3</t>
  </si>
  <si>
    <t>SKU-0176</t>
  </si>
  <si>
    <t>Dolls - Variant 4</t>
  </si>
  <si>
    <t>SKU-0177</t>
  </si>
  <si>
    <t>Outdoor - Variant 1</t>
  </si>
  <si>
    <t>Outdoor</t>
  </si>
  <si>
    <t>SKU-0178</t>
  </si>
  <si>
    <t>Outdoor - Variant 2</t>
  </si>
  <si>
    <t>SKU-0179</t>
  </si>
  <si>
    <t>Outdoor - Variant 3</t>
  </si>
  <si>
    <t>SKU-0180</t>
  </si>
  <si>
    <t>Outdoor - Variant 4</t>
  </si>
  <si>
    <t>SKU-0181</t>
  </si>
  <si>
    <t>Outdoor - Variant 5</t>
  </si>
  <si>
    <t>SKU-0182</t>
  </si>
  <si>
    <t>Snacks - Variant 1</t>
  </si>
  <si>
    <t>Snacks</t>
  </si>
  <si>
    <t>SKU-0183</t>
  </si>
  <si>
    <t>Snacks - Variant 2</t>
  </si>
  <si>
    <t>SKU-0184</t>
  </si>
  <si>
    <t>Snacks - Variant 3</t>
  </si>
  <si>
    <t>SKU-0185</t>
  </si>
  <si>
    <t>Coffee - Variant 1</t>
  </si>
  <si>
    <t>Coffee</t>
  </si>
  <si>
    <t>SKU-0186</t>
  </si>
  <si>
    <t>Coffee - Variant 2</t>
  </si>
  <si>
    <t>SKU-0187</t>
  </si>
  <si>
    <t>Coffee - Variant 3</t>
  </si>
  <si>
    <t>SKU-0188</t>
  </si>
  <si>
    <t>Coffee - Variant 4</t>
  </si>
  <si>
    <t>SKU-0189</t>
  </si>
  <si>
    <t>Coffee - Variant 5</t>
  </si>
  <si>
    <t>SKU-0190</t>
  </si>
  <si>
    <t>Tea - Variant 1</t>
  </si>
  <si>
    <t>Tea</t>
  </si>
  <si>
    <t>SKU-0191</t>
  </si>
  <si>
    <t>Tea - Variant 2</t>
  </si>
  <si>
    <t>SKU-0192</t>
  </si>
  <si>
    <t>Tea - Variant 3</t>
  </si>
  <si>
    <t>SKU-0193</t>
  </si>
  <si>
    <t>Protein Bars - Variant 1</t>
  </si>
  <si>
    <t>Protein Bars</t>
  </si>
  <si>
    <t>SKU-0194</t>
  </si>
  <si>
    <t>Protein Bars - Variant 2</t>
  </si>
  <si>
    <t>SKU-0195</t>
  </si>
  <si>
    <t>Protein Bars - Variant 3</t>
  </si>
  <si>
    <t>SKU-0196</t>
  </si>
  <si>
    <t>Protein Bars - Variant 4</t>
  </si>
  <si>
    <t>SKU-0197</t>
  </si>
  <si>
    <t>Protein Bars - Variant 5</t>
  </si>
  <si>
    <t>SKU-0198</t>
  </si>
  <si>
    <t>Protein Bars - Variant 6</t>
  </si>
  <si>
    <t>SKU-0199</t>
  </si>
  <si>
    <t>Sauces - Variant 1</t>
  </si>
  <si>
    <t>Sauces</t>
  </si>
  <si>
    <t>SKU-0200</t>
  </si>
  <si>
    <t>Sauces - Variant 2</t>
  </si>
  <si>
    <t>SKU-0201</t>
  </si>
  <si>
    <t>Sauces - Variant 3</t>
  </si>
  <si>
    <t>SKU-0202</t>
  </si>
  <si>
    <t>Sauces - Variant 4</t>
  </si>
  <si>
    <t>SKU-0203</t>
  </si>
  <si>
    <t>Sauces - Variant 5</t>
  </si>
  <si>
    <t>SKU-0204</t>
  </si>
  <si>
    <t>Organic - Variant 1</t>
  </si>
  <si>
    <t>Organic</t>
  </si>
  <si>
    <t>SKU-0205</t>
  </si>
  <si>
    <t>Organic - Variant 2</t>
  </si>
  <si>
    <t>SKU-0206</t>
  </si>
  <si>
    <t>Organic - Variant 3</t>
  </si>
  <si>
    <t>SKU-0207</t>
  </si>
  <si>
    <t>Organic - Variant 4</t>
  </si>
  <si>
    <t>Return_flag</t>
  </si>
  <si>
    <t>Row Labels</t>
  </si>
  <si>
    <t>(blank)</t>
  </si>
  <si>
    <t>Grand Total</t>
  </si>
  <si>
    <t>Sum of net_revenue</t>
  </si>
  <si>
    <t>Sum of profit</t>
  </si>
  <si>
    <t>Sum of Margin_Pct</t>
  </si>
  <si>
    <t>Final_ROAS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</si>
</sst>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19">
    <dxf>
      <font>
        <color rgb="FFC00000"/>
      </font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E" refreshedDate="46137.656526041668" createdVersion="8" refreshedVersion="8" minRefreshableVersion="3" recordCount="2002" xr:uid="{8DBE15D6-41DB-42A3-9D1A-7CD64CAE1BD9}">
  <cacheSource type="worksheet">
    <worksheetSource name="orders"/>
  </cacheSource>
  <cacheFields count="22">
    <cacheField name="order_id" numFmtId="0">
      <sharedItems containsBlank="1"/>
    </cacheField>
    <cacheField name="customer_id" numFmtId="0">
      <sharedItems containsBlank="1"/>
    </cacheField>
    <cacheField name="order_date" numFmtId="14">
      <sharedItems containsNonDate="0" containsDate="1" containsString="0" containsBlank="1" minDate="2024-01-28T00:00:00" maxDate="2026-01-12T00:00:00"/>
    </cacheField>
    <cacheField name="channel" numFmtId="0">
      <sharedItems containsBlank="1"/>
    </cacheField>
    <cacheField name="payment_method" numFmtId="0">
      <sharedItems containsBlank="1"/>
    </cacheField>
    <cacheField name="region" numFmtId="0">
      <sharedItems containsBlank="1"/>
    </cacheField>
    <cacheField name="items_ordered" numFmtId="0">
      <sharedItems containsString="0" containsBlank="1" containsNumber="1" containsInteger="1" minValue="1" maxValue="5"/>
    </cacheField>
    <cacheField name="primary_category" numFmtId="0">
      <sharedItems containsBlank="1" count="9">
        <s v="Electronics"/>
        <s v="Beauty"/>
        <s v="Toys"/>
        <s v="Sports"/>
        <s v="Clothing"/>
        <s v="Food &amp; Beverage"/>
        <s v="Books"/>
        <s v="Home &amp; Kitchen"/>
        <m/>
      </sharedItems>
    </cacheField>
    <cacheField name="gross_revenue" numFmtId="0">
      <sharedItems containsString="0" containsBlank="1" containsNumber="1" minValue="3.49" maxValue="1081.1400000000001"/>
    </cacheField>
    <cacheField name="discount_pct" numFmtId="0">
      <sharedItems containsString="0" containsBlank="1" containsNumber="1" containsInteger="1" minValue="0" maxValue="25"/>
    </cacheField>
    <cacheField name="discount_amount" numFmtId="0">
      <sharedItems containsString="0" containsBlank="1" containsNumber="1" minValue="0" maxValue="166.68"/>
    </cacheField>
    <cacheField name="shipping_cost" numFmtId="0">
      <sharedItems containsString="0" containsBlank="1" containsNumber="1" minValue="3.74" maxValue="111.24"/>
    </cacheField>
    <cacheField name="product_cost" numFmtId="0">
      <sharedItems containsString="0" containsBlank="1" containsNumber="1" minValue="2.17" maxValue="364.93"/>
    </cacheField>
    <cacheField name="platform_fee" numFmtId="0">
      <sharedItems containsString="0" containsBlank="1" containsNumber="1" minValue="0" maxValue="162.16999999999999"/>
    </cacheField>
    <cacheField name="transaction_fee" numFmtId="0">
      <sharedItems containsString="0" containsBlank="1" containsNumber="1" minValue="0.38" maxValue="31.65"/>
    </cacheField>
    <cacheField name="returned" numFmtId="0">
      <sharedItems containsBlank="1"/>
    </cacheField>
    <cacheField name="refund_amount" numFmtId="0">
      <sharedItems containsString="0" containsBlank="1" containsNumber="1" minValue="0" maxValue="878.4"/>
    </cacheField>
    <cacheField name="net_revenue" numFmtId="0">
      <sharedItems containsString="0" containsBlank="1" containsNumber="1" minValue="0" maxValue="1081.1400000000001"/>
    </cacheField>
    <cacheField name="total_costs" numFmtId="0">
      <sharedItems containsString="0" containsBlank="1" containsNumber="1" minValue="9.7899999999999991" maxValue="615.79"/>
    </cacheField>
    <cacheField name="profit" numFmtId="0">
      <sharedItems containsString="0" containsBlank="1" containsNumber="1" minValue="-469.09" maxValue="465.35"/>
    </cacheField>
    <cacheField name="Return_flag" numFmtId="0">
      <sharedItems containsBlank="1" containsMixedTypes="1" containsNumber="1" containsInteger="1" minValue="0" maxValue="1"/>
    </cacheField>
    <cacheField name="Margin_Pct" numFmtId="0" formula="profit/net_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2">
  <r>
    <s v="ORD-000001"/>
    <s v="C-0617"/>
    <d v="2025-06-24T00:00:00"/>
    <s v="Mobile App"/>
    <s v="Gift Card"/>
    <s v="Northeast"/>
    <n v="2"/>
    <x v="0"/>
    <n v="261.39"/>
    <n v="0"/>
    <n v="0"/>
    <n v="22.28"/>
    <n v="92.3"/>
    <n v="0"/>
    <n v="7.88"/>
    <s v="No"/>
    <n v="0"/>
    <n v="261.39"/>
    <n v="122.46"/>
    <n v="138.93"/>
    <e v="#N/A"/>
  </r>
  <r>
    <s v="ORD-000002"/>
    <s v="C-0720"/>
    <d v="2025-08-23T00:00:00"/>
    <s v="Website"/>
    <s v="Credit Card"/>
    <s v="Midwest"/>
    <n v="1"/>
    <x v="1"/>
    <n v="24.02"/>
    <n v="0"/>
    <n v="0"/>
    <n v="3.98"/>
    <n v="10.75"/>
    <n v="0"/>
    <n v="1"/>
    <s v="No"/>
    <n v="0"/>
    <n v="24.02"/>
    <n v="15.73"/>
    <n v="8.2899999999999991"/>
    <e v="#N/A"/>
  </r>
  <r>
    <s v="ORD-000003"/>
    <s v="C-0189"/>
    <d v="2025-07-20T00:00:00"/>
    <s v="Website"/>
    <s v="Credit Card"/>
    <s v="Southeast"/>
    <n v="2"/>
    <x v="2"/>
    <n v="52.6"/>
    <n v="0"/>
    <n v="0"/>
    <n v="14.6"/>
    <n v="31.41"/>
    <n v="0"/>
    <n v="1.83"/>
    <s v="No"/>
    <n v="0"/>
    <n v="52.6"/>
    <n v="47.84"/>
    <n v="4.76"/>
    <n v="0"/>
  </r>
  <r>
    <s v="ORD-000004"/>
    <s v="C-0058"/>
    <d v="2025-07-17T00:00:00"/>
    <s v="Mobile App"/>
    <s v="Debit Card"/>
    <s v="Southeast"/>
    <n v="2"/>
    <x v="3"/>
    <n v="30.63"/>
    <n v="5"/>
    <n v="1.53"/>
    <n v="30.98"/>
    <n v="16.27"/>
    <n v="0"/>
    <n v="1.1399999999999999"/>
    <s v="No"/>
    <n v="0"/>
    <n v="29.1"/>
    <n v="48.39"/>
    <n v="-19.29"/>
    <n v="0"/>
  </r>
  <r>
    <s v="ORD-000005"/>
    <s v="C-0580"/>
    <d v="2025-10-11T00:00:00"/>
    <s v="Marketplace"/>
    <s v="Credit Card"/>
    <s v="Northeast"/>
    <n v="1"/>
    <x v="3"/>
    <n v="11.99"/>
    <n v="25"/>
    <n v="3"/>
    <n v="10.3"/>
    <n v="6.88"/>
    <n v="1.35"/>
    <n v="0.56000000000000005"/>
    <s v="No"/>
    <n v="0"/>
    <n v="8.99"/>
    <n v="19.09"/>
    <n v="-10.1"/>
    <n v="0"/>
  </r>
  <r>
    <s v="ORD-000006"/>
    <s v="C-0678"/>
    <d v="2024-09-24T00:00:00"/>
    <s v="Mobile App"/>
    <s v="Debit Card"/>
    <s v="Northeast"/>
    <n v="4"/>
    <x v="2"/>
    <n v="126.99"/>
    <n v="15"/>
    <n v="19.05"/>
    <n v="61.56"/>
    <n v="57.74"/>
    <n v="0"/>
    <n v="3.43"/>
    <s v="No"/>
    <n v="0"/>
    <n v="107.94"/>
    <n v="122.73"/>
    <n v="-14.79"/>
    <n v="0"/>
  </r>
  <r>
    <s v="ORD-000007"/>
    <s v="C-0484"/>
    <d v="2025-03-30T00:00:00"/>
    <s v="Marketplace"/>
    <s v="Credit Card"/>
    <s v="Southeast"/>
    <n v="2"/>
    <x v="4"/>
    <n v="298.36"/>
    <n v="0"/>
    <n v="0"/>
    <n v="20.84"/>
    <n v="105.76"/>
    <n v="44.75"/>
    <n v="8.9499999999999993"/>
    <s v="No"/>
    <n v="0"/>
    <n v="298.36"/>
    <n v="180.3"/>
    <n v="118.06"/>
    <n v="0"/>
  </r>
  <r>
    <s v="ORD-000008"/>
    <s v="C-0715"/>
    <d v="2025-11-11T00:00:00"/>
    <s v="Website"/>
    <s v="Buy Now Pay Later"/>
    <s v="Southeast"/>
    <n v="3"/>
    <x v="3"/>
    <n v="71.03"/>
    <n v="10"/>
    <n v="7.1"/>
    <n v="29.3"/>
    <n v="40.99"/>
    <n v="0"/>
    <n v="2.15"/>
    <s v="Yes"/>
    <n v="63.93"/>
    <n v="0"/>
    <n v="72.44"/>
    <n v="-72.44"/>
    <n v="0"/>
  </r>
  <r>
    <s v="ORD-000009"/>
    <s v="C-0221"/>
    <d v="2025-01-25T00:00:00"/>
    <s v="Website"/>
    <s v="PayPal"/>
    <s v="Midwest"/>
    <n v="1"/>
    <x v="3"/>
    <n v="23.98"/>
    <n v="15"/>
    <n v="3.6"/>
    <n v="20.6"/>
    <n v="13.76"/>
    <n v="0"/>
    <n v="0.89"/>
    <s v="No"/>
    <n v="0"/>
    <n v="20.38"/>
    <n v="35.25"/>
    <n v="-14.87"/>
    <n v="0"/>
  </r>
  <r>
    <s v="ORD-000010"/>
    <s v="C-0726"/>
    <d v="2025-02-03T00:00:00"/>
    <s v="Website"/>
    <s v="Buy Now Pay Later"/>
    <s v="Northeast"/>
    <n v="1"/>
    <x v="5"/>
    <n v="345.27"/>
    <n v="25"/>
    <n v="86.32"/>
    <n v="24.66"/>
    <n v="101.85"/>
    <n v="0"/>
    <n v="7.81"/>
    <s v="No"/>
    <n v="0"/>
    <n v="258.95"/>
    <n v="134.32"/>
    <n v="124.63"/>
    <n v="1"/>
  </r>
  <r>
    <s v="ORD-000011"/>
    <s v="C-0413"/>
    <d v="2024-11-29T00:00:00"/>
    <s v="Marketplace"/>
    <s v="Credit Card"/>
    <s v="Midwest"/>
    <n v="1"/>
    <x v="6"/>
    <n v="26.5"/>
    <n v="5"/>
    <n v="1.32"/>
    <n v="5.5"/>
    <n v="8.06"/>
    <n v="3.78"/>
    <n v="1.03"/>
    <s v="No"/>
    <n v="0"/>
    <n v="25.18"/>
    <n v="18.37"/>
    <n v="6.81"/>
    <n v="0"/>
  </r>
  <r>
    <s v="ORD-000012"/>
    <s v="C-0759"/>
    <d v="2024-05-20T00:00:00"/>
    <s v="Social Commerce"/>
    <s v="Credit Card"/>
    <s v="Northeast"/>
    <n v="1"/>
    <x v="4"/>
    <n v="62.7"/>
    <n v="0"/>
    <n v="0"/>
    <n v="7.5"/>
    <n v="20.79"/>
    <n v="5.0199999999999996"/>
    <n v="2.12"/>
    <s v="No"/>
    <n v="0"/>
    <n v="62.7"/>
    <n v="35.43"/>
    <n v="27.27"/>
    <n v="0"/>
  </r>
  <r>
    <s v="ORD-000013"/>
    <s v="C-0090"/>
    <d v="2025-06-02T00:00:00"/>
    <s v="Social Commerce"/>
    <s v="PayPal"/>
    <s v="Midwest"/>
    <n v="3"/>
    <x v="1"/>
    <n v="136.77000000000001"/>
    <n v="10"/>
    <n v="13.68"/>
    <n v="31.86"/>
    <n v="56.88"/>
    <n v="9.85"/>
    <n v="3.87"/>
    <s v="No"/>
    <n v="0"/>
    <n v="123.09"/>
    <n v="102.46"/>
    <n v="20.63"/>
    <n v="0"/>
  </r>
  <r>
    <s v="ORD-000014"/>
    <s v="C-0632"/>
    <d v="2025-12-27T00:00:00"/>
    <s v="Mobile App"/>
    <s v="Credit Card"/>
    <s v="West Coast"/>
    <n v="2"/>
    <x v="3"/>
    <n v="160.31"/>
    <n v="0"/>
    <n v="0"/>
    <n v="15.24"/>
    <n v="75.89"/>
    <n v="0"/>
    <n v="4.95"/>
    <s v="No"/>
    <n v="0"/>
    <n v="160.31"/>
    <n v="96.08"/>
    <n v="64.23"/>
    <n v="0"/>
  </r>
  <r>
    <s v="ORD-000015"/>
    <s v="C-0777"/>
    <d v="2024-06-21T00:00:00"/>
    <s v="Marketplace"/>
    <s v="Credit Card"/>
    <s v="Southeast"/>
    <n v="5"/>
    <x v="4"/>
    <n v="254.7"/>
    <n v="10"/>
    <n v="25.47"/>
    <n v="59.06"/>
    <n v="106.5"/>
    <n v="34.380000000000003"/>
    <n v="6.95"/>
    <s v="No"/>
    <n v="0"/>
    <n v="229.23"/>
    <n v="206.89"/>
    <n v="22.34"/>
    <n v="0"/>
  </r>
  <r>
    <s v="ORD-000016"/>
    <s v="C-0559"/>
    <d v="2025-06-28T00:00:00"/>
    <s v="Website"/>
    <s v="PayPal"/>
    <s v="Midwest"/>
    <n v="3"/>
    <x v="5"/>
    <n v="165.86"/>
    <n v="0"/>
    <n v="0"/>
    <n v="28.66"/>
    <n v="52.32"/>
    <n v="0"/>
    <n v="5.1100000000000003"/>
    <s v="No"/>
    <n v="0"/>
    <n v="165.86"/>
    <n v="86.09"/>
    <n v="79.77"/>
    <n v="0"/>
  </r>
  <r>
    <s v="ORD-000017"/>
    <s v="C-0608"/>
    <d v="2025-01-06T00:00:00"/>
    <s v="Website"/>
    <s v="Credit Card"/>
    <s v="Midwest"/>
    <n v="1"/>
    <x v="2"/>
    <n v="114.58"/>
    <n v="0"/>
    <n v="0"/>
    <n v="26.36"/>
    <n v="41.44"/>
    <n v="0"/>
    <n v="3.62"/>
    <s v="No"/>
    <n v="0"/>
    <n v="114.58"/>
    <n v="71.42"/>
    <n v="43.16"/>
    <n v="0"/>
  </r>
  <r>
    <s v="ORD-000018"/>
    <s v="C-0639"/>
    <d v="2025-02-23T00:00:00"/>
    <s v="Mobile App"/>
    <s v="Buy Now Pay Later"/>
    <s v="Southwest"/>
    <n v="2"/>
    <x v="1"/>
    <n v="43.21"/>
    <n v="0"/>
    <n v="0"/>
    <n v="23.8"/>
    <n v="27.23"/>
    <n v="0"/>
    <n v="1.55"/>
    <s v="No"/>
    <n v="0"/>
    <n v="43.21"/>
    <n v="52.58"/>
    <n v="-9.3699999999999992"/>
    <n v="0"/>
  </r>
  <r>
    <s v="ORD-000019"/>
    <s v="C-0600"/>
    <d v="2024-03-16T00:00:00"/>
    <s v="Marketplace"/>
    <s v="PayPal"/>
    <s v="Northeast"/>
    <n v="2"/>
    <x v="6"/>
    <n v="29.95"/>
    <n v="0"/>
    <n v="0"/>
    <n v="33.06"/>
    <n v="13.54"/>
    <n v="4.49"/>
    <n v="1.17"/>
    <s v="No"/>
    <n v="0"/>
    <n v="29.95"/>
    <n v="52.26"/>
    <n v="-22.31"/>
    <n v="0"/>
  </r>
  <r>
    <s v="ORD-000020"/>
    <s v="C-0309"/>
    <d v="2025-07-08T00:00:00"/>
    <s v="Marketplace"/>
    <s v="PayPal"/>
    <s v="Northeast"/>
    <n v="1"/>
    <x v="3"/>
    <n v="91.38"/>
    <n v="0"/>
    <n v="0"/>
    <n v="23.16"/>
    <n v="56.42"/>
    <n v="13.71"/>
    <n v="2.95"/>
    <s v="No"/>
    <n v="0"/>
    <n v="91.38"/>
    <n v="96.24"/>
    <n v="-4.8600000000000003"/>
    <n v="0"/>
  </r>
  <r>
    <s v="ORD-000021"/>
    <s v="C-0392"/>
    <d v="2025-01-15T00:00:00"/>
    <s v="Website"/>
    <s v="Gift Card"/>
    <s v="Midwest"/>
    <n v="2"/>
    <x v="1"/>
    <n v="56.46"/>
    <n v="0"/>
    <n v="0"/>
    <n v="19.88"/>
    <n v="19.09"/>
    <n v="0"/>
    <n v="1.94"/>
    <s v="No"/>
    <n v="0"/>
    <n v="56.46"/>
    <n v="40.909999999999997"/>
    <n v="15.55"/>
    <n v="0"/>
  </r>
  <r>
    <s v="ORD-000022"/>
    <s v="C-0208"/>
    <d v="2025-01-14T00:00:00"/>
    <s v="Social Commerce"/>
    <s v="Credit Card"/>
    <s v="West Coast"/>
    <n v="1"/>
    <x v="3"/>
    <n v="77.62"/>
    <n v="0"/>
    <n v="0"/>
    <n v="22.84"/>
    <n v="33.1"/>
    <n v="6.21"/>
    <n v="2.5499999999999998"/>
    <s v="No"/>
    <n v="0"/>
    <n v="77.62"/>
    <n v="64.7"/>
    <n v="12.92"/>
    <n v="0"/>
  </r>
  <r>
    <s v="ORD-000023"/>
    <s v="C-0162"/>
    <d v="2025-12-03T00:00:00"/>
    <s v="Website"/>
    <s v="Credit Card"/>
    <s v="Southwest"/>
    <n v="1"/>
    <x v="0"/>
    <n v="192.38"/>
    <n v="0"/>
    <n v="0"/>
    <n v="10.06"/>
    <n v="72.59"/>
    <n v="0"/>
    <n v="5.88"/>
    <s v="Yes"/>
    <n v="192.38"/>
    <n v="0"/>
    <n v="88.53"/>
    <n v="-88.53"/>
    <n v="0"/>
  </r>
  <r>
    <s v="ORD-000024"/>
    <s v="C-0634"/>
    <d v="2025-05-31T00:00:00"/>
    <s v="Mobile App"/>
    <s v="Gift Card"/>
    <s v="Northeast"/>
    <n v="3"/>
    <x v="1"/>
    <n v="233.9"/>
    <n v="15"/>
    <n v="35.090000000000003"/>
    <n v="36.82"/>
    <n v="87.78"/>
    <n v="0"/>
    <n v="6.07"/>
    <s v="No"/>
    <n v="0"/>
    <n v="198.81"/>
    <n v="130.66999999999999"/>
    <n v="68.14"/>
    <n v="0"/>
  </r>
  <r>
    <s v="ORD-000025"/>
    <s v="C-0334"/>
    <d v="2024-07-17T00:00:00"/>
    <s v="Mobile App"/>
    <s v="PayPal"/>
    <s v="West Coast"/>
    <n v="2"/>
    <x v="3"/>
    <n v="129.38"/>
    <n v="10"/>
    <n v="12.94"/>
    <n v="16.899999999999999"/>
    <n v="49.49"/>
    <n v="0"/>
    <n v="3.68"/>
    <s v="No"/>
    <n v="0"/>
    <n v="116.44"/>
    <n v="70.069999999999993"/>
    <n v="46.37"/>
    <n v="1"/>
  </r>
  <r>
    <s v="ORD-000026"/>
    <s v="C-0569"/>
    <d v="2025-09-12T00:00:00"/>
    <s v="Social Commerce"/>
    <s v="Credit Card"/>
    <s v="Midwest"/>
    <n v="2"/>
    <x v="7"/>
    <n v="58.12"/>
    <n v="0"/>
    <n v="0"/>
    <n v="23.56"/>
    <n v="21.32"/>
    <n v="4.6500000000000004"/>
    <n v="1.99"/>
    <s v="Yes"/>
    <n v="58.12"/>
    <n v="0"/>
    <n v="51.52"/>
    <n v="-51.52"/>
    <n v="0"/>
  </r>
  <r>
    <s v="ORD-000027"/>
    <s v="C-0095"/>
    <d v="2025-09-14T00:00:00"/>
    <s v="Website"/>
    <s v="Credit Card"/>
    <s v="Southwest"/>
    <n v="1"/>
    <x v="5"/>
    <n v="136.04"/>
    <n v="10"/>
    <n v="13.6"/>
    <n v="6.3"/>
    <n v="39.68"/>
    <n v="0"/>
    <n v="3.85"/>
    <s v="Yes"/>
    <n v="122.44"/>
    <n v="0"/>
    <n v="49.83"/>
    <n v="-49.83"/>
    <n v="0"/>
  </r>
  <r>
    <s v="ORD-000028"/>
    <s v="C-0085"/>
    <d v="2025-09-29T00:00:00"/>
    <s v="Website"/>
    <s v="Credit Card"/>
    <s v="Southwest"/>
    <n v="1"/>
    <x v="2"/>
    <n v="46.8"/>
    <n v="5"/>
    <n v="2.34"/>
    <n v="9.9"/>
    <n v="19.21"/>
    <n v="0"/>
    <n v="1.59"/>
    <s v="No"/>
    <n v="0"/>
    <n v="44.46"/>
    <n v="30.7"/>
    <n v="13.76"/>
    <n v="1"/>
  </r>
  <r>
    <s v="ORD-000029"/>
    <s v="C-0436"/>
    <d v="2025-08-25T00:00:00"/>
    <s v="Marketplace"/>
    <s v="Credit Card"/>
    <s v="Midwest"/>
    <n v="1"/>
    <x v="2"/>
    <n v="69.12"/>
    <n v="0"/>
    <n v="0"/>
    <n v="9.1"/>
    <n v="20.88"/>
    <n v="10.37"/>
    <n v="2.2999999999999998"/>
    <s v="No"/>
    <n v="0"/>
    <n v="69.12"/>
    <n v="42.65"/>
    <n v="26.47"/>
    <n v="1"/>
  </r>
  <r>
    <s v="ORD-000030"/>
    <s v="C-0053"/>
    <d v="2025-02-04T00:00:00"/>
    <s v="Marketplace"/>
    <s v="Credit Card"/>
    <s v="Southeast"/>
    <n v="1"/>
    <x v="4"/>
    <n v="193.68"/>
    <n v="5"/>
    <n v="9.68"/>
    <n v="14.58"/>
    <n v="98.01"/>
    <n v="27.6"/>
    <n v="5.64"/>
    <s v="No"/>
    <n v="0"/>
    <n v="184"/>
    <n v="145.83000000000001"/>
    <n v="38.17"/>
    <n v="0"/>
  </r>
  <r>
    <s v="ORD-000031"/>
    <s v="C-0605"/>
    <d v="2025-02-12T00:00:00"/>
    <s v="Marketplace"/>
    <s v="Gift Card"/>
    <s v="Midwest"/>
    <n v="2"/>
    <x v="7"/>
    <n v="56.58"/>
    <n v="0"/>
    <n v="0"/>
    <n v="24.44"/>
    <n v="20.88"/>
    <n v="8.49"/>
    <n v="1.94"/>
    <s v="No"/>
    <n v="0"/>
    <n v="56.58"/>
    <n v="55.75"/>
    <n v="0.83"/>
    <n v="0"/>
  </r>
  <r>
    <s v="ORD-000032"/>
    <s v="C-0535"/>
    <d v="2024-12-26T00:00:00"/>
    <s v="Website"/>
    <s v="Buy Now Pay Later"/>
    <s v="Southwest"/>
    <n v="1"/>
    <x v="7"/>
    <n v="66.44"/>
    <n v="5"/>
    <n v="3.32"/>
    <n v="17.88"/>
    <n v="38.92"/>
    <n v="0"/>
    <n v="2.13"/>
    <s v="No"/>
    <n v="0"/>
    <n v="63.12"/>
    <n v="58.93"/>
    <n v="4.1900000000000004"/>
    <n v="0"/>
  </r>
  <r>
    <s v="ORD-000033"/>
    <s v="C-0667"/>
    <d v="2025-03-29T00:00:00"/>
    <s v="Mobile App"/>
    <s v="Credit Card"/>
    <s v="Midwest"/>
    <n v="1"/>
    <x v="5"/>
    <n v="115.09"/>
    <n v="25"/>
    <n v="28.77"/>
    <n v="8.2200000000000006"/>
    <n v="33.950000000000003"/>
    <n v="0"/>
    <n v="2.8"/>
    <s v="No"/>
    <n v="0"/>
    <n v="86.32"/>
    <n v="44.97"/>
    <n v="41.35"/>
    <n v="0"/>
  </r>
  <r>
    <s v="ORD-000034"/>
    <s v="C-0342"/>
    <d v="2025-07-01T00:00:00"/>
    <s v="Website"/>
    <s v="Buy Now Pay Later"/>
    <s v="Southwest"/>
    <n v="4"/>
    <x v="3"/>
    <n v="304.16000000000003"/>
    <n v="10"/>
    <n v="30.42"/>
    <n v="84.1"/>
    <n v="130.47999999999999"/>
    <n v="0"/>
    <n v="8.24"/>
    <s v="No"/>
    <n v="0"/>
    <n v="273.74"/>
    <n v="222.82"/>
    <n v="50.92"/>
    <n v="0"/>
  </r>
  <r>
    <s v="ORD-000035"/>
    <s v="C-0021"/>
    <d v="2025-06-20T00:00:00"/>
    <s v="Marketplace"/>
    <s v="PayPal"/>
    <s v="Southwest"/>
    <n v="1"/>
    <x v="1"/>
    <n v="174.69"/>
    <n v="0"/>
    <n v="0"/>
    <n v="40.26"/>
    <n v="67.260000000000005"/>
    <n v="26.2"/>
    <n v="5.37"/>
    <s v="No"/>
    <n v="0"/>
    <n v="174.69"/>
    <n v="139.09"/>
    <n v="35.6"/>
    <n v="0"/>
  </r>
  <r>
    <s v="ORD-000036"/>
    <s v="C-0479"/>
    <d v="2024-08-30T00:00:00"/>
    <s v="Mobile App"/>
    <s v="PayPal"/>
    <s v="Southwest"/>
    <n v="4"/>
    <x v="5"/>
    <n v="655.67"/>
    <n v="0"/>
    <n v="0"/>
    <n v="86.02"/>
    <n v="244.67"/>
    <n v="0"/>
    <n v="19.309999999999999"/>
    <s v="No"/>
    <n v="0"/>
    <n v="655.67"/>
    <n v="350"/>
    <n v="305.67"/>
    <n v="0"/>
  </r>
  <r>
    <s v="ORD-000037"/>
    <s v="C-0711"/>
    <d v="2025-11-08T00:00:00"/>
    <s v="Website"/>
    <s v="Credit Card"/>
    <s v="Southeast"/>
    <n v="1"/>
    <x v="4"/>
    <n v="25.84"/>
    <n v="0"/>
    <n v="0"/>
    <n v="14.78"/>
    <n v="9.89"/>
    <n v="0"/>
    <n v="1.05"/>
    <s v="No"/>
    <n v="0"/>
    <n v="25.84"/>
    <n v="25.72"/>
    <n v="0.12"/>
    <n v="0"/>
  </r>
  <r>
    <s v="ORD-000038"/>
    <s v="C-0678"/>
    <d v="2025-02-02T00:00:00"/>
    <s v="Website"/>
    <s v="Credit Card"/>
    <s v="Northeast"/>
    <n v="3"/>
    <x v="1"/>
    <n v="647.14"/>
    <n v="25"/>
    <n v="161.78"/>
    <n v="51.56"/>
    <n v="245.48"/>
    <n v="0"/>
    <n v="14.38"/>
    <s v="No"/>
    <n v="0"/>
    <n v="485.36"/>
    <n v="311.42"/>
    <n v="173.94"/>
    <n v="0"/>
  </r>
  <r>
    <s v="ORD-000039"/>
    <s v="C-0150"/>
    <d v="2025-05-04T00:00:00"/>
    <s v="Mobile App"/>
    <s v="PayPal"/>
    <s v="Southeast"/>
    <n v="1"/>
    <x v="4"/>
    <n v="50.13"/>
    <n v="5"/>
    <n v="2.5099999999999998"/>
    <n v="4.22"/>
    <n v="31.64"/>
    <n v="0"/>
    <n v="1.68"/>
    <s v="No"/>
    <n v="0"/>
    <n v="47.62"/>
    <n v="37.54"/>
    <n v="10.08"/>
    <n v="0"/>
  </r>
  <r>
    <s v="ORD-000040"/>
    <s v="C-0471"/>
    <d v="2024-09-15T00:00:00"/>
    <s v="Social Commerce"/>
    <s v="Credit Card"/>
    <s v="Midwest"/>
    <n v="2"/>
    <x v="6"/>
    <n v="69.55"/>
    <n v="15"/>
    <n v="10.43"/>
    <n v="21.64"/>
    <n v="32.89"/>
    <n v="4.7300000000000004"/>
    <n v="2.0099999999999998"/>
    <s v="No"/>
    <n v="0"/>
    <n v="59.12"/>
    <n v="61.27"/>
    <n v="-2.15"/>
    <n v="0"/>
  </r>
  <r>
    <s v="ORD-000041"/>
    <s v="C-0006"/>
    <d v="2025-07-15T00:00:00"/>
    <s v="Marketplace"/>
    <s v="Credit Card"/>
    <s v="Southwest"/>
    <n v="1"/>
    <x v="0"/>
    <n v="24.38"/>
    <n v="10"/>
    <n v="2.44"/>
    <n v="13.9"/>
    <n v="16.190000000000001"/>
    <n v="3.29"/>
    <n v="0.94"/>
    <s v="No"/>
    <n v="0"/>
    <n v="21.94"/>
    <n v="34.32"/>
    <n v="-12.38"/>
    <n v="0"/>
  </r>
  <r>
    <s v="ORD-000042"/>
    <s v="C-0600"/>
    <d v="2025-09-01T00:00:00"/>
    <s v="Website"/>
    <s v="PayPal"/>
    <s v="West Coast"/>
    <n v="2"/>
    <x v="3"/>
    <n v="117.38"/>
    <n v="0"/>
    <n v="0"/>
    <n v="19"/>
    <n v="55.87"/>
    <n v="0"/>
    <n v="3.7"/>
    <s v="No"/>
    <n v="0"/>
    <n v="117.38"/>
    <n v="78.569999999999993"/>
    <n v="38.81"/>
    <n v="0"/>
  </r>
  <r>
    <s v="ORD-000043"/>
    <s v="C-0633"/>
    <d v="2025-10-25T00:00:00"/>
    <s v="Mobile App"/>
    <s v="Credit Card"/>
    <s v="Southwest"/>
    <n v="1"/>
    <x v="2"/>
    <n v="69.12"/>
    <n v="20"/>
    <n v="13.82"/>
    <n v="9.1"/>
    <n v="20.88"/>
    <n v="0"/>
    <n v="1.9"/>
    <s v="No"/>
    <n v="0"/>
    <n v="55.3"/>
    <n v="31.88"/>
    <n v="23.42"/>
    <n v="0"/>
  </r>
  <r>
    <s v="ORD-000044"/>
    <s v="C-0483"/>
    <d v="2025-11-23T00:00:00"/>
    <s v="Website"/>
    <s v="Credit Card"/>
    <s v="Northeast"/>
    <n v="2"/>
    <x v="5"/>
    <n v="88.35"/>
    <n v="20"/>
    <n v="17.670000000000002"/>
    <n v="30.98"/>
    <n v="33.97"/>
    <n v="0"/>
    <n v="2.35"/>
    <s v="No"/>
    <n v="0"/>
    <n v="70.680000000000007"/>
    <n v="67.3"/>
    <n v="3.38"/>
    <n v="0"/>
  </r>
  <r>
    <s v="ORD-000045"/>
    <s v="C-0746"/>
    <d v="2024-11-17T00:00:00"/>
    <s v="Marketplace"/>
    <s v="Credit Card"/>
    <s v="Southeast"/>
    <n v="1"/>
    <x v="6"/>
    <n v="20.16"/>
    <n v="25"/>
    <n v="5.04"/>
    <n v="5.98"/>
    <n v="7.08"/>
    <n v="2.27"/>
    <n v="0.74"/>
    <s v="No"/>
    <n v="0"/>
    <n v="15.12"/>
    <n v="16.07"/>
    <n v="-0.95"/>
    <n v="0"/>
  </r>
  <r>
    <s v="ORD-000046"/>
    <s v="C-0204"/>
    <d v="2024-09-25T00:00:00"/>
    <s v="Website"/>
    <s v="Credit Card"/>
    <s v="Southwest"/>
    <n v="5"/>
    <x v="0"/>
    <n v="863.29"/>
    <n v="0"/>
    <n v="0"/>
    <n v="102.66"/>
    <n v="341.09"/>
    <n v="0"/>
    <n v="25.34"/>
    <s v="Yes"/>
    <n v="863.29"/>
    <n v="0"/>
    <n v="469.09"/>
    <n v="-469.09"/>
    <n v="0"/>
  </r>
  <r>
    <s v="ORD-000047"/>
    <s v="C-0734"/>
    <d v="2025-07-23T00:00:00"/>
    <s v="Marketplace"/>
    <s v="PayPal"/>
    <s v="West Coast"/>
    <n v="1"/>
    <x v="1"/>
    <n v="11.82"/>
    <n v="5"/>
    <n v="0.59"/>
    <n v="11.9"/>
    <n v="5.81"/>
    <n v="1.68"/>
    <n v="0.63"/>
    <s v="No"/>
    <n v="0"/>
    <n v="11.23"/>
    <n v="20.02"/>
    <n v="-8.7899999999999991"/>
    <n v="0"/>
  </r>
  <r>
    <s v="ORD-000048"/>
    <s v="C-0202"/>
    <d v="2024-11-20T00:00:00"/>
    <s v="Marketplace"/>
    <s v="Gift Card"/>
    <s v="Midwest"/>
    <n v="1"/>
    <x v="5"/>
    <n v="85.06"/>
    <n v="20"/>
    <n v="17.010000000000002"/>
    <n v="11.82"/>
    <n v="36.72"/>
    <n v="10.210000000000001"/>
    <n v="2.27"/>
    <s v="No"/>
    <n v="0"/>
    <n v="68.05"/>
    <n v="61.02"/>
    <n v="7.03"/>
    <n v="1"/>
  </r>
  <r>
    <s v="ORD-000049"/>
    <s v="C-0229"/>
    <d v="2025-06-09T00:00:00"/>
    <s v="Marketplace"/>
    <s v="Credit Card"/>
    <s v="West Coast"/>
    <n v="2"/>
    <x v="5"/>
    <n v="203.21"/>
    <n v="10"/>
    <n v="20.32"/>
    <n v="29.72"/>
    <n v="64.760000000000005"/>
    <n v="27.43"/>
    <n v="5.6"/>
    <s v="No"/>
    <n v="0"/>
    <n v="182.89"/>
    <n v="127.51"/>
    <n v="55.38"/>
    <n v="0"/>
  </r>
  <r>
    <s v="ORD-000050"/>
    <s v="C-0169"/>
    <d v="2025-01-27T00:00:00"/>
    <s v="Social Commerce"/>
    <s v="Debit Card"/>
    <s v="West Coast"/>
    <n v="5"/>
    <x v="7"/>
    <n v="294.17"/>
    <n v="15"/>
    <n v="44.13"/>
    <n v="73"/>
    <n v="116.48"/>
    <n v="20"/>
    <n v="7.55"/>
    <s v="No"/>
    <n v="0"/>
    <n v="250.04"/>
    <n v="217.03"/>
    <n v="33.01"/>
    <n v="0"/>
  </r>
  <r>
    <s v="ORD-000051"/>
    <s v="C-0550"/>
    <d v="2025-01-10T00:00:00"/>
    <s v="Website"/>
    <s v="Credit Card"/>
    <s v="Southwest"/>
    <n v="1"/>
    <x v="5"/>
    <n v="66.05"/>
    <n v="15"/>
    <n v="9.91"/>
    <n v="14.86"/>
    <n v="23.44"/>
    <n v="0"/>
    <n v="1.93"/>
    <s v="No"/>
    <n v="0"/>
    <n v="56.14"/>
    <n v="40.229999999999997"/>
    <n v="15.91"/>
    <n v="0"/>
  </r>
  <r>
    <s v="ORD-000052"/>
    <s v="C-0207"/>
    <d v="2025-11-22T00:00:00"/>
    <s v="Mobile App"/>
    <s v="PayPal"/>
    <s v="West Coast"/>
    <n v="2"/>
    <x v="7"/>
    <n v="202.12"/>
    <n v="15"/>
    <n v="30.32"/>
    <n v="23.48"/>
    <n v="79.94"/>
    <n v="0"/>
    <n v="5.28"/>
    <s v="No"/>
    <n v="0"/>
    <n v="171.8"/>
    <n v="108.7"/>
    <n v="63.1"/>
    <n v="0"/>
  </r>
  <r>
    <s v="ORD-000053"/>
    <s v="C-0247"/>
    <d v="2025-07-01T00:00:00"/>
    <s v="Mobile App"/>
    <s v="PayPal"/>
    <s v="Southwest"/>
    <n v="1"/>
    <x v="1"/>
    <n v="61.44"/>
    <n v="15"/>
    <n v="9.2200000000000006"/>
    <n v="12.06"/>
    <n v="19.8"/>
    <n v="0"/>
    <n v="1.81"/>
    <s v="No"/>
    <n v="0"/>
    <n v="52.22"/>
    <n v="33.67"/>
    <n v="18.55"/>
    <n v="0"/>
  </r>
  <r>
    <s v="ORD-000054"/>
    <s v="C-0378"/>
    <d v="2025-07-29T00:00:00"/>
    <s v="Website"/>
    <s v="Buy Now Pay Later"/>
    <s v="Northeast"/>
    <n v="4"/>
    <x v="2"/>
    <n v="274.52999999999997"/>
    <n v="10"/>
    <n v="27.45"/>
    <n v="26.96"/>
    <n v="111.46"/>
    <n v="0"/>
    <n v="7.47"/>
    <s v="No"/>
    <n v="0"/>
    <n v="247.08"/>
    <n v="145.88999999999999"/>
    <n v="101.19"/>
    <n v="0"/>
  </r>
  <r>
    <s v="ORD-000055"/>
    <s v="C-0734"/>
    <d v="2025-08-01T00:00:00"/>
    <s v="Marketplace"/>
    <s v="Credit Card"/>
    <s v="Northeast"/>
    <n v="2"/>
    <x v="0"/>
    <n v="374.98"/>
    <n v="5"/>
    <n v="18.75"/>
    <n v="18.84"/>
    <n v="133.53"/>
    <n v="53.43"/>
    <n v="10.63"/>
    <s v="Yes"/>
    <n v="356.23"/>
    <n v="0"/>
    <n v="216.43"/>
    <n v="-216.43"/>
    <n v="0"/>
  </r>
  <r>
    <s v="ORD-000056"/>
    <s v="C-0583"/>
    <d v="2024-05-20T00:00:00"/>
    <s v="Website"/>
    <s v="Gift Card"/>
    <s v="West Coast"/>
    <n v="3"/>
    <x v="6"/>
    <n v="69.88"/>
    <n v="20"/>
    <n v="13.98"/>
    <n v="25.28"/>
    <n v="26.93"/>
    <n v="0"/>
    <n v="1.92"/>
    <s v="No"/>
    <n v="0"/>
    <n v="55.9"/>
    <n v="54.13"/>
    <n v="1.77"/>
    <n v="0"/>
  </r>
  <r>
    <s v="ORD-000057"/>
    <s v="C-0246"/>
    <d v="2025-07-01T00:00:00"/>
    <s v="Website"/>
    <s v="Credit Card"/>
    <s v="Southwest"/>
    <n v="1"/>
    <x v="1"/>
    <n v="72.06"/>
    <n v="10"/>
    <n v="7.21"/>
    <n v="11.94"/>
    <n v="32.25"/>
    <n v="0"/>
    <n v="2.1800000000000002"/>
    <s v="No"/>
    <n v="0"/>
    <n v="64.849999999999994"/>
    <n v="46.37"/>
    <n v="18.48"/>
    <n v="1"/>
  </r>
  <r>
    <s v="ORD-000058"/>
    <s v="C-0282"/>
    <d v="2025-06-03T00:00:00"/>
    <s v="Mobile App"/>
    <s v="PayPal"/>
    <s v="Midwest"/>
    <n v="1"/>
    <x v="6"/>
    <n v="3.49"/>
    <n v="0"/>
    <n v="0"/>
    <n v="10.38"/>
    <n v="2.17"/>
    <n v="0"/>
    <n v="0.4"/>
    <s v="Yes"/>
    <n v="3.49"/>
    <n v="0"/>
    <n v="12.95"/>
    <n v="-12.95"/>
    <n v="0"/>
  </r>
  <r>
    <s v="ORD-000059"/>
    <s v="C-0123"/>
    <d v="2024-10-08T00:00:00"/>
    <s v="Website"/>
    <s v="Gift Card"/>
    <s v="Midwest"/>
    <n v="2"/>
    <x v="5"/>
    <n v="26.95"/>
    <n v="15"/>
    <n v="4.04"/>
    <n v="20.84"/>
    <n v="16.07"/>
    <n v="0"/>
    <n v="0.96"/>
    <s v="No"/>
    <n v="0"/>
    <n v="22.91"/>
    <n v="37.869999999999997"/>
    <n v="-14.96"/>
    <n v="0"/>
  </r>
  <r>
    <s v="ORD-000060"/>
    <s v="C-0168"/>
    <d v="2024-05-16T00:00:00"/>
    <s v="Mobile App"/>
    <s v="PayPal"/>
    <s v="West Coast"/>
    <n v="1"/>
    <x v="2"/>
    <n v="90.54"/>
    <n v="20"/>
    <n v="18.11"/>
    <n v="25.56"/>
    <n v="47.98"/>
    <n v="0"/>
    <n v="2.4"/>
    <s v="No"/>
    <n v="0"/>
    <n v="72.430000000000007"/>
    <n v="75.94"/>
    <n v="-3.51"/>
    <n v="1"/>
  </r>
  <r>
    <s v="ORD-000061"/>
    <s v="C-0123"/>
    <d v="2025-11-21T00:00:00"/>
    <s v="Marketplace"/>
    <s v="PayPal"/>
    <s v="West Coast"/>
    <n v="2"/>
    <x v="5"/>
    <n v="54.47"/>
    <n v="15"/>
    <n v="8.17"/>
    <n v="23.08"/>
    <n v="21.48"/>
    <n v="6.94"/>
    <n v="1.64"/>
    <s v="No"/>
    <n v="0"/>
    <n v="46.3"/>
    <n v="53.14"/>
    <n v="-6.84"/>
    <n v="0"/>
  </r>
  <r>
    <s v="ORD-000062"/>
    <s v="C-0090"/>
    <d v="2025-04-29T00:00:00"/>
    <s v="Website"/>
    <s v="Credit Card"/>
    <s v="Midwest"/>
    <n v="2"/>
    <x v="1"/>
    <n v="220.38"/>
    <n v="5"/>
    <n v="11.02"/>
    <n v="24.76"/>
    <n v="65.569999999999993"/>
    <n v="0"/>
    <n v="6.37"/>
    <s v="No"/>
    <n v="0"/>
    <n v="209.36"/>
    <n v="96.7"/>
    <n v="112.66"/>
    <n v="0"/>
  </r>
  <r>
    <s v="ORD-000063"/>
    <s v="C-0584"/>
    <d v="2025-05-10T00:00:00"/>
    <s v="Mobile App"/>
    <s v="Buy Now Pay Later"/>
    <s v="Southeast"/>
    <n v="1"/>
    <x v="7"/>
    <n v="15.69"/>
    <n v="10"/>
    <n v="1.57"/>
    <n v="9.34"/>
    <n v="4.67"/>
    <n v="0"/>
    <n v="0.71"/>
    <s v="No"/>
    <n v="0"/>
    <n v="14.12"/>
    <n v="14.72"/>
    <n v="-0.6"/>
    <n v="0"/>
  </r>
  <r>
    <s v="ORD-000064"/>
    <s v="C-0697"/>
    <d v="2025-11-22T00:00:00"/>
    <s v="Mobile App"/>
    <s v="Credit Card"/>
    <s v="Southwest"/>
    <n v="4"/>
    <x v="7"/>
    <n v="176.25"/>
    <n v="0"/>
    <n v="0"/>
    <n v="43.68"/>
    <n v="79.67"/>
    <n v="0"/>
    <n v="5.41"/>
    <s v="No"/>
    <n v="0"/>
    <n v="176.25"/>
    <n v="128.76"/>
    <n v="47.49"/>
    <n v="0"/>
  </r>
  <r>
    <s v="ORD-000065"/>
    <s v="C-0326"/>
    <d v="2025-03-11T00:00:00"/>
    <s v="Mobile App"/>
    <s v="Debit Card"/>
    <s v="Northeast"/>
    <n v="3"/>
    <x v="3"/>
    <n v="401.01"/>
    <n v="0"/>
    <n v="0"/>
    <n v="28.3"/>
    <n v="180.89"/>
    <n v="0"/>
    <n v="11.93"/>
    <s v="No"/>
    <n v="0"/>
    <n v="401.01"/>
    <n v="221.12"/>
    <n v="179.89"/>
    <n v="0"/>
  </r>
  <r>
    <s v="ORD-000066"/>
    <s v="C-0118"/>
    <d v="2025-06-08T00:00:00"/>
    <s v="Website"/>
    <s v="PayPal"/>
    <s v="Southwest"/>
    <n v="1"/>
    <x v="6"/>
    <n v="30.61"/>
    <n v="5"/>
    <n v="1.53"/>
    <n v="9.9"/>
    <n v="9.18"/>
    <n v="0"/>
    <n v="1.1399999999999999"/>
    <s v="No"/>
    <n v="0"/>
    <n v="29.08"/>
    <n v="20.22"/>
    <n v="8.86"/>
    <n v="0"/>
  </r>
  <r>
    <s v="ORD-000067"/>
    <s v="C-0273"/>
    <d v="2024-08-25T00:00:00"/>
    <s v="Website"/>
    <s v="Debit Card"/>
    <s v="Southeast"/>
    <n v="1"/>
    <x v="5"/>
    <n v="127.92"/>
    <n v="15"/>
    <n v="19.190000000000001"/>
    <n v="22.84"/>
    <n v="74.56"/>
    <n v="0"/>
    <n v="3.45"/>
    <s v="No"/>
    <n v="0"/>
    <n v="108.73"/>
    <n v="100.85"/>
    <n v="7.88"/>
    <n v="0"/>
  </r>
  <r>
    <s v="ORD-000068"/>
    <s v="C-0633"/>
    <d v="2025-04-26T00:00:00"/>
    <s v="Website"/>
    <s v="Buy Now Pay Later"/>
    <s v="Midwest"/>
    <n v="3"/>
    <x v="4"/>
    <n v="209.71"/>
    <n v="15"/>
    <n v="31.46"/>
    <n v="36.700000000000003"/>
    <n v="76.77"/>
    <n v="0"/>
    <n v="5.47"/>
    <s v="No"/>
    <n v="0"/>
    <n v="178.25"/>
    <n v="118.94"/>
    <n v="59.31"/>
    <n v="0"/>
  </r>
  <r>
    <s v="ORD-000069"/>
    <s v="C-0188"/>
    <d v="2025-11-17T00:00:00"/>
    <s v="Mobile App"/>
    <s v="Buy Now Pay Later"/>
    <s v="Southwest"/>
    <n v="1"/>
    <x v="1"/>
    <n v="5.22"/>
    <n v="10"/>
    <n v="0.52"/>
    <n v="14.3"/>
    <n v="2.85"/>
    <n v="0"/>
    <n v="0.44"/>
    <s v="No"/>
    <n v="0"/>
    <n v="4.7"/>
    <n v="17.59"/>
    <n v="-12.89"/>
    <n v="0"/>
  </r>
  <r>
    <s v="ORD-000070"/>
    <s v="C-0635"/>
    <d v="2025-01-11T00:00:00"/>
    <s v="Marketplace"/>
    <s v="Buy Now Pay Later"/>
    <s v="Northeast"/>
    <n v="4"/>
    <x v="7"/>
    <n v="233.97"/>
    <n v="20"/>
    <n v="46.79"/>
    <n v="71.319999999999993"/>
    <n v="122.29"/>
    <n v="28.08"/>
    <n v="5.73"/>
    <s v="No"/>
    <n v="0"/>
    <n v="187.18"/>
    <n v="227.42"/>
    <n v="-40.24"/>
    <n v="0"/>
  </r>
  <r>
    <s v="ORD-000071"/>
    <s v="C-0774"/>
    <d v="2025-02-13T00:00:00"/>
    <s v="Social Commerce"/>
    <s v="Credit Card"/>
    <s v="Southeast"/>
    <n v="1"/>
    <x v="4"/>
    <n v="40.89"/>
    <n v="20"/>
    <n v="8.18"/>
    <n v="15.1"/>
    <n v="16.21"/>
    <n v="2.62"/>
    <n v="1.25"/>
    <s v="No"/>
    <n v="0"/>
    <n v="32.71"/>
    <n v="35.18"/>
    <n v="-2.4700000000000002"/>
    <n v="0"/>
  </r>
  <r>
    <s v="ORD-000072"/>
    <s v="C-0321"/>
    <d v="2024-11-24T00:00:00"/>
    <s v="Mobile App"/>
    <s v="Credit Card"/>
    <s v="West Coast"/>
    <n v="1"/>
    <x v="0"/>
    <n v="24.38"/>
    <n v="20"/>
    <n v="4.88"/>
    <n v="13.9"/>
    <n v="16.190000000000001"/>
    <n v="0"/>
    <n v="0.87"/>
    <s v="No"/>
    <n v="0"/>
    <n v="19.5"/>
    <n v="30.96"/>
    <n v="-11.46"/>
    <n v="0"/>
  </r>
  <r>
    <s v="ORD-000073"/>
    <s v="C-0507"/>
    <d v="2025-05-25T00:00:00"/>
    <s v="Website"/>
    <s v="PayPal"/>
    <s v="West Coast"/>
    <n v="2"/>
    <x v="3"/>
    <n v="209.53"/>
    <n v="15"/>
    <n v="31.43"/>
    <n v="20.02"/>
    <n v="75.75"/>
    <n v="0"/>
    <n v="5.46"/>
    <s v="No"/>
    <n v="0"/>
    <n v="178.1"/>
    <n v="101.23"/>
    <n v="76.87"/>
    <n v="0"/>
  </r>
  <r>
    <s v="ORD-000074"/>
    <s v="C-0341"/>
    <d v="2024-12-08T00:00:00"/>
    <s v="Marketplace"/>
    <s v="Debit Card"/>
    <s v="Southwest"/>
    <n v="1"/>
    <x v="5"/>
    <n v="28.96"/>
    <n v="0"/>
    <n v="0"/>
    <n v="9.02"/>
    <n v="8.3000000000000007"/>
    <n v="4.34"/>
    <n v="1.1399999999999999"/>
    <s v="No"/>
    <n v="0"/>
    <n v="28.96"/>
    <n v="22.8"/>
    <n v="6.16"/>
    <n v="0"/>
  </r>
  <r>
    <s v="ORD-000075"/>
    <s v="C-0223"/>
    <d v="2025-08-31T00:00:00"/>
    <s v="Mobile App"/>
    <s v="Debit Card"/>
    <s v="Southwest"/>
    <n v="1"/>
    <x v="1"/>
    <n v="48.04"/>
    <n v="0"/>
    <n v="0"/>
    <n v="7.96"/>
    <n v="21.5"/>
    <n v="0"/>
    <n v="1.69"/>
    <s v="No"/>
    <n v="0"/>
    <n v="48.04"/>
    <n v="31.15"/>
    <n v="16.89"/>
    <n v="0"/>
  </r>
  <r>
    <s v="ORD-000076"/>
    <s v="C-0071"/>
    <d v="2025-11-07T00:00:00"/>
    <s v="Marketplace"/>
    <s v="Debit Card"/>
    <s v="Midwest"/>
    <n v="2"/>
    <x v="6"/>
    <n v="26.51"/>
    <n v="0"/>
    <n v="0"/>
    <n v="22.2"/>
    <n v="9.98"/>
    <n v="3.98"/>
    <n v="1.07"/>
    <s v="No"/>
    <n v="0"/>
    <n v="26.51"/>
    <n v="37.229999999999997"/>
    <n v="-10.72"/>
    <n v="0"/>
  </r>
  <r>
    <s v="ORD-000077"/>
    <s v="C-0022"/>
    <d v="2025-04-04T00:00:00"/>
    <s v="Website"/>
    <s v="Credit Card"/>
    <s v="Southeast"/>
    <n v="2"/>
    <x v="4"/>
    <n v="167.59"/>
    <n v="0"/>
    <n v="0"/>
    <n v="28.1"/>
    <n v="57.4"/>
    <n v="0"/>
    <n v="5.16"/>
    <s v="Yes"/>
    <n v="167.59"/>
    <n v="0"/>
    <n v="90.66"/>
    <n v="-90.66"/>
    <n v="0"/>
  </r>
  <r>
    <s v="ORD-000078"/>
    <s v="C-0664"/>
    <d v="2025-01-24T00:00:00"/>
    <s v="Website"/>
    <s v="PayPal"/>
    <s v="West Coast"/>
    <n v="3"/>
    <x v="2"/>
    <n v="180.3"/>
    <n v="0"/>
    <n v="0"/>
    <n v="46.88"/>
    <n v="89.4"/>
    <n v="0"/>
    <n v="5.53"/>
    <s v="No"/>
    <n v="0"/>
    <n v="180.3"/>
    <n v="141.81"/>
    <n v="38.49"/>
    <n v="0"/>
  </r>
  <r>
    <s v="ORD-000079"/>
    <s v="C-0661"/>
    <d v="2025-06-05T00:00:00"/>
    <s v="Marketplace"/>
    <s v="Debit Card"/>
    <s v="Southeast"/>
    <n v="1"/>
    <x v="1"/>
    <n v="24.02"/>
    <n v="0"/>
    <n v="0"/>
    <n v="3.98"/>
    <n v="10.75"/>
    <n v="3.6"/>
    <n v="1"/>
    <s v="No"/>
    <n v="0"/>
    <n v="24.02"/>
    <n v="19.329999999999998"/>
    <n v="4.6900000000000004"/>
    <n v="1"/>
  </r>
  <r>
    <s v="ORD-000080"/>
    <s v="C-0506"/>
    <d v="2025-08-08T00:00:00"/>
    <s v="Website"/>
    <s v="Buy Now Pay Later"/>
    <s v="West Coast"/>
    <n v="1"/>
    <x v="0"/>
    <n v="24.38"/>
    <n v="0"/>
    <n v="0"/>
    <n v="13.9"/>
    <n v="16.190000000000001"/>
    <n v="0"/>
    <n v="1.01"/>
    <s v="No"/>
    <n v="0"/>
    <n v="24.38"/>
    <n v="31.1"/>
    <n v="-6.72"/>
    <n v="0"/>
  </r>
  <r>
    <s v="ORD-000081"/>
    <s v="C-0008"/>
    <d v="2025-07-20T00:00:00"/>
    <s v="Website"/>
    <s v="PayPal"/>
    <s v="Midwest"/>
    <n v="1"/>
    <x v="4"/>
    <n v="100.26"/>
    <n v="10"/>
    <n v="10.029999999999999"/>
    <n v="8.44"/>
    <n v="63.28"/>
    <n v="0"/>
    <n v="2.92"/>
    <s v="No"/>
    <n v="0"/>
    <n v="90.23"/>
    <n v="74.64"/>
    <n v="15.59"/>
    <n v="0"/>
  </r>
  <r>
    <s v="ORD-000082"/>
    <s v="C-0329"/>
    <d v="2025-07-25T00:00:00"/>
    <s v="Website"/>
    <s v="Credit Card"/>
    <s v="Northeast"/>
    <n v="1"/>
    <x v="3"/>
    <n v="208.28"/>
    <n v="0"/>
    <n v="0"/>
    <n v="29.08"/>
    <n v="66.08"/>
    <n v="0"/>
    <n v="6.34"/>
    <s v="No"/>
    <n v="0"/>
    <n v="208.28"/>
    <n v="101.5"/>
    <n v="106.78"/>
    <n v="0"/>
  </r>
  <r>
    <s v="ORD-000083"/>
    <s v="C-0721"/>
    <d v="2025-02-07T00:00:00"/>
    <s v="Website"/>
    <s v="Debit Card"/>
    <s v="West Coast"/>
    <n v="4"/>
    <x v="2"/>
    <n v="197.71"/>
    <n v="15"/>
    <n v="29.66"/>
    <n v="28.88"/>
    <n v="92.29"/>
    <n v="0"/>
    <n v="5.17"/>
    <s v="No"/>
    <n v="0"/>
    <n v="168.05"/>
    <n v="126.34"/>
    <n v="41.71"/>
    <n v="0"/>
  </r>
  <r>
    <s v="ORD-000084"/>
    <s v="C-0130"/>
    <d v="2025-06-29T00:00:00"/>
    <s v="Mobile App"/>
    <s v="Credit Card"/>
    <s v="Northeast"/>
    <n v="1"/>
    <x v="7"/>
    <n v="67.09"/>
    <n v="15"/>
    <n v="10.06"/>
    <n v="10.54"/>
    <n v="26.96"/>
    <n v="0"/>
    <n v="1.95"/>
    <s v="No"/>
    <n v="0"/>
    <n v="57.03"/>
    <n v="39.450000000000003"/>
    <n v="17.579999999999998"/>
    <n v="0"/>
  </r>
  <r>
    <s v="ORD-000085"/>
    <s v="C-0114"/>
    <d v="2025-07-03T00:00:00"/>
    <s v="Mobile App"/>
    <s v="PayPal"/>
    <s v="Northeast"/>
    <n v="3"/>
    <x v="2"/>
    <n v="139.44999999999999"/>
    <n v="5"/>
    <n v="6.97"/>
    <n v="40.56"/>
    <n v="44.49"/>
    <n v="0"/>
    <n v="4.1399999999999997"/>
    <s v="No"/>
    <n v="0"/>
    <n v="132.47999999999999"/>
    <n v="89.19"/>
    <n v="43.29"/>
    <n v="0"/>
  </r>
  <r>
    <s v="ORD-000086"/>
    <s v="C-0117"/>
    <d v="2025-12-02T00:00:00"/>
    <s v="Marketplace"/>
    <s v="PayPal"/>
    <s v="Southwest"/>
    <n v="3"/>
    <x v="5"/>
    <n v="231.74"/>
    <n v="10"/>
    <n v="23.17"/>
    <n v="58.78"/>
    <n v="80.36"/>
    <n v="31.29"/>
    <n v="6.35"/>
    <s v="No"/>
    <n v="0"/>
    <n v="208.57"/>
    <n v="176.78"/>
    <n v="31.79"/>
    <n v="0"/>
  </r>
  <r>
    <s v="ORD-000087"/>
    <s v="C-0271"/>
    <d v="2024-12-02T00:00:00"/>
    <s v="Mobile App"/>
    <s v="Credit Card"/>
    <s v="Southwest"/>
    <n v="2"/>
    <x v="2"/>
    <n v="139.54"/>
    <n v="0"/>
    <n v="0"/>
    <n v="20.76"/>
    <n v="61.19"/>
    <n v="0"/>
    <n v="4.3499999999999996"/>
    <s v="No"/>
    <n v="0"/>
    <n v="139.54"/>
    <n v="86.3"/>
    <n v="53.24"/>
    <n v="0"/>
  </r>
  <r>
    <s v="ORD-000088"/>
    <s v="C-0623"/>
    <d v="2024-10-08T00:00:00"/>
    <s v="Website"/>
    <s v="Debit Card"/>
    <s v="West Coast"/>
    <n v="4"/>
    <x v="2"/>
    <n v="716.16"/>
    <n v="0"/>
    <n v="0"/>
    <n v="69.12"/>
    <n v="241.86"/>
    <n v="0"/>
    <n v="21.07"/>
    <s v="No"/>
    <n v="0"/>
    <n v="716.16"/>
    <n v="332.05"/>
    <n v="384.11"/>
    <n v="0"/>
  </r>
  <r>
    <s v="ORD-000089"/>
    <s v="C-0730"/>
    <d v="2025-02-28T00:00:00"/>
    <s v="Mobile App"/>
    <s v="Debit Card"/>
    <s v="Northeast"/>
    <n v="2"/>
    <x v="0"/>
    <n v="153.75"/>
    <n v="15"/>
    <n v="23.06"/>
    <n v="21.56"/>
    <n v="53.88"/>
    <n v="0"/>
    <n v="4.09"/>
    <s v="No"/>
    <n v="0"/>
    <n v="130.69"/>
    <n v="79.53"/>
    <n v="51.16"/>
    <n v="0"/>
  </r>
  <r>
    <s v="ORD-000090"/>
    <s v="C-0720"/>
    <d v="2024-06-17T00:00:00"/>
    <s v="Mobile App"/>
    <s v="Credit Card"/>
    <s v="Midwest"/>
    <n v="3"/>
    <x v="1"/>
    <n v="40.86"/>
    <n v="0"/>
    <n v="0"/>
    <n v="45.44"/>
    <n v="19.239999999999998"/>
    <n v="0"/>
    <n v="1.48"/>
    <s v="No"/>
    <n v="0"/>
    <n v="40.86"/>
    <n v="66.16"/>
    <n v="-25.3"/>
    <n v="0"/>
  </r>
  <r>
    <s v="ORD-000091"/>
    <s v="C-0715"/>
    <d v="2025-09-27T00:00:00"/>
    <s v="Mobile App"/>
    <s v="Credit Card"/>
    <s v="Southwest"/>
    <n v="3"/>
    <x v="3"/>
    <n v="228.68"/>
    <n v="0"/>
    <n v="0"/>
    <n v="57.9"/>
    <n v="96.2"/>
    <n v="0"/>
    <n v="6.93"/>
    <s v="No"/>
    <n v="0"/>
    <n v="228.68"/>
    <n v="161.03"/>
    <n v="67.650000000000006"/>
    <n v="0"/>
  </r>
  <r>
    <s v="ORD-000092"/>
    <s v="C-0301"/>
    <d v="2025-01-06T00:00:00"/>
    <s v="Website"/>
    <s v="Credit Card"/>
    <s v="West Coast"/>
    <n v="3"/>
    <x v="0"/>
    <n v="297.24"/>
    <n v="15"/>
    <n v="44.59"/>
    <n v="42.48"/>
    <n v="141.35"/>
    <n v="0"/>
    <n v="7.63"/>
    <s v="No"/>
    <n v="0"/>
    <n v="252.65"/>
    <n v="191.46"/>
    <n v="61.19"/>
    <n v="0"/>
  </r>
  <r>
    <s v="ORD-000093"/>
    <s v="C-0646"/>
    <d v="2025-10-25T00:00:00"/>
    <s v="Marketplace"/>
    <s v="PayPal"/>
    <s v="West Coast"/>
    <n v="2"/>
    <x v="6"/>
    <n v="27.72"/>
    <n v="10"/>
    <n v="2.77"/>
    <n v="17.079999999999998"/>
    <n v="15.14"/>
    <n v="3.74"/>
    <n v="1.02"/>
    <s v="Yes"/>
    <n v="24.95"/>
    <n v="0"/>
    <n v="36.979999999999997"/>
    <n v="-36.979999999999997"/>
    <n v="0"/>
  </r>
  <r>
    <s v="ORD-000094"/>
    <s v="C-0740"/>
    <d v="2025-09-04T00:00:00"/>
    <s v="Marketplace"/>
    <s v="Gift Card"/>
    <s v="Northeast"/>
    <n v="2"/>
    <x v="2"/>
    <n v="384.27"/>
    <n v="20"/>
    <n v="76.849999999999994"/>
    <n v="44.4"/>
    <n v="147.09"/>
    <n v="46.11"/>
    <n v="9.2200000000000006"/>
    <s v="No"/>
    <n v="0"/>
    <n v="307.42"/>
    <n v="246.82"/>
    <n v="60.6"/>
    <n v="0"/>
  </r>
  <r>
    <s v="ORD-000095"/>
    <s v="C-0680"/>
    <d v="2025-08-10T00:00:00"/>
    <s v="Mobile App"/>
    <s v="Debit Card"/>
    <s v="Southwest"/>
    <n v="1"/>
    <x v="1"/>
    <n v="39.11"/>
    <n v="10"/>
    <n v="3.91"/>
    <n v="9.82"/>
    <n v="15.9"/>
    <n v="0"/>
    <n v="1.32"/>
    <s v="No"/>
    <n v="0"/>
    <n v="35.200000000000003"/>
    <n v="27.04"/>
    <n v="8.16"/>
    <n v="1"/>
  </r>
  <r>
    <s v="ORD-000096"/>
    <s v="C-0410"/>
    <d v="2024-09-03T00:00:00"/>
    <s v="Website"/>
    <s v="Credit Card"/>
    <s v="Southeast"/>
    <n v="2"/>
    <x v="3"/>
    <n v="207.66"/>
    <n v="0"/>
    <n v="0"/>
    <n v="43.44"/>
    <n v="85.38"/>
    <n v="0"/>
    <n v="6.32"/>
    <s v="Yes"/>
    <n v="207.66"/>
    <n v="0"/>
    <n v="135.13999999999999"/>
    <n v="-135.13999999999999"/>
    <n v="0"/>
  </r>
  <r>
    <s v="ORD-000097"/>
    <s v="C-0039"/>
    <d v="2025-07-30T00:00:00"/>
    <s v="Website"/>
    <s v="PayPal"/>
    <s v="Midwest"/>
    <n v="3"/>
    <x v="5"/>
    <n v="55.6"/>
    <n v="20"/>
    <n v="11.12"/>
    <n v="39.76"/>
    <n v="23.15"/>
    <n v="0"/>
    <n v="1.59"/>
    <s v="No"/>
    <n v="0"/>
    <n v="44.48"/>
    <n v="64.5"/>
    <n v="-20.02"/>
    <n v="0"/>
  </r>
  <r>
    <s v="ORD-000098"/>
    <s v="C-0342"/>
    <d v="2025-11-06T00:00:00"/>
    <s v="Mobile App"/>
    <s v="PayPal"/>
    <s v="Northeast"/>
    <n v="1"/>
    <x v="7"/>
    <n v="58.8"/>
    <n v="25"/>
    <n v="14.7"/>
    <n v="12.44"/>
    <n v="22.82"/>
    <n v="0"/>
    <n v="1.58"/>
    <s v="No"/>
    <n v="0"/>
    <n v="44.1"/>
    <n v="36.840000000000003"/>
    <n v="7.26"/>
    <n v="1"/>
  </r>
  <r>
    <s v="ORD-000099"/>
    <s v="C-0583"/>
    <d v="2024-05-16T00:00:00"/>
    <s v="Website"/>
    <s v="Credit Card"/>
    <s v="West Coast"/>
    <n v="3"/>
    <x v="3"/>
    <n v="486.49"/>
    <n v="10"/>
    <n v="48.65"/>
    <n v="61.06"/>
    <n v="267.26"/>
    <n v="0"/>
    <n v="13"/>
    <s v="No"/>
    <n v="0"/>
    <n v="437.84"/>
    <n v="341.32"/>
    <n v="96.52"/>
    <n v="0"/>
  </r>
  <r>
    <s v="ORD-000100"/>
    <s v="C-0368"/>
    <d v="2025-09-26T00:00:00"/>
    <s v="Website"/>
    <s v="Debit Card"/>
    <s v="West Coast"/>
    <n v="1"/>
    <x v="4"/>
    <n v="56"/>
    <n v="0"/>
    <n v="0"/>
    <n v="12.86"/>
    <n v="19.82"/>
    <n v="0"/>
    <n v="1.92"/>
    <s v="No"/>
    <n v="0"/>
    <n v="56"/>
    <n v="34.6"/>
    <n v="21.4"/>
    <n v="0"/>
  </r>
  <r>
    <s v="ORD-000101"/>
    <s v="C-0598"/>
    <d v="2025-02-25T00:00:00"/>
    <s v="Website"/>
    <s v="PayPal"/>
    <s v="Southeast"/>
    <n v="1"/>
    <x v="7"/>
    <n v="105.44"/>
    <n v="10"/>
    <n v="10.54"/>
    <n v="8.94"/>
    <n v="42.07"/>
    <n v="0"/>
    <n v="3.05"/>
    <s v="No"/>
    <n v="0"/>
    <n v="94.9"/>
    <n v="54.06"/>
    <n v="40.840000000000003"/>
    <n v="0"/>
  </r>
  <r>
    <s v="ORD-000102"/>
    <s v="C-0742"/>
    <d v="2024-11-26T00:00:00"/>
    <s v="Website"/>
    <s v="Debit Card"/>
    <s v="Midwest"/>
    <n v="1"/>
    <x v="3"/>
    <n v="104.14"/>
    <n v="0"/>
    <n v="0"/>
    <n v="14.54"/>
    <n v="33.04"/>
    <n v="0"/>
    <n v="3.32"/>
    <s v="No"/>
    <n v="0"/>
    <n v="104.14"/>
    <n v="50.9"/>
    <n v="53.24"/>
    <n v="0"/>
  </r>
  <r>
    <s v="ORD-000103"/>
    <s v="C-0478"/>
    <d v="2024-10-29T00:00:00"/>
    <s v="Marketplace"/>
    <s v="PayPal"/>
    <s v="Midwest"/>
    <n v="1"/>
    <x v="1"/>
    <n v="77.53"/>
    <n v="5"/>
    <n v="3.88"/>
    <n v="4.78"/>
    <n v="24.83"/>
    <n v="11.05"/>
    <n v="2.44"/>
    <s v="No"/>
    <n v="0"/>
    <n v="73.650000000000006"/>
    <n v="43.1"/>
    <n v="30.55"/>
    <n v="0"/>
  </r>
  <r>
    <s v="ORD-000104"/>
    <s v="C-0731"/>
    <d v="2025-08-12T00:00:00"/>
    <s v="Marketplace"/>
    <s v="Credit Card"/>
    <s v="Southeast"/>
    <n v="2"/>
    <x v="5"/>
    <n v="200.98"/>
    <n v="5"/>
    <n v="10.050000000000001"/>
    <n v="42.32"/>
    <n v="82.4"/>
    <n v="28.64"/>
    <n v="5.84"/>
    <s v="No"/>
    <n v="0"/>
    <n v="190.93"/>
    <n v="159.19999999999999"/>
    <n v="31.73"/>
    <n v="0"/>
  </r>
  <r>
    <s v="ORD-000105"/>
    <s v="C-0224"/>
    <d v="2025-01-05T00:00:00"/>
    <s v="Marketplace"/>
    <s v="Credit Card"/>
    <s v="Northeast"/>
    <n v="1"/>
    <x v="6"/>
    <n v="8.92"/>
    <n v="10"/>
    <n v="0.89"/>
    <n v="10.220000000000001"/>
    <n v="5.33"/>
    <n v="1.2"/>
    <n v="0.53"/>
    <s v="No"/>
    <n v="0"/>
    <n v="8.0299999999999994"/>
    <n v="17.28"/>
    <n v="-9.25"/>
    <n v="0"/>
  </r>
  <r>
    <s v="ORD-000106"/>
    <s v="C-0715"/>
    <d v="2025-06-15T00:00:00"/>
    <s v="Marketplace"/>
    <s v="PayPal"/>
    <s v="Northeast"/>
    <n v="2"/>
    <x v="4"/>
    <n v="91.92"/>
    <n v="5"/>
    <n v="4.5999999999999996"/>
    <n v="20.36"/>
    <n v="56.68"/>
    <n v="13.1"/>
    <n v="2.83"/>
    <s v="No"/>
    <n v="0"/>
    <n v="87.32"/>
    <n v="92.97"/>
    <n v="-5.65"/>
    <n v="0"/>
  </r>
  <r>
    <s v="ORD-000107"/>
    <s v="C-0200"/>
    <d v="2024-12-23T00:00:00"/>
    <s v="Mobile App"/>
    <s v="Credit Card"/>
    <s v="Southeast"/>
    <n v="3"/>
    <x v="2"/>
    <n v="190.03"/>
    <n v="20"/>
    <n v="38.01"/>
    <n v="33.06"/>
    <n v="70.27"/>
    <n v="0"/>
    <n v="4.71"/>
    <s v="No"/>
    <n v="0"/>
    <n v="152.02000000000001"/>
    <n v="108.04"/>
    <n v="43.98"/>
    <n v="0"/>
  </r>
  <r>
    <s v="ORD-000108"/>
    <s v="C-0044"/>
    <d v="2025-02-09T00:00:00"/>
    <s v="Website"/>
    <s v="PayPal"/>
    <s v="Southwest"/>
    <n v="1"/>
    <x v="6"/>
    <n v="9.0299999999999994"/>
    <n v="0"/>
    <n v="0"/>
    <n v="13.98"/>
    <n v="6.37"/>
    <n v="0"/>
    <n v="0.56000000000000005"/>
    <s v="No"/>
    <n v="0"/>
    <n v="9.0299999999999994"/>
    <n v="20.91"/>
    <n v="-11.88"/>
    <n v="0"/>
  </r>
  <r>
    <s v="ORD-000109"/>
    <s v="C-0661"/>
    <d v="2025-09-03T00:00:00"/>
    <s v="Mobile App"/>
    <s v="Credit Card"/>
    <s v="Southeast"/>
    <n v="2"/>
    <x v="0"/>
    <n v="89.14"/>
    <n v="0"/>
    <n v="0"/>
    <n v="20.52"/>
    <n v="32.47"/>
    <n v="0"/>
    <n v="2.89"/>
    <s v="No"/>
    <n v="0"/>
    <n v="89.14"/>
    <n v="55.88"/>
    <n v="33.26"/>
    <n v="0"/>
  </r>
  <r>
    <s v="ORD-000110"/>
    <s v="C-0442"/>
    <d v="2025-04-23T00:00:00"/>
    <s v="Mobile App"/>
    <s v="Debit Card"/>
    <s v="Southeast"/>
    <n v="2"/>
    <x v="4"/>
    <n v="123.67"/>
    <n v="25"/>
    <n v="30.92"/>
    <n v="25.64"/>
    <n v="48.97"/>
    <n v="0"/>
    <n v="2.99"/>
    <s v="No"/>
    <n v="0"/>
    <n v="92.75"/>
    <n v="77.599999999999994"/>
    <n v="15.15"/>
    <n v="0"/>
  </r>
  <r>
    <s v="ORD-000111"/>
    <s v="C-0784"/>
    <d v="2025-05-19T00:00:00"/>
    <s v="Website"/>
    <s v="Credit Card"/>
    <s v="Southwest"/>
    <n v="4"/>
    <x v="3"/>
    <n v="666.72"/>
    <n v="25"/>
    <n v="166.68"/>
    <n v="56.42"/>
    <n v="243.25"/>
    <n v="0"/>
    <n v="14.8"/>
    <s v="No"/>
    <n v="0"/>
    <n v="500.04"/>
    <n v="314.47000000000003"/>
    <n v="185.57"/>
    <n v="0"/>
  </r>
  <r>
    <s v="ORD-000112"/>
    <s v="C-0665"/>
    <d v="2025-08-25T00:00:00"/>
    <s v="Mobile App"/>
    <s v="Debit Card"/>
    <s v="Midwest"/>
    <n v="1"/>
    <x v="3"/>
    <n v="36.49"/>
    <n v="10"/>
    <n v="3.65"/>
    <n v="12.38"/>
    <n v="15.2"/>
    <n v="0"/>
    <n v="1.25"/>
    <s v="Yes"/>
    <n v="32.840000000000003"/>
    <n v="0"/>
    <n v="28.83"/>
    <n v="-28.83"/>
    <n v="0"/>
  </r>
  <r>
    <s v="ORD-000113"/>
    <s v="C-0664"/>
    <d v="2024-12-02T00:00:00"/>
    <s v="Mobile App"/>
    <s v="Gift Card"/>
    <s v="Northeast"/>
    <n v="1"/>
    <x v="4"/>
    <n v="187.78"/>
    <n v="0"/>
    <n v="0"/>
    <n v="12.28"/>
    <n v="65.62"/>
    <n v="0"/>
    <n v="5.75"/>
    <s v="No"/>
    <n v="0"/>
    <n v="187.78"/>
    <n v="83.65"/>
    <n v="104.13"/>
    <n v="0"/>
  </r>
  <r>
    <s v="ORD-000114"/>
    <s v="C-0489"/>
    <d v="2025-02-02T00:00:00"/>
    <s v="Website"/>
    <s v="PayPal"/>
    <s v="Midwest"/>
    <n v="1"/>
    <x v="0"/>
    <n v="271.64"/>
    <n v="0"/>
    <n v="0"/>
    <n v="11.64"/>
    <n v="86.1"/>
    <n v="0"/>
    <n v="8.18"/>
    <s v="No"/>
    <n v="0"/>
    <n v="271.64"/>
    <n v="105.92"/>
    <n v="165.72"/>
    <n v="1"/>
  </r>
  <r>
    <s v="ORD-000115"/>
    <s v="C-0513"/>
    <d v="2025-10-08T00:00:00"/>
    <s v="Marketplace"/>
    <s v="PayPal"/>
    <s v="Midwest"/>
    <n v="1"/>
    <x v="4"/>
    <n v="59.15"/>
    <n v="15"/>
    <n v="8.8699999999999992"/>
    <n v="9.98"/>
    <n v="19.36"/>
    <n v="7.54"/>
    <n v="1.76"/>
    <s v="No"/>
    <n v="0"/>
    <n v="50.28"/>
    <n v="38.64"/>
    <n v="11.64"/>
    <n v="0"/>
  </r>
  <r>
    <s v="ORD-000116"/>
    <s v="C-0511"/>
    <d v="2024-04-23T00:00:00"/>
    <s v="Mobile App"/>
    <s v="Debit Card"/>
    <s v="Southwest"/>
    <n v="1"/>
    <x v="7"/>
    <n v="67.09"/>
    <n v="10"/>
    <n v="6.71"/>
    <n v="10.54"/>
    <n v="26.96"/>
    <n v="0"/>
    <n v="2.0499999999999998"/>
    <s v="No"/>
    <n v="0"/>
    <n v="60.38"/>
    <n v="39.549999999999997"/>
    <n v="20.83"/>
    <n v="0"/>
  </r>
  <r>
    <s v="ORD-000117"/>
    <s v="C-0482"/>
    <d v="2025-07-29T00:00:00"/>
    <s v="Marketplace"/>
    <s v="Credit Card"/>
    <s v="Southwest"/>
    <n v="5"/>
    <x v="4"/>
    <n v="283.01"/>
    <n v="15"/>
    <n v="42.45"/>
    <n v="97.5"/>
    <n v="110.54"/>
    <n v="36.08"/>
    <n v="7.28"/>
    <s v="No"/>
    <n v="0"/>
    <n v="240.56"/>
    <n v="251.4"/>
    <n v="-10.84"/>
    <n v="0"/>
  </r>
  <r>
    <s v="ORD-000118"/>
    <s v="C-0633"/>
    <d v="2025-05-24T00:00:00"/>
    <s v="Social Commerce"/>
    <s v="Buy Now Pay Later"/>
    <s v="Southwest"/>
    <n v="2"/>
    <x v="0"/>
    <n v="99.76"/>
    <n v="25"/>
    <n v="24.94"/>
    <n v="26"/>
    <n v="42.47"/>
    <n v="5.99"/>
    <n v="2.4700000000000002"/>
    <s v="No"/>
    <n v="0"/>
    <n v="74.819999999999993"/>
    <n v="76.930000000000007"/>
    <n v="-2.11"/>
    <n v="0"/>
  </r>
  <r>
    <s v="ORD-000119"/>
    <s v="C-0438"/>
    <d v="2025-09-04T00:00:00"/>
    <s v="Website"/>
    <s v="Credit Card"/>
    <s v="Northeast"/>
    <n v="1"/>
    <x v="4"/>
    <n v="95.89"/>
    <n v="0"/>
    <n v="0"/>
    <n v="9.34"/>
    <n v="27.4"/>
    <n v="0"/>
    <n v="3.08"/>
    <s v="No"/>
    <n v="0"/>
    <n v="95.89"/>
    <n v="39.82"/>
    <n v="56.07"/>
    <n v="0"/>
  </r>
  <r>
    <s v="ORD-000120"/>
    <s v="C-0075"/>
    <d v="2024-11-06T00:00:00"/>
    <s v="Website"/>
    <s v="PayPal"/>
    <s v="West Coast"/>
    <n v="1"/>
    <x v="6"/>
    <n v="16.8"/>
    <n v="20"/>
    <n v="3.36"/>
    <n v="4.1399999999999997"/>
    <n v="8.25"/>
    <n v="0"/>
    <n v="0.69"/>
    <s v="No"/>
    <n v="0"/>
    <n v="13.44"/>
    <n v="13.08"/>
    <n v="0.36"/>
    <n v="0"/>
  </r>
  <r>
    <s v="ORD-000121"/>
    <s v="C-0243"/>
    <d v="2025-09-17T00:00:00"/>
    <s v="Website"/>
    <s v="Buy Now Pay Later"/>
    <s v="Southwest"/>
    <n v="1"/>
    <x v="7"/>
    <n v="54.48"/>
    <n v="20"/>
    <n v="10.9"/>
    <n v="10.94"/>
    <n v="21.25"/>
    <n v="0"/>
    <n v="1.56"/>
    <s v="No"/>
    <n v="0"/>
    <n v="43.58"/>
    <n v="33.75"/>
    <n v="9.83"/>
    <n v="0"/>
  </r>
  <r>
    <s v="ORD-000122"/>
    <s v="C-0115"/>
    <d v="2025-01-10T00:00:00"/>
    <s v="Website"/>
    <s v="Debit Card"/>
    <s v="West Coast"/>
    <n v="2"/>
    <x v="7"/>
    <n v="217.24"/>
    <n v="0"/>
    <n v="0"/>
    <n v="15.62"/>
    <n v="76.62"/>
    <n v="0"/>
    <n v="6.6"/>
    <s v="No"/>
    <n v="0"/>
    <n v="217.24"/>
    <n v="98.84"/>
    <n v="118.4"/>
    <n v="0"/>
  </r>
  <r>
    <s v="ORD-000123"/>
    <s v="C-0676"/>
    <d v="2025-03-25T00:00:00"/>
    <s v="Website"/>
    <s v="PayPal"/>
    <s v="West Coast"/>
    <n v="2"/>
    <x v="7"/>
    <n v="109.58"/>
    <n v="20"/>
    <n v="21.92"/>
    <n v="18.04"/>
    <n v="59.35"/>
    <n v="0"/>
    <n v="2.84"/>
    <s v="No"/>
    <n v="0"/>
    <n v="87.66"/>
    <n v="80.23"/>
    <n v="7.43"/>
    <n v="0"/>
  </r>
  <r>
    <s v="ORD-000124"/>
    <s v="C-0519"/>
    <d v="2024-12-27T00:00:00"/>
    <s v="Website"/>
    <s v="Buy Now Pay Later"/>
    <s v="Northeast"/>
    <n v="1"/>
    <x v="6"/>
    <n v="10.41"/>
    <n v="0"/>
    <n v="0"/>
    <n v="9.58"/>
    <n v="4.5599999999999996"/>
    <n v="0"/>
    <n v="0.6"/>
    <s v="No"/>
    <n v="0"/>
    <n v="10.41"/>
    <n v="14.74"/>
    <n v="-4.33"/>
    <n v="0"/>
  </r>
  <r>
    <s v="ORD-000125"/>
    <s v="C-0350"/>
    <d v="2025-02-20T00:00:00"/>
    <s v="Website"/>
    <s v="Credit Card"/>
    <s v="Midwest"/>
    <n v="3"/>
    <x v="4"/>
    <n v="125.28"/>
    <n v="0"/>
    <n v="0"/>
    <n v="34.96"/>
    <n v="49.27"/>
    <n v="0"/>
    <n v="3.93"/>
    <s v="No"/>
    <n v="0"/>
    <n v="125.28"/>
    <n v="88.16"/>
    <n v="37.119999999999997"/>
    <n v="0"/>
  </r>
  <r>
    <s v="ORD-000126"/>
    <s v="C-0148"/>
    <d v="2024-06-04T00:00:00"/>
    <s v="Mobile App"/>
    <s v="PayPal"/>
    <s v="Midwest"/>
    <n v="1"/>
    <x v="5"/>
    <n v="29.57"/>
    <n v="10"/>
    <n v="2.96"/>
    <n v="12.14"/>
    <n v="20.66"/>
    <n v="0"/>
    <n v="1.07"/>
    <s v="No"/>
    <n v="0"/>
    <n v="26.61"/>
    <n v="33.869999999999997"/>
    <n v="-7.26"/>
    <n v="0"/>
  </r>
  <r>
    <s v="ORD-000127"/>
    <s v="C-0266"/>
    <d v="2024-11-20T00:00:00"/>
    <s v="Mobile App"/>
    <s v="Buy Now Pay Later"/>
    <s v="Northeast"/>
    <n v="2"/>
    <x v="0"/>
    <n v="123.73"/>
    <n v="10"/>
    <n v="12.37"/>
    <n v="47.6"/>
    <n v="63.87"/>
    <n v="0"/>
    <n v="3.53"/>
    <s v="No"/>
    <n v="0"/>
    <n v="111.36"/>
    <n v="115"/>
    <n v="-3.64"/>
    <n v="0"/>
  </r>
  <r>
    <s v="ORD-000128"/>
    <s v="C-0467"/>
    <d v="2025-08-03T00:00:00"/>
    <s v="Website"/>
    <s v="Credit Card"/>
    <s v="Southeast"/>
    <n v="2"/>
    <x v="3"/>
    <n v="211.74"/>
    <n v="0"/>
    <n v="0"/>
    <n v="53.36"/>
    <n v="84.46"/>
    <n v="0"/>
    <n v="6.44"/>
    <s v="Yes"/>
    <n v="211.74"/>
    <n v="0"/>
    <n v="144.26"/>
    <n v="-144.26"/>
    <n v="0"/>
  </r>
  <r>
    <s v="ORD-000129"/>
    <s v="C-0594"/>
    <d v="2024-10-14T00:00:00"/>
    <s v="Mobile App"/>
    <s v="Buy Now Pay Later"/>
    <s v="Northeast"/>
    <n v="1"/>
    <x v="7"/>
    <n v="74.83"/>
    <n v="0"/>
    <n v="0"/>
    <n v="4.78"/>
    <n v="26.15"/>
    <n v="0"/>
    <n v="2.4700000000000002"/>
    <s v="No"/>
    <n v="0"/>
    <n v="74.83"/>
    <n v="33.4"/>
    <n v="41.43"/>
    <n v="0"/>
  </r>
  <r>
    <s v="ORD-000130"/>
    <s v="C-0315"/>
    <d v="2025-11-24T00:00:00"/>
    <s v="Website"/>
    <s v="Gift Card"/>
    <s v="Midwest"/>
    <n v="1"/>
    <x v="4"/>
    <n v="63.51"/>
    <n v="5"/>
    <n v="3.18"/>
    <n v="7.9"/>
    <n v="31.27"/>
    <n v="0"/>
    <n v="2.0499999999999998"/>
    <s v="No"/>
    <n v="0"/>
    <n v="60.33"/>
    <n v="41.22"/>
    <n v="19.11"/>
    <n v="1"/>
  </r>
  <r>
    <s v="ORD-000131"/>
    <s v="C-0348"/>
    <d v="2025-11-03T00:00:00"/>
    <s v="Marketplace"/>
    <s v="Credit Card"/>
    <s v="Southwest"/>
    <n v="2"/>
    <x v="5"/>
    <n v="350.49"/>
    <n v="0"/>
    <n v="0"/>
    <n v="38.96"/>
    <n v="104.7"/>
    <n v="52.57"/>
    <n v="10.46"/>
    <s v="No"/>
    <n v="0"/>
    <n v="350.49"/>
    <n v="206.69"/>
    <n v="143.80000000000001"/>
    <n v="0"/>
  </r>
  <r>
    <s v="ORD-000132"/>
    <s v="C-0590"/>
    <d v="2025-05-23T00:00:00"/>
    <s v="Marketplace"/>
    <s v="Credit Card"/>
    <s v="Southeast"/>
    <n v="2"/>
    <x v="6"/>
    <n v="58.02"/>
    <n v="10"/>
    <n v="5.8"/>
    <n v="15"/>
    <n v="33.92"/>
    <n v="7.83"/>
    <n v="1.81"/>
    <s v="No"/>
    <n v="0"/>
    <n v="52.22"/>
    <n v="58.56"/>
    <n v="-6.34"/>
    <n v="0"/>
  </r>
  <r>
    <s v="ORD-000133"/>
    <s v="C-0368"/>
    <d v="2025-05-25T00:00:00"/>
    <s v="Website"/>
    <s v="Debit Card"/>
    <s v="Midwest"/>
    <n v="1"/>
    <x v="5"/>
    <n v="54.32"/>
    <n v="10"/>
    <n v="5.43"/>
    <n v="22.68"/>
    <n v="27.28"/>
    <n v="0"/>
    <n v="1.72"/>
    <s v="No"/>
    <n v="0"/>
    <n v="48.89"/>
    <n v="51.68"/>
    <n v="-2.79"/>
    <n v="0"/>
  </r>
  <r>
    <s v="ORD-000134"/>
    <s v="C-0252"/>
    <d v="2024-07-14T00:00:00"/>
    <s v="Website"/>
    <s v="PayPal"/>
    <s v="Midwest"/>
    <n v="3"/>
    <x v="7"/>
    <n v="141.63"/>
    <n v="10"/>
    <n v="14.16"/>
    <n v="30.26"/>
    <n v="69.34"/>
    <n v="0"/>
    <n v="4"/>
    <s v="No"/>
    <n v="0"/>
    <n v="127.47"/>
    <n v="103.6"/>
    <n v="23.87"/>
    <n v="0"/>
  </r>
  <r>
    <s v="ORD-000135"/>
    <s v="C-0567"/>
    <d v="2025-01-03T00:00:00"/>
    <s v="Website"/>
    <s v="Buy Now Pay Later"/>
    <s v="Southeast"/>
    <n v="1"/>
    <x v="6"/>
    <n v="26.5"/>
    <n v="20"/>
    <n v="5.3"/>
    <n v="5.5"/>
    <n v="8.06"/>
    <n v="0"/>
    <n v="0.91"/>
    <s v="No"/>
    <n v="0"/>
    <n v="21.2"/>
    <n v="14.47"/>
    <n v="6.73"/>
    <n v="0"/>
  </r>
  <r>
    <s v="ORD-000136"/>
    <s v="C-0716"/>
    <d v="2025-03-18T00:00:00"/>
    <s v="Website"/>
    <s v="Buy Now Pay Later"/>
    <s v="Southwest"/>
    <n v="2"/>
    <x v="1"/>
    <n v="38.24"/>
    <n v="10"/>
    <n v="3.82"/>
    <n v="22.6"/>
    <n v="19.510000000000002"/>
    <n v="0"/>
    <n v="1.3"/>
    <s v="No"/>
    <n v="0"/>
    <n v="34.42"/>
    <n v="43.41"/>
    <n v="-8.99"/>
    <n v="0"/>
  </r>
  <r>
    <s v="ORD-000137"/>
    <s v="C-0280"/>
    <d v="2025-07-22T00:00:00"/>
    <s v="Mobile App"/>
    <s v="PayPal"/>
    <s v="Southwest"/>
    <n v="5"/>
    <x v="6"/>
    <n v="177.3"/>
    <n v="5"/>
    <n v="8.8699999999999992"/>
    <n v="93.06"/>
    <n v="89.78"/>
    <n v="0"/>
    <n v="5.18"/>
    <s v="No"/>
    <n v="0"/>
    <n v="168.43"/>
    <n v="188.02"/>
    <n v="-19.59"/>
    <n v="0"/>
  </r>
  <r>
    <s v="ORD-000138"/>
    <s v="C-0621"/>
    <d v="2025-08-17T00:00:00"/>
    <s v="Website"/>
    <s v="Debit Card"/>
    <s v="Southwest"/>
    <n v="1"/>
    <x v="2"/>
    <n v="75.84"/>
    <n v="0"/>
    <n v="0"/>
    <n v="12.3"/>
    <n v="34.479999999999997"/>
    <n v="0"/>
    <n v="2.5"/>
    <s v="No"/>
    <n v="0"/>
    <n v="75.84"/>
    <n v="49.28"/>
    <n v="26.56"/>
    <n v="0"/>
  </r>
  <r>
    <s v="ORD-000139"/>
    <s v="C-0767"/>
    <d v="2025-06-08T00:00:00"/>
    <s v="Website"/>
    <s v="Credit Card"/>
    <s v="Southwest"/>
    <n v="2"/>
    <x v="5"/>
    <n v="261.08999999999997"/>
    <n v="0"/>
    <n v="0"/>
    <n v="34.18"/>
    <n v="87.23"/>
    <n v="0"/>
    <n v="7.87"/>
    <s v="No"/>
    <n v="0"/>
    <n v="261.08999999999997"/>
    <n v="129.28"/>
    <n v="131.81"/>
    <n v="0"/>
  </r>
  <r>
    <s v="ORD-000140"/>
    <s v="C-0527"/>
    <d v="2024-09-16T00:00:00"/>
    <s v="Website"/>
    <s v="Credit Card"/>
    <s v="West Coast"/>
    <n v="1"/>
    <x v="0"/>
    <n v="73.73"/>
    <n v="5"/>
    <n v="3.69"/>
    <n v="9.34"/>
    <n v="48.17"/>
    <n v="0"/>
    <n v="2.33"/>
    <s v="No"/>
    <n v="0"/>
    <n v="70.040000000000006"/>
    <n v="59.84"/>
    <n v="10.199999999999999"/>
    <n v="0"/>
  </r>
  <r>
    <s v="ORD-000141"/>
    <s v="C-0327"/>
    <d v="2025-05-24T00:00:00"/>
    <s v="Website"/>
    <s v="Credit Card"/>
    <s v="Midwest"/>
    <n v="2"/>
    <x v="2"/>
    <n v="118.09"/>
    <n v="5"/>
    <n v="5.9"/>
    <n v="25.88"/>
    <n v="57.43"/>
    <n v="0"/>
    <n v="3.55"/>
    <s v="No"/>
    <n v="0"/>
    <n v="112.19"/>
    <n v="86.86"/>
    <n v="25.33"/>
    <n v="0"/>
  </r>
  <r>
    <s v="ORD-000142"/>
    <s v="C-0301"/>
    <d v="2025-12-25T00:00:00"/>
    <s v="Mobile App"/>
    <s v="Gift Card"/>
    <s v="Northeast"/>
    <n v="1"/>
    <x v="1"/>
    <n v="116.46"/>
    <n v="10"/>
    <n v="11.65"/>
    <n v="26.84"/>
    <n v="44.84"/>
    <n v="0"/>
    <n v="3.34"/>
    <s v="No"/>
    <n v="0"/>
    <n v="104.81"/>
    <n v="75.02"/>
    <n v="29.79"/>
    <n v="0"/>
  </r>
  <r>
    <s v="ORD-000143"/>
    <s v="C-0247"/>
    <d v="2025-05-10T00:00:00"/>
    <s v="Website"/>
    <s v="Credit Card"/>
    <s v="Northeast"/>
    <n v="2"/>
    <x v="0"/>
    <n v="278.70999999999998"/>
    <n v="0"/>
    <n v="0"/>
    <n v="16"/>
    <n v="109.1"/>
    <n v="0"/>
    <n v="8.3800000000000008"/>
    <s v="No"/>
    <n v="0"/>
    <n v="278.70999999999998"/>
    <n v="133.47999999999999"/>
    <n v="145.22999999999999"/>
    <n v="0"/>
  </r>
  <r>
    <s v="ORD-000144"/>
    <s v="C-0178"/>
    <d v="2024-12-03T00:00:00"/>
    <s v="Mobile App"/>
    <s v="Credit Card"/>
    <s v="West Coast"/>
    <n v="1"/>
    <x v="5"/>
    <n v="18.440000000000001"/>
    <n v="10"/>
    <n v="1.84"/>
    <n v="4.62"/>
    <n v="5.64"/>
    <n v="0"/>
    <n v="0.78"/>
    <s v="No"/>
    <n v="0"/>
    <n v="16.600000000000001"/>
    <n v="11.04"/>
    <n v="5.56"/>
    <n v="0"/>
  </r>
  <r>
    <s v="ORD-000145"/>
    <s v="C-0437"/>
    <d v="2025-12-06T00:00:00"/>
    <s v="Marketplace"/>
    <s v="Credit Card"/>
    <s v="Midwest"/>
    <n v="2"/>
    <x v="5"/>
    <n v="136.86000000000001"/>
    <n v="0"/>
    <n v="0"/>
    <n v="10.6"/>
    <n v="45.91"/>
    <n v="20.53"/>
    <n v="4.2699999999999996"/>
    <s v="No"/>
    <n v="0"/>
    <n v="136.86000000000001"/>
    <n v="81.31"/>
    <n v="55.55"/>
    <n v="0"/>
  </r>
  <r>
    <s v="ORD-000146"/>
    <s v="C-0597"/>
    <d v="2025-07-05T00:00:00"/>
    <s v="Website"/>
    <s v="Credit Card"/>
    <s v="West Coast"/>
    <n v="3"/>
    <x v="7"/>
    <n v="199.45"/>
    <n v="0"/>
    <n v="0"/>
    <n v="36.32"/>
    <n v="86.85"/>
    <n v="0"/>
    <n v="6.08"/>
    <s v="No"/>
    <n v="0"/>
    <n v="199.45"/>
    <n v="129.25"/>
    <n v="70.2"/>
    <n v="0"/>
  </r>
  <r>
    <s v="ORD-000147"/>
    <s v="C-0444"/>
    <d v="2025-03-17T00:00:00"/>
    <s v="Marketplace"/>
    <s v="PayPal"/>
    <s v="Northeast"/>
    <n v="2"/>
    <x v="1"/>
    <n v="90.7"/>
    <n v="10"/>
    <n v="9.07"/>
    <n v="38.96"/>
    <n v="51.2"/>
    <n v="12.24"/>
    <n v="2.67"/>
    <s v="No"/>
    <n v="0"/>
    <n v="81.63"/>
    <n v="105.07"/>
    <n v="-23.44"/>
    <n v="0"/>
  </r>
  <r>
    <s v="ORD-000148"/>
    <s v="C-0668"/>
    <d v="2024-03-15T00:00:00"/>
    <s v="Social Commerce"/>
    <s v="Credit Card"/>
    <s v="Midwest"/>
    <n v="1"/>
    <x v="2"/>
    <n v="63.63"/>
    <n v="5"/>
    <n v="3.18"/>
    <n v="8.3800000000000008"/>
    <n v="31.76"/>
    <n v="4.84"/>
    <n v="2.0499999999999998"/>
    <s v="No"/>
    <n v="0"/>
    <n v="60.45"/>
    <n v="47.03"/>
    <n v="13.42"/>
    <n v="0"/>
  </r>
  <r>
    <s v="ORD-000149"/>
    <s v="C-0374"/>
    <d v="2025-09-21T00:00:00"/>
    <s v="Mobile App"/>
    <s v="PayPal"/>
    <s v="Northeast"/>
    <n v="1"/>
    <x v="5"/>
    <n v="129.80000000000001"/>
    <n v="15"/>
    <n v="19.47"/>
    <n v="3.82"/>
    <n v="38.64"/>
    <n v="0"/>
    <n v="3.5"/>
    <s v="No"/>
    <n v="0"/>
    <n v="110.33"/>
    <n v="45.96"/>
    <n v="64.37"/>
    <n v="0"/>
  </r>
  <r>
    <s v="ORD-000150"/>
    <s v="C-0769"/>
    <d v="2024-10-27T00:00:00"/>
    <s v="Website"/>
    <s v="PayPal"/>
    <s v="Northeast"/>
    <n v="1"/>
    <x v="6"/>
    <n v="69.540000000000006"/>
    <n v="0"/>
    <n v="0"/>
    <n v="27.78"/>
    <n v="28.65"/>
    <n v="0"/>
    <n v="2.3199999999999998"/>
    <s v="Yes"/>
    <n v="69.540000000000006"/>
    <n v="0"/>
    <n v="58.75"/>
    <n v="-58.75"/>
    <n v="0"/>
  </r>
  <r>
    <s v="ORD-000151"/>
    <s v="C-0721"/>
    <d v="2024-09-29T00:00:00"/>
    <s v="Website"/>
    <s v="Credit Card"/>
    <s v="West Coast"/>
    <n v="1"/>
    <x v="2"/>
    <n v="94.27"/>
    <n v="25"/>
    <n v="23.57"/>
    <n v="7.98"/>
    <n v="37.200000000000003"/>
    <n v="0"/>
    <n v="2.35"/>
    <s v="No"/>
    <n v="0"/>
    <n v="70.7"/>
    <n v="47.53"/>
    <n v="23.17"/>
    <n v="0"/>
  </r>
  <r>
    <s v="ORD-000152"/>
    <s v="C-0740"/>
    <d v="2025-07-26T00:00:00"/>
    <s v="Mobile App"/>
    <s v="Credit Card"/>
    <s v="Southwest"/>
    <n v="1"/>
    <x v="0"/>
    <n v="521"/>
    <n v="0"/>
    <n v="0"/>
    <n v="23.64"/>
    <n v="157.84"/>
    <n v="0"/>
    <n v="15.41"/>
    <s v="No"/>
    <n v="0"/>
    <n v="521"/>
    <n v="196.89"/>
    <n v="324.11"/>
    <n v="1"/>
  </r>
  <r>
    <s v="ORD-000153"/>
    <s v="C-0735"/>
    <d v="2025-06-29T00:00:00"/>
    <s v="Website"/>
    <s v="Buy Now Pay Later"/>
    <s v="Southwest"/>
    <n v="1"/>
    <x v="6"/>
    <n v="5.52"/>
    <n v="10"/>
    <n v="0.55000000000000004"/>
    <n v="7.82"/>
    <n v="3.38"/>
    <n v="0"/>
    <n v="0.44"/>
    <s v="No"/>
    <n v="0"/>
    <n v="4.97"/>
    <n v="11.64"/>
    <n v="-6.67"/>
    <n v="0"/>
  </r>
  <r>
    <s v="ORD-000154"/>
    <s v="C-0220"/>
    <d v="2025-10-02T00:00:00"/>
    <s v="Website"/>
    <s v="Credit Card"/>
    <s v="West Coast"/>
    <n v="2"/>
    <x v="2"/>
    <n v="99.89"/>
    <n v="10"/>
    <n v="9.99"/>
    <n v="30.66"/>
    <n v="45.02"/>
    <n v="0"/>
    <n v="2.91"/>
    <s v="No"/>
    <n v="0"/>
    <n v="89.9"/>
    <n v="78.59"/>
    <n v="11.31"/>
    <n v="0"/>
  </r>
  <r>
    <s v="ORD-000155"/>
    <s v="C-0742"/>
    <d v="2025-09-11T00:00:00"/>
    <s v="Website"/>
    <s v="PayPal"/>
    <s v="West Coast"/>
    <n v="3"/>
    <x v="4"/>
    <n v="339.72"/>
    <n v="10"/>
    <n v="33.97"/>
    <n v="55.56"/>
    <n v="109.36"/>
    <n v="0"/>
    <n v="9.17"/>
    <s v="Yes"/>
    <n v="305.75"/>
    <n v="0"/>
    <n v="174.09"/>
    <n v="-174.09"/>
    <n v="0"/>
  </r>
  <r>
    <s v="ORD-000156"/>
    <s v="C-0655"/>
    <d v="2025-07-02T00:00:00"/>
    <s v="Website"/>
    <s v="Credit Card"/>
    <s v="Midwest"/>
    <n v="1"/>
    <x v="3"/>
    <n v="83.94"/>
    <n v="20"/>
    <n v="16.79"/>
    <n v="26.84"/>
    <n v="24.48"/>
    <n v="0"/>
    <n v="2.25"/>
    <s v="No"/>
    <n v="0"/>
    <n v="67.150000000000006"/>
    <n v="53.57"/>
    <n v="13.58"/>
    <n v="0"/>
  </r>
  <r>
    <s v="ORD-000157"/>
    <s v="C-0681"/>
    <d v="2025-04-12T00:00:00"/>
    <s v="Mobile App"/>
    <s v="Debit Card"/>
    <s v="Southwest"/>
    <n v="5"/>
    <x v="5"/>
    <n v="323.66000000000003"/>
    <n v="0"/>
    <n v="0"/>
    <n v="85.12"/>
    <n v="126.87"/>
    <n v="0"/>
    <n v="9.69"/>
    <s v="No"/>
    <n v="0"/>
    <n v="323.66000000000003"/>
    <n v="221.68"/>
    <n v="101.98"/>
    <n v="1"/>
  </r>
  <r>
    <s v="ORD-000158"/>
    <s v="C-0546"/>
    <d v="2025-05-31T00:00:00"/>
    <s v="Social Commerce"/>
    <s v="Credit Card"/>
    <s v="Northeast"/>
    <n v="4"/>
    <x v="6"/>
    <n v="209.1"/>
    <n v="5"/>
    <n v="10.46"/>
    <n v="48.86"/>
    <n v="91.38"/>
    <n v="15.89"/>
    <n v="6.06"/>
    <s v="No"/>
    <n v="0"/>
    <n v="198.64"/>
    <n v="162.19"/>
    <n v="36.450000000000003"/>
    <n v="0"/>
  </r>
  <r>
    <s v="ORD-000159"/>
    <s v="C-0577"/>
    <d v="2025-08-11T00:00:00"/>
    <s v="Marketplace"/>
    <s v="Credit Card"/>
    <s v="West Coast"/>
    <n v="1"/>
    <x v="3"/>
    <n v="242.06"/>
    <n v="0"/>
    <n v="0"/>
    <n v="9.56"/>
    <n v="75.52"/>
    <n v="36.31"/>
    <n v="7.32"/>
    <s v="No"/>
    <n v="0"/>
    <n v="242.06"/>
    <n v="128.71"/>
    <n v="113.35"/>
    <n v="0"/>
  </r>
  <r>
    <s v="ORD-000160"/>
    <s v="C-0112"/>
    <d v="2025-06-14T00:00:00"/>
    <s v="Mobile App"/>
    <s v="Credit Card"/>
    <s v="Northeast"/>
    <n v="5"/>
    <x v="3"/>
    <n v="506.76"/>
    <n v="20"/>
    <n v="101.35"/>
    <n v="60.32"/>
    <n v="159.97999999999999"/>
    <n v="0"/>
    <n v="12.06"/>
    <s v="No"/>
    <n v="0"/>
    <n v="405.41"/>
    <n v="232.36"/>
    <n v="173.05"/>
    <n v="0"/>
  </r>
  <r>
    <s v="ORD-000161"/>
    <s v="C-0091"/>
    <d v="2025-02-03T00:00:00"/>
    <s v="Social Commerce"/>
    <s v="Credit Card"/>
    <s v="Southeast"/>
    <n v="1"/>
    <x v="4"/>
    <n v="63.94"/>
    <n v="0"/>
    <n v="0"/>
    <n v="8.4600000000000009"/>
    <n v="20.51"/>
    <n v="5.12"/>
    <n v="2.15"/>
    <s v="Yes"/>
    <n v="63.94"/>
    <n v="0"/>
    <n v="36.24"/>
    <n v="-36.24"/>
    <n v="0"/>
  </r>
  <r>
    <s v="ORD-000162"/>
    <s v="C-0429"/>
    <d v="2024-10-15T00:00:00"/>
    <s v="Mobile App"/>
    <s v="Debit Card"/>
    <s v="Southeast"/>
    <n v="2"/>
    <x v="6"/>
    <n v="75.959999999999994"/>
    <n v="15"/>
    <n v="11.39"/>
    <n v="25.14"/>
    <n v="24.6"/>
    <n v="0"/>
    <n v="2.17"/>
    <s v="Yes"/>
    <n v="64.569999999999993"/>
    <n v="0"/>
    <n v="51.91"/>
    <n v="-51.91"/>
    <n v="0"/>
  </r>
  <r>
    <s v="ORD-000163"/>
    <s v="C-0182"/>
    <d v="2024-12-31T00:00:00"/>
    <s v="Marketplace"/>
    <s v="Credit Card"/>
    <s v="West Coast"/>
    <n v="1"/>
    <x v="2"/>
    <n v="14.74"/>
    <n v="5"/>
    <n v="0.74"/>
    <n v="5.58"/>
    <n v="4.57"/>
    <n v="2.1"/>
    <n v="0.71"/>
    <s v="No"/>
    <n v="0"/>
    <n v="14"/>
    <n v="12.96"/>
    <n v="1.04"/>
    <n v="1"/>
  </r>
  <r>
    <s v="ORD-000164"/>
    <s v="C-0305"/>
    <d v="2024-06-07T00:00:00"/>
    <s v="Mobile App"/>
    <s v="Credit Card"/>
    <s v="Midwest"/>
    <n v="3"/>
    <x v="2"/>
    <n v="143.13"/>
    <n v="5"/>
    <n v="7.16"/>
    <n v="30.26"/>
    <n v="79.48"/>
    <n v="0"/>
    <n v="4.24"/>
    <s v="No"/>
    <n v="0"/>
    <n v="135.97"/>
    <n v="113.98"/>
    <n v="21.99"/>
    <n v="1"/>
  </r>
  <r>
    <s v="ORD-000165"/>
    <s v="C-0321"/>
    <d v="2024-10-14T00:00:00"/>
    <s v="Social Commerce"/>
    <s v="Credit Card"/>
    <s v="Southeast"/>
    <n v="1"/>
    <x v="6"/>
    <n v="91.83"/>
    <n v="20"/>
    <n v="18.37"/>
    <n v="29.7"/>
    <n v="27.54"/>
    <n v="5.88"/>
    <n v="2.4300000000000002"/>
    <s v="No"/>
    <n v="0"/>
    <n v="73.459999999999994"/>
    <n v="65.55"/>
    <n v="7.91"/>
    <n v="0"/>
  </r>
  <r>
    <s v="ORD-000166"/>
    <s v="C-0270"/>
    <d v="2025-10-19T00:00:00"/>
    <s v="Website"/>
    <s v="Credit Card"/>
    <s v="Northeast"/>
    <n v="1"/>
    <x v="4"/>
    <n v="13.66"/>
    <n v="10"/>
    <n v="1.37"/>
    <n v="10.62"/>
    <n v="4.6900000000000004"/>
    <n v="0"/>
    <n v="0.66"/>
    <s v="No"/>
    <n v="0"/>
    <n v="12.29"/>
    <n v="15.97"/>
    <n v="-3.68"/>
    <n v="0"/>
  </r>
  <r>
    <s v="ORD-000167"/>
    <s v="C-0708"/>
    <d v="2024-09-27T00:00:00"/>
    <s v="Mobile App"/>
    <s v="Buy Now Pay Later"/>
    <s v="Midwest"/>
    <n v="2"/>
    <x v="7"/>
    <n v="330.03"/>
    <n v="10"/>
    <n v="33"/>
    <n v="22.16"/>
    <n v="113.12"/>
    <n v="0"/>
    <n v="8.91"/>
    <s v="No"/>
    <n v="0"/>
    <n v="297.02999999999997"/>
    <n v="144.19"/>
    <n v="152.84"/>
    <n v="0"/>
  </r>
  <r>
    <s v="ORD-000168"/>
    <s v="C-0551"/>
    <d v="2025-02-12T00:00:00"/>
    <s v="Social Commerce"/>
    <s v="Buy Now Pay Later"/>
    <s v="Northeast"/>
    <n v="1"/>
    <x v="7"/>
    <n v="52.9"/>
    <n v="5"/>
    <n v="2.65"/>
    <n v="9.26"/>
    <n v="18.47"/>
    <n v="4.0199999999999996"/>
    <n v="1.76"/>
    <s v="No"/>
    <n v="0"/>
    <n v="50.25"/>
    <n v="33.51"/>
    <n v="16.739999999999998"/>
    <n v="0"/>
  </r>
  <r>
    <s v="ORD-000169"/>
    <s v="C-0705"/>
    <d v="2025-05-05T00:00:00"/>
    <s v="Website"/>
    <s v="PayPal"/>
    <s v="Midwest"/>
    <n v="2"/>
    <x v="4"/>
    <n v="73.88"/>
    <n v="10"/>
    <n v="7.39"/>
    <n v="15.8"/>
    <n v="27.22"/>
    <n v="0"/>
    <n v="2.23"/>
    <s v="No"/>
    <n v="0"/>
    <n v="66.489999999999995"/>
    <n v="45.25"/>
    <n v="21.24"/>
    <n v="0"/>
  </r>
  <r>
    <s v="ORD-000170"/>
    <s v="C-0104"/>
    <d v="2025-03-22T00:00:00"/>
    <s v="Marketplace"/>
    <s v="PayPal"/>
    <s v="West Coast"/>
    <n v="1"/>
    <x v="1"/>
    <n v="106.23"/>
    <n v="0"/>
    <n v="0"/>
    <n v="36.42"/>
    <n v="56.67"/>
    <n v="15.93"/>
    <n v="3.38"/>
    <s v="No"/>
    <n v="0"/>
    <n v="106.23"/>
    <n v="112.4"/>
    <n v="-6.17"/>
    <n v="0"/>
  </r>
  <r>
    <s v="ORD-000171"/>
    <s v="C-0283"/>
    <d v="2025-03-06T00:00:00"/>
    <s v="Marketplace"/>
    <s v="Credit Card"/>
    <s v="Northeast"/>
    <n v="1"/>
    <x v="7"/>
    <n v="494.55"/>
    <n v="0"/>
    <n v="0"/>
    <n v="14.1"/>
    <n v="149.63999999999999"/>
    <n v="74.180000000000007"/>
    <n v="14.64"/>
    <s v="No"/>
    <n v="0"/>
    <n v="494.55"/>
    <n v="252.56"/>
    <n v="241.99"/>
    <n v="0"/>
  </r>
  <r>
    <s v="ORD-000172"/>
    <s v="C-0028"/>
    <d v="2024-04-01T00:00:00"/>
    <s v="Mobile App"/>
    <s v="Debit Card"/>
    <s v="Southwest"/>
    <n v="2"/>
    <x v="5"/>
    <n v="91.9"/>
    <n v="10"/>
    <n v="9.19"/>
    <n v="15.64"/>
    <n v="34.78"/>
    <n v="0"/>
    <n v="2.7"/>
    <s v="No"/>
    <n v="0"/>
    <n v="82.71"/>
    <n v="53.12"/>
    <n v="29.59"/>
    <n v="0"/>
  </r>
  <r>
    <s v="ORD-000173"/>
    <s v="C-0054"/>
    <d v="2025-01-04T00:00:00"/>
    <s v="Mobile App"/>
    <s v="Buy Now Pay Later"/>
    <s v="Midwest"/>
    <n v="1"/>
    <x v="7"/>
    <n v="78.75"/>
    <n v="0"/>
    <n v="0"/>
    <n v="21.54"/>
    <n v="32.340000000000003"/>
    <n v="0"/>
    <n v="2.58"/>
    <s v="No"/>
    <n v="0"/>
    <n v="78.75"/>
    <n v="56.46"/>
    <n v="22.29"/>
    <n v="0"/>
  </r>
  <r>
    <s v="ORD-000174"/>
    <s v="C-0651"/>
    <d v="2024-08-31T00:00:00"/>
    <s v="Website"/>
    <s v="PayPal"/>
    <s v="Southwest"/>
    <n v="2"/>
    <x v="3"/>
    <n v="62.13"/>
    <n v="20"/>
    <n v="12.43"/>
    <n v="19.399999999999999"/>
    <n v="19.32"/>
    <n v="0"/>
    <n v="1.74"/>
    <s v="No"/>
    <n v="0"/>
    <n v="49.7"/>
    <n v="40.46"/>
    <n v="9.24"/>
    <n v="0"/>
  </r>
  <r>
    <s v="ORD-000175"/>
    <s v="C-0074"/>
    <d v="2025-08-03T00:00:00"/>
    <s v="Website"/>
    <s v="Credit Card"/>
    <s v="Southeast"/>
    <n v="1"/>
    <x v="2"/>
    <n v="63.63"/>
    <n v="10"/>
    <n v="6.36"/>
    <n v="8.3800000000000008"/>
    <n v="31.76"/>
    <n v="0"/>
    <n v="1.96"/>
    <s v="Yes"/>
    <n v="57.27"/>
    <n v="0"/>
    <n v="42.1"/>
    <n v="-42.1"/>
    <n v="0"/>
  </r>
  <r>
    <s v="ORD-000176"/>
    <s v="C-0320"/>
    <d v="2025-03-28T00:00:00"/>
    <s v="Mobile App"/>
    <s v="PayPal"/>
    <s v="Southwest"/>
    <n v="2"/>
    <x v="0"/>
    <n v="96.55"/>
    <n v="5"/>
    <n v="4.83"/>
    <n v="25.16"/>
    <n v="45.43"/>
    <n v="0"/>
    <n v="2.96"/>
    <s v="Yes"/>
    <n v="91.72"/>
    <n v="0"/>
    <n v="73.55"/>
    <n v="-73.55"/>
    <n v="0"/>
  </r>
  <r>
    <s v="ORD-000177"/>
    <s v="C-0555"/>
    <d v="2024-06-01T00:00:00"/>
    <s v="Website"/>
    <s v="PayPal"/>
    <s v="West Coast"/>
    <n v="3"/>
    <x v="4"/>
    <n v="176.01"/>
    <n v="10"/>
    <n v="17.600000000000001"/>
    <n v="38.5"/>
    <n v="63.58"/>
    <n v="0"/>
    <n v="4.8899999999999997"/>
    <s v="No"/>
    <n v="0"/>
    <n v="158.41"/>
    <n v="106.97"/>
    <n v="51.44"/>
    <n v="1"/>
  </r>
  <r>
    <s v="ORD-000178"/>
    <s v="C-0261"/>
    <d v="2025-01-06T00:00:00"/>
    <s v="Marketplace"/>
    <s v="Credit Card"/>
    <s v="Northeast"/>
    <n v="1"/>
    <x v="0"/>
    <n v="192.38"/>
    <n v="20"/>
    <n v="38.479999999999997"/>
    <n v="10.06"/>
    <n v="72.59"/>
    <n v="23.09"/>
    <n v="4.76"/>
    <s v="Yes"/>
    <n v="153.9"/>
    <n v="0"/>
    <n v="110.5"/>
    <n v="-110.5"/>
    <n v="1"/>
  </r>
  <r>
    <s v="ORD-000179"/>
    <s v="C-0334"/>
    <d v="2025-01-25T00:00:00"/>
    <s v="Website"/>
    <s v="Credit Card"/>
    <s v="West Coast"/>
    <n v="1"/>
    <x v="3"/>
    <n v="47.4"/>
    <n v="10"/>
    <n v="4.74"/>
    <n v="11.98"/>
    <n v="32.39"/>
    <n v="0"/>
    <n v="1.54"/>
    <s v="No"/>
    <n v="0"/>
    <n v="42.66"/>
    <n v="45.91"/>
    <n v="-3.25"/>
    <n v="0"/>
  </r>
  <r>
    <s v="ORD-000180"/>
    <s v="C-0690"/>
    <d v="2025-08-21T00:00:00"/>
    <s v="Mobile App"/>
    <s v="Credit Card"/>
    <s v="Southeast"/>
    <n v="2"/>
    <x v="2"/>
    <n v="247.82"/>
    <n v="10"/>
    <n v="24.78"/>
    <n v="43.34"/>
    <n v="112.68"/>
    <n v="0"/>
    <n v="6.77"/>
    <s v="No"/>
    <n v="0"/>
    <n v="223.04"/>
    <n v="162.79"/>
    <n v="60.25"/>
    <n v="1"/>
  </r>
  <r>
    <s v="ORD-000181"/>
    <s v="C-0150"/>
    <d v="2025-12-11T00:00:00"/>
    <s v="Mobile App"/>
    <s v="Buy Now Pay Later"/>
    <s v="West Coast"/>
    <n v="1"/>
    <x v="1"/>
    <n v="39.11"/>
    <n v="0"/>
    <n v="0"/>
    <n v="9.82"/>
    <n v="15.9"/>
    <n v="0"/>
    <n v="1.43"/>
    <s v="No"/>
    <n v="0"/>
    <n v="39.11"/>
    <n v="27.15"/>
    <n v="11.96"/>
    <n v="0"/>
  </r>
  <r>
    <s v="ORD-000182"/>
    <s v="C-0650"/>
    <d v="2024-10-23T00:00:00"/>
    <s v="Website"/>
    <s v="Buy Now Pay Later"/>
    <s v="Midwest"/>
    <n v="4"/>
    <x v="5"/>
    <n v="426.79"/>
    <n v="0"/>
    <n v="0"/>
    <n v="40.68"/>
    <n v="147.13999999999999"/>
    <n v="0"/>
    <n v="12.68"/>
    <s v="No"/>
    <n v="0"/>
    <n v="426.79"/>
    <n v="200.5"/>
    <n v="226.29"/>
    <n v="0"/>
  </r>
  <r>
    <s v="ORD-000183"/>
    <s v="C-0540"/>
    <d v="2025-08-10T00:00:00"/>
    <s v="Website"/>
    <s v="Debit Card"/>
    <s v="Southeast"/>
    <n v="2"/>
    <x v="3"/>
    <n v="20.65"/>
    <n v="10"/>
    <n v="2.06"/>
    <n v="22.04"/>
    <n v="8.5"/>
    <n v="0"/>
    <n v="0.84"/>
    <s v="Yes"/>
    <n v="18.59"/>
    <n v="0"/>
    <n v="31.38"/>
    <n v="-31.38"/>
    <n v="0"/>
  </r>
  <r>
    <s v="ORD-000184"/>
    <s v="C-0164"/>
    <d v="2025-02-09T00:00:00"/>
    <s v="Website"/>
    <s v="PayPal"/>
    <s v="West Coast"/>
    <n v="1"/>
    <x v="2"/>
    <n v="40.89"/>
    <n v="10"/>
    <n v="4.09"/>
    <n v="7.18"/>
    <n v="11.78"/>
    <n v="0"/>
    <n v="1.37"/>
    <s v="No"/>
    <n v="0"/>
    <n v="36.799999999999997"/>
    <n v="20.329999999999998"/>
    <n v="16.47"/>
    <n v="0"/>
  </r>
  <r>
    <s v="ORD-000185"/>
    <s v="C-0602"/>
    <d v="2025-04-09T00:00:00"/>
    <s v="Social Commerce"/>
    <s v="Debit Card"/>
    <s v="West Coast"/>
    <n v="3"/>
    <x v="1"/>
    <n v="206.44"/>
    <n v="0"/>
    <n v="0"/>
    <n v="34.5"/>
    <n v="68.8"/>
    <n v="16.52"/>
    <n v="6.29"/>
    <s v="No"/>
    <n v="0"/>
    <n v="206.44"/>
    <n v="126.11"/>
    <n v="80.33"/>
    <n v="1"/>
  </r>
  <r>
    <s v="ORD-000186"/>
    <s v="C-0177"/>
    <d v="2025-06-30T00:00:00"/>
    <s v="Mobile App"/>
    <s v="PayPal"/>
    <s v="Southeast"/>
    <n v="1"/>
    <x v="6"/>
    <n v="61.22"/>
    <n v="10"/>
    <n v="6.12"/>
    <n v="19.8"/>
    <n v="18.36"/>
    <n v="0"/>
    <n v="1.9"/>
    <s v="No"/>
    <n v="0"/>
    <n v="55.1"/>
    <n v="40.06"/>
    <n v="15.04"/>
    <n v="0"/>
  </r>
  <r>
    <s v="ORD-000187"/>
    <s v="C-0185"/>
    <d v="2025-09-18T00:00:00"/>
    <s v="Marketplace"/>
    <s v="Credit Card"/>
    <s v="Midwest"/>
    <n v="3"/>
    <x v="3"/>
    <n v="161.63"/>
    <n v="15"/>
    <n v="24.24"/>
    <n v="42.48"/>
    <n v="74.92"/>
    <n v="20.61"/>
    <n v="4.28"/>
    <s v="Yes"/>
    <n v="137.38999999999999"/>
    <n v="0"/>
    <n v="142.29"/>
    <n v="-142.29"/>
    <n v="0"/>
  </r>
  <r>
    <s v="ORD-000188"/>
    <s v="C-0441"/>
    <d v="2024-10-22T00:00:00"/>
    <s v="Website"/>
    <s v="Credit Card"/>
    <s v="Northeast"/>
    <n v="1"/>
    <x v="5"/>
    <n v="41.34"/>
    <n v="10"/>
    <n v="4.13"/>
    <n v="11.18"/>
    <n v="21.84"/>
    <n v="0"/>
    <n v="1.38"/>
    <s v="No"/>
    <n v="0"/>
    <n v="37.21"/>
    <n v="34.4"/>
    <n v="2.81"/>
    <n v="0"/>
  </r>
  <r>
    <s v="ORD-000189"/>
    <s v="C-0339"/>
    <d v="2025-08-10T00:00:00"/>
    <s v="Mobile App"/>
    <s v="Credit Card"/>
    <s v="Northeast"/>
    <n v="2"/>
    <x v="0"/>
    <n v="227.32"/>
    <n v="15"/>
    <n v="34.1"/>
    <n v="18.2"/>
    <n v="92.03"/>
    <n v="0"/>
    <n v="5.9"/>
    <s v="No"/>
    <n v="0"/>
    <n v="193.22"/>
    <n v="116.13"/>
    <n v="77.09"/>
    <n v="1"/>
  </r>
  <r>
    <s v="ORD-000190"/>
    <s v="C-0254"/>
    <d v="2025-02-27T00:00:00"/>
    <s v="Mobile App"/>
    <s v="Buy Now Pay Later"/>
    <s v="Southwest"/>
    <n v="3"/>
    <x v="6"/>
    <n v="54.72"/>
    <n v="0"/>
    <n v="0"/>
    <n v="20.420000000000002"/>
    <n v="20.09"/>
    <n v="0"/>
    <n v="1.89"/>
    <s v="No"/>
    <n v="0"/>
    <n v="54.72"/>
    <n v="42.4"/>
    <n v="12.32"/>
    <n v="0"/>
  </r>
  <r>
    <s v="ORD-000191"/>
    <s v="C-0673"/>
    <d v="2024-05-21T00:00:00"/>
    <s v="Marketplace"/>
    <s v="Credit Card"/>
    <s v="Northeast"/>
    <n v="3"/>
    <x v="3"/>
    <n v="284.23"/>
    <n v="0"/>
    <n v="0"/>
    <n v="64.760000000000005"/>
    <n v="124.51"/>
    <n v="42.63"/>
    <n v="8.5399999999999991"/>
    <s v="No"/>
    <n v="0"/>
    <n v="284.23"/>
    <n v="240.44"/>
    <n v="43.79"/>
    <n v="0"/>
  </r>
  <r>
    <s v="ORD-000192"/>
    <s v="C-0619"/>
    <d v="2025-09-11T00:00:00"/>
    <s v="Website"/>
    <s v="PayPal"/>
    <s v="Midwest"/>
    <n v="3"/>
    <x v="6"/>
    <n v="187.36"/>
    <n v="10"/>
    <n v="18.739999999999998"/>
    <n v="27.46"/>
    <n v="58.43"/>
    <n v="0"/>
    <n v="5.19"/>
    <s v="No"/>
    <n v="0"/>
    <n v="168.62"/>
    <n v="91.08"/>
    <n v="77.540000000000006"/>
    <n v="0"/>
  </r>
  <r>
    <s v="ORD-000193"/>
    <s v="C-0482"/>
    <d v="2025-08-11T00:00:00"/>
    <s v="Marketplace"/>
    <s v="Credit Card"/>
    <s v="Southeast"/>
    <n v="2"/>
    <x v="4"/>
    <n v="171.09"/>
    <n v="0"/>
    <n v="0"/>
    <n v="21.08"/>
    <n v="53.77"/>
    <n v="25.66"/>
    <n v="5.26"/>
    <s v="No"/>
    <n v="0"/>
    <n v="171.09"/>
    <n v="105.77"/>
    <n v="65.319999999999993"/>
    <n v="0"/>
  </r>
  <r>
    <s v="ORD-000194"/>
    <s v="C-0406"/>
    <d v="2024-07-17T00:00:00"/>
    <s v="Mobile App"/>
    <s v="Credit Card"/>
    <s v="Midwest"/>
    <n v="1"/>
    <x v="3"/>
    <n v="62.94"/>
    <n v="10"/>
    <n v="6.29"/>
    <n v="6.62"/>
    <n v="26.48"/>
    <n v="0"/>
    <n v="1.94"/>
    <s v="No"/>
    <n v="0"/>
    <n v="56.65"/>
    <n v="35.04"/>
    <n v="21.61"/>
    <n v="0"/>
  </r>
  <r>
    <s v="ORD-000195"/>
    <s v="C-0136"/>
    <d v="2025-12-12T00:00:00"/>
    <s v="Website"/>
    <s v="PayPal"/>
    <s v="West Coast"/>
    <n v="1"/>
    <x v="4"/>
    <n v="50.16"/>
    <n v="10"/>
    <n v="5.0199999999999996"/>
    <n v="15.1"/>
    <n v="23.95"/>
    <n v="0"/>
    <n v="1.61"/>
    <s v="No"/>
    <n v="0"/>
    <n v="45.14"/>
    <n v="40.659999999999997"/>
    <n v="4.4800000000000004"/>
    <n v="0"/>
  </r>
  <r>
    <s v="ORD-000196"/>
    <s v="C-0674"/>
    <d v="2025-07-14T00:00:00"/>
    <s v="Website"/>
    <s v="Buy Now Pay Later"/>
    <s v="Midwest"/>
    <n v="2"/>
    <x v="5"/>
    <n v="190.43"/>
    <n v="10"/>
    <n v="19.04"/>
    <n v="27.72"/>
    <n v="69.2"/>
    <n v="0"/>
    <n v="5.27"/>
    <s v="No"/>
    <n v="0"/>
    <n v="171.39"/>
    <n v="102.19"/>
    <n v="69.2"/>
    <n v="0"/>
  </r>
  <r>
    <s v="ORD-000197"/>
    <s v="C-0314"/>
    <d v="2025-05-23T00:00:00"/>
    <s v="Marketplace"/>
    <s v="Credit Card"/>
    <s v="Northeast"/>
    <n v="3"/>
    <x v="3"/>
    <n v="191.13"/>
    <n v="20"/>
    <n v="38.229999999999997"/>
    <n v="27.86"/>
    <n v="80.55"/>
    <n v="22.93"/>
    <n v="4.7300000000000004"/>
    <s v="No"/>
    <n v="0"/>
    <n v="152.9"/>
    <n v="136.07"/>
    <n v="16.829999999999998"/>
    <n v="0"/>
  </r>
  <r>
    <s v="ORD-000198"/>
    <s v="C-0404"/>
    <d v="2024-09-19T00:00:00"/>
    <s v="Website"/>
    <s v="Credit Card"/>
    <s v="Southwest"/>
    <n v="1"/>
    <x v="5"/>
    <n v="127.92"/>
    <n v="10"/>
    <n v="12.79"/>
    <n v="22.84"/>
    <n v="74.56"/>
    <n v="0"/>
    <n v="3.64"/>
    <s v="No"/>
    <n v="0"/>
    <n v="115.13"/>
    <n v="101.04"/>
    <n v="14.09"/>
    <n v="0"/>
  </r>
  <r>
    <s v="ORD-000199"/>
    <s v="C-0308"/>
    <d v="2024-11-13T00:00:00"/>
    <s v="Website"/>
    <s v="Credit Card"/>
    <s v="Southeast"/>
    <n v="2"/>
    <x v="3"/>
    <n v="89.15"/>
    <n v="0"/>
    <n v="0"/>
    <n v="25"/>
    <n v="31.24"/>
    <n v="0"/>
    <n v="2.89"/>
    <s v="No"/>
    <n v="0"/>
    <n v="89.15"/>
    <n v="59.13"/>
    <n v="30.02"/>
    <n v="0"/>
  </r>
  <r>
    <s v="ORD-000200"/>
    <s v="C-0311"/>
    <d v="2025-06-22T00:00:00"/>
    <s v="Marketplace"/>
    <s v="Credit Card"/>
    <s v="Southeast"/>
    <n v="1"/>
    <x v="0"/>
    <n v="24.31"/>
    <n v="15"/>
    <n v="3.65"/>
    <n v="5.74"/>
    <n v="7.13"/>
    <n v="3.1"/>
    <n v="0.9"/>
    <s v="No"/>
    <n v="0"/>
    <n v="20.66"/>
    <n v="16.87"/>
    <n v="3.79"/>
    <n v="0"/>
  </r>
  <r>
    <s v="ORD-000201"/>
    <s v="C-0234"/>
    <d v="2025-03-04T00:00:00"/>
    <s v="Mobile App"/>
    <s v="Debit Card"/>
    <s v="West Coast"/>
    <n v="3"/>
    <x v="2"/>
    <n v="435.11"/>
    <n v="10"/>
    <n v="43.51"/>
    <n v="63.72"/>
    <n v="197.13"/>
    <n v="0"/>
    <n v="11.66"/>
    <s v="No"/>
    <n v="0"/>
    <n v="391.6"/>
    <n v="272.51"/>
    <n v="119.09"/>
    <n v="0"/>
  </r>
  <r>
    <s v="ORD-000202"/>
    <s v="C-0239"/>
    <d v="2024-10-25T00:00:00"/>
    <s v="Mobile App"/>
    <s v="Debit Card"/>
    <s v="Midwest"/>
    <n v="1"/>
    <x v="7"/>
    <n v="29.4"/>
    <n v="20"/>
    <n v="5.88"/>
    <n v="6.22"/>
    <n v="11.41"/>
    <n v="0"/>
    <n v="0.98"/>
    <s v="No"/>
    <n v="0"/>
    <n v="23.52"/>
    <n v="18.61"/>
    <n v="4.91"/>
    <n v="0"/>
  </r>
  <r>
    <s v="ORD-000203"/>
    <s v="C-0118"/>
    <d v="2024-10-14T00:00:00"/>
    <s v="Mobile App"/>
    <s v="Buy Now Pay Later"/>
    <s v="Southeast"/>
    <n v="2"/>
    <x v="2"/>
    <n v="161.57"/>
    <n v="0"/>
    <n v="0"/>
    <n v="9"/>
    <n v="50.8"/>
    <n v="0"/>
    <n v="4.99"/>
    <s v="No"/>
    <n v="0"/>
    <n v="161.57"/>
    <n v="64.790000000000006"/>
    <n v="96.78"/>
    <n v="0"/>
  </r>
  <r>
    <s v="ORD-000204"/>
    <s v="C-0334"/>
    <d v="2025-04-29T00:00:00"/>
    <s v="Website"/>
    <s v="Credit Card"/>
    <s v="Southwest"/>
    <n v="1"/>
    <x v="3"/>
    <n v="38.520000000000003"/>
    <n v="15"/>
    <n v="5.78"/>
    <n v="10.52"/>
    <n v="14.66"/>
    <n v="0"/>
    <n v="1.25"/>
    <s v="Yes"/>
    <n v="32.74"/>
    <n v="0"/>
    <n v="26.43"/>
    <n v="-26.43"/>
    <n v="0"/>
  </r>
  <r>
    <s v="ORD-000205"/>
    <s v="C-0695"/>
    <d v="2025-08-30T00:00:00"/>
    <s v="Website"/>
    <s v="Credit Card"/>
    <s v="Northeast"/>
    <n v="1"/>
    <x v="3"/>
    <n v="109.47"/>
    <n v="20"/>
    <n v="21.89"/>
    <n v="37.14"/>
    <n v="45.6"/>
    <n v="0"/>
    <n v="2.84"/>
    <s v="No"/>
    <n v="0"/>
    <n v="87.58"/>
    <n v="85.58"/>
    <n v="2"/>
    <n v="0"/>
  </r>
  <r>
    <s v="ORD-000206"/>
    <s v="C-0111"/>
    <d v="2025-05-13T00:00:00"/>
    <s v="Website"/>
    <s v="PayPal"/>
    <s v="Southeast"/>
    <n v="3"/>
    <x v="1"/>
    <n v="279.11"/>
    <n v="0"/>
    <n v="0"/>
    <n v="33.119999999999997"/>
    <n v="94.32"/>
    <n v="0"/>
    <n v="8.39"/>
    <s v="No"/>
    <n v="0"/>
    <n v="279.11"/>
    <n v="135.83000000000001"/>
    <n v="143.28"/>
    <n v="1"/>
  </r>
  <r>
    <s v="ORD-000207"/>
    <s v="C-0330"/>
    <d v="2025-09-07T00:00:00"/>
    <s v="Mobile App"/>
    <s v="PayPal"/>
    <s v="Southwest"/>
    <n v="3"/>
    <x v="2"/>
    <n v="295.77"/>
    <n v="10"/>
    <n v="29.58"/>
    <n v="61.1"/>
    <n v="122.06"/>
    <n v="0"/>
    <n v="8.02"/>
    <s v="No"/>
    <n v="0"/>
    <n v="266.19"/>
    <n v="191.18"/>
    <n v="75.010000000000005"/>
    <n v="0"/>
  </r>
  <r>
    <s v="ORD-000208"/>
    <s v="C-0073"/>
    <d v="2024-10-15T00:00:00"/>
    <s v="Mobile App"/>
    <s v="PayPal"/>
    <s v="Southwest"/>
    <n v="2"/>
    <x v="5"/>
    <n v="191.14"/>
    <n v="20"/>
    <n v="38.229999999999997"/>
    <n v="19.68"/>
    <n v="59.97"/>
    <n v="0"/>
    <n v="4.7300000000000004"/>
    <s v="No"/>
    <n v="0"/>
    <n v="152.91"/>
    <n v="84.38"/>
    <n v="68.53"/>
    <n v="0"/>
  </r>
  <r>
    <s v="ORD-000209"/>
    <s v="C-0066"/>
    <d v="2024-04-21T00:00:00"/>
    <s v="Website"/>
    <s v="Credit Card"/>
    <s v="Northeast"/>
    <n v="2"/>
    <x v="4"/>
    <n v="158.58000000000001"/>
    <n v="15"/>
    <n v="23.79"/>
    <n v="26.66"/>
    <n v="62.39"/>
    <n v="0"/>
    <n v="4.21"/>
    <s v="No"/>
    <n v="0"/>
    <n v="134.79"/>
    <n v="93.26"/>
    <n v="41.53"/>
    <n v="0"/>
  </r>
  <r>
    <s v="ORD-000210"/>
    <s v="C-0037"/>
    <d v="2025-11-09T00:00:00"/>
    <s v="Mobile App"/>
    <s v="Credit Card"/>
    <s v="Midwest"/>
    <n v="1"/>
    <x v="1"/>
    <n v="61.44"/>
    <n v="10"/>
    <n v="6.14"/>
    <n v="12.06"/>
    <n v="19.8"/>
    <n v="0"/>
    <n v="1.9"/>
    <s v="No"/>
    <n v="0"/>
    <n v="55.3"/>
    <n v="33.76"/>
    <n v="21.54"/>
    <n v="0"/>
  </r>
  <r>
    <s v="ORD-000211"/>
    <s v="C-0007"/>
    <d v="2025-08-05T00:00:00"/>
    <s v="Mobile App"/>
    <s v="Debit Card"/>
    <s v="Midwest"/>
    <n v="1"/>
    <x v="3"/>
    <n v="69.38"/>
    <n v="0"/>
    <n v="0"/>
    <n v="14.3"/>
    <n v="27.03"/>
    <n v="0"/>
    <n v="2.31"/>
    <s v="No"/>
    <n v="0"/>
    <n v="69.38"/>
    <n v="43.64"/>
    <n v="25.74"/>
    <n v="0"/>
  </r>
  <r>
    <s v="ORD-000212"/>
    <s v="C-0244"/>
    <d v="2025-04-02T00:00:00"/>
    <s v="Mobile App"/>
    <s v="Credit Card"/>
    <s v="Northeast"/>
    <n v="3"/>
    <x v="2"/>
    <n v="204.86"/>
    <n v="0"/>
    <n v="0"/>
    <n v="46.62"/>
    <n v="76.010000000000005"/>
    <n v="0"/>
    <n v="6.24"/>
    <s v="No"/>
    <n v="0"/>
    <n v="204.86"/>
    <n v="128.87"/>
    <n v="75.989999999999995"/>
    <n v="0"/>
  </r>
  <r>
    <s v="ORD-000213"/>
    <s v="C-0125"/>
    <d v="2024-11-15T00:00:00"/>
    <s v="Website"/>
    <s v="Debit Card"/>
    <s v="Southeast"/>
    <n v="3"/>
    <x v="3"/>
    <n v="109"/>
    <n v="25"/>
    <n v="27.25"/>
    <n v="43.44"/>
    <n v="54.64"/>
    <n v="0"/>
    <n v="2.67"/>
    <s v="No"/>
    <n v="0"/>
    <n v="81.75"/>
    <n v="100.75"/>
    <n v="-19"/>
    <n v="0"/>
  </r>
  <r>
    <s v="ORD-000214"/>
    <s v="C-0572"/>
    <d v="2025-12-29T00:00:00"/>
    <s v="Marketplace"/>
    <s v="Gift Card"/>
    <s v="Southeast"/>
    <n v="3"/>
    <x v="4"/>
    <n v="183.24"/>
    <n v="25"/>
    <n v="45.81"/>
    <n v="47.44"/>
    <n v="67.040000000000006"/>
    <n v="20.61"/>
    <n v="4.29"/>
    <s v="No"/>
    <n v="0"/>
    <n v="137.43"/>
    <n v="139.38"/>
    <n v="-1.95"/>
    <n v="0"/>
  </r>
  <r>
    <s v="ORD-000215"/>
    <s v="C-0679"/>
    <d v="2025-05-14T00:00:00"/>
    <s v="Website"/>
    <s v="PayPal"/>
    <s v="Midwest"/>
    <n v="3"/>
    <x v="7"/>
    <n v="60.69"/>
    <n v="10"/>
    <n v="6.07"/>
    <n v="23.54"/>
    <n v="28.36"/>
    <n v="0"/>
    <n v="1.88"/>
    <s v="No"/>
    <n v="0"/>
    <n v="54.62"/>
    <n v="53.78"/>
    <n v="0.84"/>
    <n v="0"/>
  </r>
  <r>
    <s v="ORD-000216"/>
    <s v="C-0260"/>
    <d v="2024-05-16T00:00:00"/>
    <s v="Website"/>
    <s v="Credit Card"/>
    <s v="Northeast"/>
    <n v="1"/>
    <x v="0"/>
    <n v="577.14"/>
    <n v="0"/>
    <n v="0"/>
    <n v="30.18"/>
    <n v="217.77"/>
    <n v="0"/>
    <n v="17.04"/>
    <s v="No"/>
    <n v="0"/>
    <n v="577.14"/>
    <n v="264.99"/>
    <n v="312.14999999999998"/>
    <n v="0"/>
  </r>
  <r>
    <s v="ORD-000217"/>
    <s v="C-0292"/>
    <d v="2024-08-27T00:00:00"/>
    <s v="Marketplace"/>
    <s v="Gift Card"/>
    <s v="Southeast"/>
    <n v="1"/>
    <x v="2"/>
    <n v="40.89"/>
    <n v="0"/>
    <n v="0"/>
    <n v="7.18"/>
    <n v="11.78"/>
    <n v="6.13"/>
    <n v="1.49"/>
    <s v="No"/>
    <n v="0"/>
    <n v="40.89"/>
    <n v="26.58"/>
    <n v="14.31"/>
    <n v="0"/>
  </r>
  <r>
    <s v="ORD-000218"/>
    <s v="C-0389"/>
    <d v="2025-01-29T00:00:00"/>
    <s v="Website"/>
    <s v="Debit Card"/>
    <s v="Southeast"/>
    <n v="1"/>
    <x v="0"/>
    <n v="222.97"/>
    <n v="0"/>
    <n v="0"/>
    <n v="12.94"/>
    <n v="67.05"/>
    <n v="0"/>
    <n v="6.77"/>
    <s v="No"/>
    <n v="0"/>
    <n v="222.97"/>
    <n v="86.76"/>
    <n v="136.21"/>
    <n v="0"/>
  </r>
  <r>
    <s v="ORD-000219"/>
    <s v="C-0618"/>
    <d v="2025-08-01T00:00:00"/>
    <s v="Website"/>
    <s v="Debit Card"/>
    <s v="Southeast"/>
    <n v="1"/>
    <x v="1"/>
    <n v="8.3000000000000007"/>
    <n v="10"/>
    <n v="0.83"/>
    <n v="13.18"/>
    <n v="3.65"/>
    <n v="0"/>
    <n v="0.52"/>
    <s v="No"/>
    <n v="0"/>
    <n v="7.47"/>
    <n v="17.350000000000001"/>
    <n v="-9.8800000000000008"/>
    <n v="0"/>
  </r>
  <r>
    <s v="ORD-000220"/>
    <s v="C-0513"/>
    <d v="2024-09-26T00:00:00"/>
    <s v="Website"/>
    <s v="Debit Card"/>
    <s v="West Coast"/>
    <n v="3"/>
    <x v="6"/>
    <n v="40.29"/>
    <n v="0"/>
    <n v="0"/>
    <n v="28.88"/>
    <n v="19.7"/>
    <n v="0"/>
    <n v="1.47"/>
    <s v="No"/>
    <n v="0"/>
    <n v="40.29"/>
    <n v="50.05"/>
    <n v="-9.76"/>
    <n v="0"/>
  </r>
  <r>
    <s v="ORD-000221"/>
    <s v="C-0224"/>
    <d v="2025-11-29T00:00:00"/>
    <s v="Marketplace"/>
    <s v="PayPal"/>
    <s v="Midwest"/>
    <n v="1"/>
    <x v="6"/>
    <n v="31.86"/>
    <n v="0"/>
    <n v="0"/>
    <n v="27.54"/>
    <n v="16.14"/>
    <n v="4.78"/>
    <n v="1.22"/>
    <s v="No"/>
    <n v="0"/>
    <n v="31.86"/>
    <n v="49.68"/>
    <n v="-17.82"/>
    <n v="0"/>
  </r>
  <r>
    <s v="ORD-000222"/>
    <s v="C-0072"/>
    <d v="2025-05-29T00:00:00"/>
    <s v="Website"/>
    <s v="Credit Card"/>
    <s v="Midwest"/>
    <n v="3"/>
    <x v="4"/>
    <n v="366.09"/>
    <n v="10"/>
    <n v="36.61"/>
    <n v="71.64"/>
    <n v="137.02000000000001"/>
    <n v="0"/>
    <n v="9.85"/>
    <s v="No"/>
    <n v="0"/>
    <n v="329.48"/>
    <n v="218.51"/>
    <n v="110.97"/>
    <n v="0"/>
  </r>
  <r>
    <s v="ORD-000223"/>
    <s v="C-0707"/>
    <d v="2024-08-11T00:00:00"/>
    <s v="Website"/>
    <s v="Buy Now Pay Later"/>
    <s v="Midwest"/>
    <n v="1"/>
    <x v="5"/>
    <n v="105.38"/>
    <n v="5"/>
    <n v="5.27"/>
    <n v="11.64"/>
    <n v="46.28"/>
    <n v="0"/>
    <n v="3.2"/>
    <s v="No"/>
    <n v="0"/>
    <n v="100.11"/>
    <n v="61.12"/>
    <n v="38.99"/>
    <n v="0"/>
  </r>
  <r>
    <s v="ORD-000224"/>
    <s v="C-0026"/>
    <d v="2025-07-28T00:00:00"/>
    <s v="Website"/>
    <s v="PayPal"/>
    <s v="Southeast"/>
    <n v="2"/>
    <x v="2"/>
    <n v="232.21"/>
    <n v="5"/>
    <n v="11.61"/>
    <n v="21.38"/>
    <n v="99.09"/>
    <n v="0"/>
    <n v="6.7"/>
    <s v="No"/>
    <n v="0"/>
    <n v="220.6"/>
    <n v="127.17"/>
    <n v="93.43"/>
    <n v="0"/>
  </r>
  <r>
    <s v="ORD-000225"/>
    <s v="C-0794"/>
    <d v="2025-02-21T00:00:00"/>
    <s v="Website"/>
    <s v="PayPal"/>
    <s v="Northeast"/>
    <n v="1"/>
    <x v="4"/>
    <n v="62.7"/>
    <n v="0"/>
    <n v="0"/>
    <n v="7.5"/>
    <n v="20.79"/>
    <n v="0"/>
    <n v="2.12"/>
    <s v="No"/>
    <n v="0"/>
    <n v="62.7"/>
    <n v="30.41"/>
    <n v="32.29"/>
    <n v="0"/>
  </r>
  <r>
    <s v="ORD-000226"/>
    <s v="C-0764"/>
    <d v="2025-03-07T00:00:00"/>
    <s v="Marketplace"/>
    <s v="PayPal"/>
    <s v="Southeast"/>
    <n v="1"/>
    <x v="0"/>
    <n v="365.2"/>
    <n v="0"/>
    <n v="0"/>
    <n v="17.559999999999999"/>
    <n v="121.88"/>
    <n v="54.78"/>
    <n v="10.89"/>
    <s v="No"/>
    <n v="0"/>
    <n v="365.2"/>
    <n v="205.11"/>
    <n v="160.09"/>
    <n v="0"/>
  </r>
  <r>
    <s v="ORD-000227"/>
    <s v="C-0086"/>
    <d v="2025-01-22T00:00:00"/>
    <s v="Website"/>
    <s v="Credit Card"/>
    <s v="West Coast"/>
    <n v="2"/>
    <x v="1"/>
    <n v="135.38"/>
    <n v="5"/>
    <n v="6.77"/>
    <n v="27.3"/>
    <n v="56.24"/>
    <n v="0"/>
    <n v="4.03"/>
    <s v="No"/>
    <n v="0"/>
    <n v="128.61000000000001"/>
    <n v="87.57"/>
    <n v="41.04"/>
    <n v="0"/>
  </r>
  <r>
    <s v="ORD-000228"/>
    <s v="C-0467"/>
    <d v="2025-08-01T00:00:00"/>
    <s v="Website"/>
    <s v="Credit Card"/>
    <s v="West Coast"/>
    <n v="2"/>
    <x v="3"/>
    <n v="152.94999999999999"/>
    <n v="20"/>
    <n v="30.59"/>
    <n v="49.04"/>
    <n v="60.53"/>
    <n v="0"/>
    <n v="3.85"/>
    <s v="No"/>
    <n v="0"/>
    <n v="122.36"/>
    <n v="113.42"/>
    <n v="8.94"/>
    <n v="0"/>
  </r>
  <r>
    <s v="ORD-000229"/>
    <s v="C-0454"/>
    <d v="2024-09-18T00:00:00"/>
    <s v="Website"/>
    <s v="PayPal"/>
    <s v="Midwest"/>
    <n v="1"/>
    <x v="4"/>
    <n v="40.98"/>
    <n v="0"/>
    <n v="0"/>
    <n v="31.86"/>
    <n v="14.07"/>
    <n v="0"/>
    <n v="1.49"/>
    <s v="No"/>
    <n v="0"/>
    <n v="40.98"/>
    <n v="47.42"/>
    <n v="-6.44"/>
    <n v="0"/>
  </r>
  <r>
    <s v="ORD-000230"/>
    <s v="C-0303"/>
    <d v="2025-04-28T00:00:00"/>
    <s v="Mobile App"/>
    <s v="PayPal"/>
    <s v="Northeast"/>
    <n v="5"/>
    <x v="6"/>
    <n v="188.78"/>
    <n v="10"/>
    <n v="18.88"/>
    <n v="56.92"/>
    <n v="78.510000000000005"/>
    <n v="0"/>
    <n v="5.23"/>
    <s v="No"/>
    <n v="0"/>
    <n v="169.9"/>
    <n v="140.66"/>
    <n v="29.24"/>
    <n v="0"/>
  </r>
  <r>
    <s v="ORD-000231"/>
    <s v="C-0292"/>
    <d v="2024-12-22T00:00:00"/>
    <s v="Social Commerce"/>
    <s v="Credit Card"/>
    <s v="Northeast"/>
    <n v="2"/>
    <x v="1"/>
    <n v="77.489999999999995"/>
    <n v="25"/>
    <n v="19.37"/>
    <n v="25.72"/>
    <n v="30.85"/>
    <n v="4.6500000000000004"/>
    <n v="1.99"/>
    <s v="No"/>
    <n v="0"/>
    <n v="58.12"/>
    <n v="63.21"/>
    <n v="-5.09"/>
    <n v="0"/>
  </r>
  <r>
    <s v="ORD-000232"/>
    <s v="C-0147"/>
    <d v="2025-03-04T00:00:00"/>
    <s v="Website"/>
    <s v="PayPal"/>
    <s v="Southwest"/>
    <n v="1"/>
    <x v="2"/>
    <n v="10.050000000000001"/>
    <n v="10"/>
    <n v="1"/>
    <n v="9.18"/>
    <n v="6.91"/>
    <n v="0"/>
    <n v="0.56000000000000005"/>
    <s v="No"/>
    <n v="0"/>
    <n v="9.0500000000000007"/>
    <n v="16.649999999999999"/>
    <n v="-7.6"/>
    <n v="0"/>
  </r>
  <r>
    <s v="ORD-000233"/>
    <s v="C-0506"/>
    <d v="2025-07-22T00:00:00"/>
    <s v="Website"/>
    <s v="Credit Card"/>
    <s v="Midwest"/>
    <n v="1"/>
    <x v="6"/>
    <n v="18.27"/>
    <n v="0"/>
    <n v="0"/>
    <n v="9.26"/>
    <n v="11.45"/>
    <n v="0"/>
    <n v="0.83"/>
    <s v="No"/>
    <n v="0"/>
    <n v="18.27"/>
    <n v="21.54"/>
    <n v="-3.27"/>
    <n v="0"/>
  </r>
  <r>
    <s v="ORD-000234"/>
    <s v="C-0558"/>
    <d v="2025-06-19T00:00:00"/>
    <s v="Marketplace"/>
    <s v="Gift Card"/>
    <s v="West Coast"/>
    <n v="3"/>
    <x v="3"/>
    <n v="305.85000000000002"/>
    <n v="15"/>
    <n v="45.88"/>
    <n v="38.56"/>
    <n v="98.55"/>
    <n v="39"/>
    <n v="7.84"/>
    <s v="No"/>
    <n v="0"/>
    <n v="259.97000000000003"/>
    <n v="183.95"/>
    <n v="76.02"/>
    <n v="0"/>
  </r>
  <r>
    <s v="ORD-000235"/>
    <s v="C-0553"/>
    <d v="2025-10-25T00:00:00"/>
    <s v="Website"/>
    <s v="Buy Now Pay Later"/>
    <s v="West Coast"/>
    <n v="5"/>
    <x v="0"/>
    <n v="235.3"/>
    <n v="25"/>
    <n v="58.83"/>
    <n v="58.7"/>
    <n v="99.37"/>
    <n v="0"/>
    <n v="5.42"/>
    <s v="No"/>
    <n v="0"/>
    <n v="176.47"/>
    <n v="163.49"/>
    <n v="12.98"/>
    <n v="0"/>
  </r>
  <r>
    <s v="ORD-000236"/>
    <s v="C-0192"/>
    <d v="2025-03-06T00:00:00"/>
    <s v="Website"/>
    <s v="PayPal"/>
    <s v="Southeast"/>
    <n v="1"/>
    <x v="3"/>
    <n v="62.94"/>
    <n v="15"/>
    <n v="9.44"/>
    <n v="6.62"/>
    <n v="26.48"/>
    <n v="0"/>
    <n v="1.85"/>
    <s v="No"/>
    <n v="0"/>
    <n v="53.5"/>
    <n v="34.950000000000003"/>
    <n v="18.55"/>
    <n v="0"/>
  </r>
  <r>
    <s v="ORD-000237"/>
    <s v="C-0787"/>
    <d v="2025-07-03T00:00:00"/>
    <s v="Website"/>
    <s v="Credit Card"/>
    <s v="Southeast"/>
    <n v="2"/>
    <x v="6"/>
    <n v="54.76"/>
    <n v="10"/>
    <n v="5.48"/>
    <n v="21.64"/>
    <n v="26.65"/>
    <n v="0"/>
    <n v="1.73"/>
    <s v="No"/>
    <n v="0"/>
    <n v="49.28"/>
    <n v="50.02"/>
    <n v="-0.74"/>
    <n v="0"/>
  </r>
  <r>
    <s v="ORD-000238"/>
    <s v="C-0150"/>
    <d v="2024-09-10T00:00:00"/>
    <s v="Mobile App"/>
    <s v="Buy Now Pay Later"/>
    <s v="West Coast"/>
    <n v="3"/>
    <x v="4"/>
    <n v="100.51"/>
    <n v="0"/>
    <n v="0"/>
    <n v="21.7"/>
    <n v="55.48"/>
    <n v="0"/>
    <n v="3.21"/>
    <s v="No"/>
    <n v="0"/>
    <n v="100.51"/>
    <n v="80.39"/>
    <n v="20.12"/>
    <n v="0"/>
  </r>
  <r>
    <s v="ORD-000239"/>
    <s v="C-0002"/>
    <d v="2024-09-27T00:00:00"/>
    <s v="Marketplace"/>
    <s v="Credit Card"/>
    <s v="Southwest"/>
    <n v="2"/>
    <x v="3"/>
    <n v="126.25"/>
    <n v="25"/>
    <n v="31.56"/>
    <n v="19.079999999999998"/>
    <n v="40.61"/>
    <n v="14.2"/>
    <n v="3.05"/>
    <s v="No"/>
    <n v="0"/>
    <n v="94.69"/>
    <n v="76.94"/>
    <n v="17.75"/>
    <n v="0"/>
  </r>
  <r>
    <s v="ORD-000240"/>
    <s v="C-0400"/>
    <d v="2024-10-12T00:00:00"/>
    <s v="Mobile App"/>
    <s v="Credit Card"/>
    <s v="Midwest"/>
    <n v="1"/>
    <x v="2"/>
    <n v="84.04"/>
    <n v="0"/>
    <n v="0"/>
    <n v="4.22"/>
    <n v="25.97"/>
    <n v="0"/>
    <n v="2.74"/>
    <s v="No"/>
    <n v="0"/>
    <n v="84.04"/>
    <n v="32.93"/>
    <n v="51.11"/>
    <n v="0"/>
  </r>
  <r>
    <s v="ORD-000241"/>
    <s v="C-0629"/>
    <d v="2025-04-05T00:00:00"/>
    <s v="Website"/>
    <s v="Credit Card"/>
    <s v="Midwest"/>
    <n v="2"/>
    <x v="2"/>
    <n v="93.21"/>
    <n v="10"/>
    <n v="9.32"/>
    <n v="25.24"/>
    <n v="49.1"/>
    <n v="0"/>
    <n v="2.73"/>
    <s v="No"/>
    <n v="0"/>
    <n v="83.89"/>
    <n v="77.069999999999993"/>
    <n v="6.82"/>
    <n v="0"/>
  </r>
  <r>
    <s v="ORD-000242"/>
    <s v="C-0300"/>
    <d v="2025-06-18T00:00:00"/>
    <s v="Marketplace"/>
    <s v="Debit Card"/>
    <s v="Northeast"/>
    <n v="3"/>
    <x v="7"/>
    <n v="184.37"/>
    <n v="20"/>
    <n v="36.869999999999997"/>
    <n v="24.66"/>
    <n v="75.459999999999994"/>
    <n v="22.12"/>
    <n v="4.58"/>
    <s v="No"/>
    <n v="0"/>
    <n v="147.5"/>
    <n v="126.82"/>
    <n v="20.68"/>
    <n v="0"/>
  </r>
  <r>
    <s v="ORD-000243"/>
    <s v="C-0597"/>
    <d v="2024-09-07T00:00:00"/>
    <s v="Website"/>
    <s v="PayPal"/>
    <s v="Northeast"/>
    <n v="2"/>
    <x v="1"/>
    <n v="25.1"/>
    <n v="10"/>
    <n v="2.5099999999999998"/>
    <n v="17.32"/>
    <n v="11.9"/>
    <n v="0"/>
    <n v="0.96"/>
    <s v="No"/>
    <n v="0"/>
    <n v="22.59"/>
    <n v="30.18"/>
    <n v="-7.59"/>
    <n v="0"/>
  </r>
  <r>
    <s v="ORD-000244"/>
    <s v="C-0022"/>
    <d v="2024-09-16T00:00:00"/>
    <s v="Mobile App"/>
    <s v="Gift Card"/>
    <s v="Midwest"/>
    <n v="1"/>
    <x v="0"/>
    <n v="68.98"/>
    <n v="0"/>
    <n v="0"/>
    <n v="14.54"/>
    <n v="25.39"/>
    <n v="0"/>
    <n v="2.2999999999999998"/>
    <s v="No"/>
    <n v="0"/>
    <n v="68.98"/>
    <n v="42.23"/>
    <n v="26.75"/>
    <n v="0"/>
  </r>
  <r>
    <s v="ORD-000245"/>
    <s v="C-0251"/>
    <d v="2025-11-25T00:00:00"/>
    <s v="Website"/>
    <s v="Buy Now Pay Later"/>
    <s v="Southwest"/>
    <n v="1"/>
    <x v="5"/>
    <n v="331.08"/>
    <n v="10"/>
    <n v="33.11"/>
    <n v="15.3"/>
    <n v="113.55"/>
    <n v="0"/>
    <n v="8.94"/>
    <s v="No"/>
    <n v="0"/>
    <n v="297.97000000000003"/>
    <n v="137.79"/>
    <n v="160.18"/>
    <n v="0"/>
  </r>
  <r>
    <s v="ORD-000246"/>
    <s v="C-0800"/>
    <d v="2025-05-24T00:00:00"/>
    <s v="Website"/>
    <s v="Credit Card"/>
    <s v="Midwest"/>
    <n v="3"/>
    <x v="3"/>
    <n v="115.07"/>
    <n v="0"/>
    <n v="0"/>
    <n v="48.16"/>
    <n v="57.3"/>
    <n v="0"/>
    <n v="3.64"/>
    <s v="No"/>
    <n v="0"/>
    <n v="115.07"/>
    <n v="109.1"/>
    <n v="5.97"/>
    <n v="0"/>
  </r>
  <r>
    <s v="ORD-000247"/>
    <s v="C-0178"/>
    <d v="2025-06-30T00:00:00"/>
    <s v="Website"/>
    <s v="Debit Card"/>
    <s v="Southwest"/>
    <n v="2"/>
    <x v="4"/>
    <n v="97.72"/>
    <n v="10"/>
    <n v="9.77"/>
    <n v="27.8"/>
    <n v="31"/>
    <n v="0"/>
    <n v="2.85"/>
    <s v="No"/>
    <n v="0"/>
    <n v="87.95"/>
    <n v="61.65"/>
    <n v="26.3"/>
    <n v="0"/>
  </r>
  <r>
    <s v="ORD-000248"/>
    <s v="C-0183"/>
    <d v="2024-10-11T00:00:00"/>
    <s v="Marketplace"/>
    <s v="Gift Card"/>
    <s v="Northeast"/>
    <n v="2"/>
    <x v="0"/>
    <n v="80.66"/>
    <n v="0"/>
    <n v="0"/>
    <n v="25.7"/>
    <n v="34.25"/>
    <n v="12.1"/>
    <n v="2.64"/>
    <s v="No"/>
    <n v="0"/>
    <n v="80.66"/>
    <n v="74.69"/>
    <n v="5.97"/>
    <n v="0"/>
  </r>
  <r>
    <s v="ORD-000249"/>
    <s v="C-0541"/>
    <d v="2024-09-19T00:00:00"/>
    <s v="Mobile App"/>
    <s v="Credit Card"/>
    <s v="Northeast"/>
    <n v="1"/>
    <x v="1"/>
    <n v="36.6"/>
    <n v="0"/>
    <n v="0"/>
    <n v="10.62"/>
    <n v="14.64"/>
    <n v="0"/>
    <n v="1.36"/>
    <s v="No"/>
    <n v="0"/>
    <n v="36.6"/>
    <n v="26.62"/>
    <n v="9.98"/>
    <n v="0"/>
  </r>
  <r>
    <s v="ORD-000250"/>
    <s v="C-0799"/>
    <d v="2024-08-14T00:00:00"/>
    <s v="Website"/>
    <s v="Credit Card"/>
    <s v="Southeast"/>
    <n v="3"/>
    <x v="0"/>
    <n v="223.53"/>
    <n v="5"/>
    <n v="11.18"/>
    <n v="61.74"/>
    <n v="103.72"/>
    <n v="0"/>
    <n v="6.46"/>
    <s v="No"/>
    <n v="0"/>
    <n v="212.35"/>
    <n v="171.92"/>
    <n v="40.43"/>
    <n v="0"/>
  </r>
  <r>
    <s v="ORD-000251"/>
    <s v="C-0257"/>
    <d v="2025-02-07T00:00:00"/>
    <s v="Website"/>
    <s v="PayPal"/>
    <s v="West Coast"/>
    <n v="1"/>
    <x v="5"/>
    <n v="106.92"/>
    <n v="0"/>
    <n v="0"/>
    <n v="39.54"/>
    <n v="31.32"/>
    <n v="0"/>
    <n v="3.4"/>
    <s v="No"/>
    <n v="0"/>
    <n v="106.92"/>
    <n v="74.260000000000005"/>
    <n v="32.659999999999997"/>
    <n v="0"/>
  </r>
  <r>
    <s v="ORD-000252"/>
    <s v="C-0419"/>
    <d v="2024-07-11T00:00:00"/>
    <s v="Website"/>
    <s v="Debit Card"/>
    <s v="Southeast"/>
    <n v="4"/>
    <x v="6"/>
    <n v="248.2"/>
    <n v="0"/>
    <n v="0"/>
    <n v="61.26"/>
    <n v="105.38"/>
    <n v="0"/>
    <n v="7.5"/>
    <s v="No"/>
    <n v="0"/>
    <n v="248.2"/>
    <n v="174.14"/>
    <n v="74.06"/>
    <n v="0"/>
  </r>
  <r>
    <s v="ORD-000253"/>
    <s v="C-0433"/>
    <d v="2025-07-01T00:00:00"/>
    <s v="Mobile App"/>
    <s v="Credit Card"/>
    <s v="Southwest"/>
    <n v="2"/>
    <x v="2"/>
    <n v="216.14"/>
    <n v="0"/>
    <n v="0"/>
    <n v="33.94"/>
    <n v="72.849999999999994"/>
    <n v="0"/>
    <n v="6.57"/>
    <s v="No"/>
    <n v="0"/>
    <n v="216.14"/>
    <n v="113.36"/>
    <n v="102.78"/>
    <n v="0"/>
  </r>
  <r>
    <s v="ORD-000254"/>
    <s v="C-0240"/>
    <d v="2025-10-26T00:00:00"/>
    <s v="Website"/>
    <s v="PayPal"/>
    <s v="Southeast"/>
    <n v="2"/>
    <x v="6"/>
    <n v="211.04"/>
    <n v="10"/>
    <n v="21.1"/>
    <n v="43.36"/>
    <n v="85.37"/>
    <n v="0"/>
    <n v="5.81"/>
    <s v="No"/>
    <n v="0"/>
    <n v="189.94"/>
    <n v="134.54"/>
    <n v="55.4"/>
    <n v="0"/>
  </r>
  <r>
    <s v="ORD-000255"/>
    <s v="C-0137"/>
    <d v="2025-11-05T00:00:00"/>
    <s v="Mobile App"/>
    <s v="PayPal"/>
    <s v="Southwest"/>
    <n v="1"/>
    <x v="4"/>
    <n v="40.89"/>
    <n v="5"/>
    <n v="2.04"/>
    <n v="15.1"/>
    <n v="16.21"/>
    <n v="0"/>
    <n v="1.43"/>
    <s v="No"/>
    <n v="0"/>
    <n v="38.85"/>
    <n v="32.74"/>
    <n v="6.11"/>
    <n v="0"/>
  </r>
  <r>
    <s v="ORD-000256"/>
    <s v="C-0388"/>
    <d v="2025-07-25T00:00:00"/>
    <s v="Website"/>
    <s v="Credit Card"/>
    <s v="West Coast"/>
    <n v="1"/>
    <x v="2"/>
    <n v="72.56"/>
    <n v="10"/>
    <n v="7.26"/>
    <n v="8.6999999999999993"/>
    <n v="35.81"/>
    <n v="0"/>
    <n v="2.19"/>
    <s v="No"/>
    <n v="0"/>
    <n v="65.3"/>
    <n v="46.7"/>
    <n v="18.600000000000001"/>
    <n v="0"/>
  </r>
  <r>
    <s v="ORD-000257"/>
    <s v="C-0332"/>
    <d v="2025-05-29T00:00:00"/>
    <s v="Website"/>
    <s v="PayPal"/>
    <s v="Northeast"/>
    <n v="1"/>
    <x v="2"/>
    <n v="272.49"/>
    <n v="5"/>
    <n v="13.62"/>
    <n v="46.26"/>
    <n v="80.040000000000006"/>
    <n v="0"/>
    <n v="7.81"/>
    <s v="No"/>
    <n v="0"/>
    <n v="258.87"/>
    <n v="134.11000000000001"/>
    <n v="124.76"/>
    <n v="0"/>
  </r>
  <r>
    <s v="ORD-000258"/>
    <s v="C-0565"/>
    <d v="2025-10-30T00:00:00"/>
    <s v="Website"/>
    <s v="Credit Card"/>
    <s v="Southwest"/>
    <n v="4"/>
    <x v="3"/>
    <n v="404.63"/>
    <n v="0"/>
    <n v="0"/>
    <n v="43.56"/>
    <n v="159.63"/>
    <n v="0"/>
    <n v="12.03"/>
    <s v="No"/>
    <n v="0"/>
    <n v="404.63"/>
    <n v="215.22"/>
    <n v="189.41"/>
    <n v="0"/>
  </r>
  <r>
    <s v="ORD-000259"/>
    <s v="C-0115"/>
    <d v="2025-03-05T00:00:00"/>
    <s v="Website"/>
    <s v="Credit Card"/>
    <s v="Southeast"/>
    <n v="3"/>
    <x v="0"/>
    <n v="135.87"/>
    <n v="20"/>
    <n v="27.17"/>
    <n v="34.020000000000003"/>
    <n v="52.84"/>
    <n v="0"/>
    <n v="3.45"/>
    <s v="No"/>
    <n v="0"/>
    <n v="108.7"/>
    <n v="90.31"/>
    <n v="18.39"/>
    <n v="0"/>
  </r>
  <r>
    <s v="ORD-000260"/>
    <s v="C-0156"/>
    <d v="2025-09-22T00:00:00"/>
    <s v="Mobile App"/>
    <s v="Credit Card"/>
    <s v="Southeast"/>
    <n v="1"/>
    <x v="3"/>
    <n v="36.01"/>
    <n v="0"/>
    <n v="0"/>
    <n v="9.66"/>
    <n v="11.64"/>
    <n v="0"/>
    <n v="1.34"/>
    <s v="No"/>
    <n v="0"/>
    <n v="36.01"/>
    <n v="22.64"/>
    <n v="13.37"/>
    <n v="0"/>
  </r>
  <r>
    <s v="ORD-000261"/>
    <s v="C-0204"/>
    <d v="2025-08-31T00:00:00"/>
    <s v="Mobile App"/>
    <s v="Debit Card"/>
    <s v="Southeast"/>
    <n v="1"/>
    <x v="4"/>
    <n v="62.28"/>
    <n v="0"/>
    <n v="0"/>
    <n v="10.54"/>
    <n v="23.32"/>
    <n v="0"/>
    <n v="2.11"/>
    <s v="No"/>
    <n v="0"/>
    <n v="62.28"/>
    <n v="35.97"/>
    <n v="26.31"/>
    <n v="0"/>
  </r>
  <r>
    <s v="ORD-000262"/>
    <s v="C-0246"/>
    <d v="2025-03-04T00:00:00"/>
    <s v="Website"/>
    <s v="Credit Card"/>
    <s v="Midwest"/>
    <n v="1"/>
    <x v="4"/>
    <n v="13.66"/>
    <n v="0"/>
    <n v="0"/>
    <n v="10.62"/>
    <n v="4.6900000000000004"/>
    <n v="0"/>
    <n v="0.7"/>
    <s v="No"/>
    <n v="0"/>
    <n v="13.66"/>
    <n v="16.010000000000002"/>
    <n v="-2.35"/>
    <n v="0"/>
  </r>
  <r>
    <s v="ORD-000263"/>
    <s v="C-0215"/>
    <d v="2025-03-10T00:00:00"/>
    <s v="Website"/>
    <s v="Credit Card"/>
    <s v="Northeast"/>
    <n v="1"/>
    <x v="1"/>
    <n v="37.659999999999997"/>
    <n v="5"/>
    <n v="1.88"/>
    <n v="19.8"/>
    <n v="22.08"/>
    <n v="0"/>
    <n v="1.34"/>
    <s v="No"/>
    <n v="0"/>
    <n v="35.78"/>
    <n v="43.22"/>
    <n v="-7.44"/>
    <n v="0"/>
  </r>
  <r>
    <s v="ORD-000264"/>
    <s v="C-0313"/>
    <d v="2025-09-15T00:00:00"/>
    <s v="Website"/>
    <s v="Credit Card"/>
    <s v="Midwest"/>
    <n v="1"/>
    <x v="3"/>
    <n v="62.32"/>
    <n v="0"/>
    <n v="0"/>
    <n v="13.18"/>
    <n v="34.79"/>
    <n v="0"/>
    <n v="2.11"/>
    <s v="No"/>
    <n v="0"/>
    <n v="62.32"/>
    <n v="50.08"/>
    <n v="12.24"/>
    <n v="0"/>
  </r>
  <r>
    <s v="ORD-000265"/>
    <s v="C-0695"/>
    <d v="2025-08-31T00:00:00"/>
    <s v="Website"/>
    <s v="Debit Card"/>
    <s v="West Coast"/>
    <n v="2"/>
    <x v="0"/>
    <n v="52.19"/>
    <n v="0"/>
    <n v="0"/>
    <n v="20.92"/>
    <n v="29.66"/>
    <n v="0"/>
    <n v="1.81"/>
    <s v="No"/>
    <n v="0"/>
    <n v="52.19"/>
    <n v="52.39"/>
    <n v="-0.2"/>
    <n v="0"/>
  </r>
  <r>
    <s v="ORD-000266"/>
    <s v="C-0289"/>
    <d v="2025-08-12T00:00:00"/>
    <s v="Website"/>
    <s v="Credit Card"/>
    <s v="Northeast"/>
    <n v="3"/>
    <x v="7"/>
    <n v="176.91"/>
    <n v="25"/>
    <n v="44.23"/>
    <n v="54.56"/>
    <n v="59.99"/>
    <n v="0"/>
    <n v="4.1500000000000004"/>
    <s v="Yes"/>
    <n v="132.68"/>
    <n v="0"/>
    <n v="118.7"/>
    <n v="-118.7"/>
    <n v="0"/>
  </r>
  <r>
    <s v="ORD-000267"/>
    <s v="C-0203"/>
    <d v="2025-03-19T00:00:00"/>
    <s v="Mobile App"/>
    <s v="PayPal"/>
    <s v="Northeast"/>
    <n v="3"/>
    <x v="4"/>
    <n v="263.27999999999997"/>
    <n v="0"/>
    <n v="0"/>
    <n v="27.12"/>
    <n v="111.79"/>
    <n v="0"/>
    <n v="7.94"/>
    <s v="No"/>
    <n v="0"/>
    <n v="263.27999999999997"/>
    <n v="146.85"/>
    <n v="116.43"/>
    <n v="0"/>
  </r>
  <r>
    <s v="ORD-000268"/>
    <s v="C-0661"/>
    <d v="2024-08-23T00:00:00"/>
    <s v="Marketplace"/>
    <s v="Credit Card"/>
    <s v="Northeast"/>
    <n v="2"/>
    <x v="7"/>
    <n v="238.27"/>
    <n v="10"/>
    <n v="23.83"/>
    <n v="37.6"/>
    <n v="89.9"/>
    <n v="32.17"/>
    <n v="6.52"/>
    <s v="No"/>
    <n v="0"/>
    <n v="214.44"/>
    <n v="166.19"/>
    <n v="48.25"/>
    <n v="1"/>
  </r>
  <r>
    <s v="ORD-000269"/>
    <s v="C-0294"/>
    <d v="2025-09-29T00:00:00"/>
    <s v="Marketplace"/>
    <s v="Debit Card"/>
    <s v="West Coast"/>
    <n v="4"/>
    <x v="1"/>
    <n v="444.78"/>
    <n v="10"/>
    <n v="44.48"/>
    <n v="65.599999999999994"/>
    <n v="198.38"/>
    <n v="60.05"/>
    <n v="11.91"/>
    <s v="No"/>
    <n v="0"/>
    <n v="400.3"/>
    <n v="335.94"/>
    <n v="64.36"/>
    <n v="0"/>
  </r>
  <r>
    <s v="ORD-000270"/>
    <s v="C-0220"/>
    <d v="2025-03-24T00:00:00"/>
    <s v="Website"/>
    <s v="Debit Card"/>
    <s v="Southwest"/>
    <n v="1"/>
    <x v="0"/>
    <n v="135.82"/>
    <n v="0"/>
    <n v="0"/>
    <n v="5.82"/>
    <n v="43.05"/>
    <n v="0"/>
    <n v="4.24"/>
    <s v="Yes"/>
    <n v="135.82"/>
    <n v="0"/>
    <n v="53.11"/>
    <n v="-53.11"/>
    <n v="0"/>
  </r>
  <r>
    <s v="ORD-000271"/>
    <s v="C-0638"/>
    <d v="2025-04-22T00:00:00"/>
    <s v="Marketplace"/>
    <s v="Credit Card"/>
    <s v="West Coast"/>
    <n v="2"/>
    <x v="0"/>
    <n v="227.41"/>
    <n v="0"/>
    <n v="0"/>
    <n v="20.04"/>
    <n v="84.13"/>
    <n v="34.11"/>
    <n v="6.89"/>
    <s v="No"/>
    <n v="0"/>
    <n v="227.41"/>
    <n v="145.16999999999999"/>
    <n v="82.24"/>
    <n v="0"/>
  </r>
  <r>
    <s v="ORD-000272"/>
    <s v="C-0771"/>
    <d v="2025-07-29T00:00:00"/>
    <s v="Website"/>
    <s v="Credit Card"/>
    <s v="Southwest"/>
    <n v="5"/>
    <x v="5"/>
    <n v="380.79"/>
    <n v="10"/>
    <n v="38.08"/>
    <n v="43.02"/>
    <n v="134.94"/>
    <n v="0"/>
    <n v="10.24"/>
    <s v="No"/>
    <n v="0"/>
    <n v="342.71"/>
    <n v="188.2"/>
    <n v="154.51"/>
    <n v="1"/>
  </r>
  <r>
    <s v="ORD-000273"/>
    <s v="C-0514"/>
    <d v="2025-09-28T00:00:00"/>
    <s v="Website"/>
    <s v="Gift Card"/>
    <s v="Southeast"/>
    <n v="1"/>
    <x v="1"/>
    <n v="35.409999999999997"/>
    <n v="10"/>
    <n v="3.54"/>
    <n v="12.14"/>
    <n v="18.89"/>
    <n v="0"/>
    <n v="1.22"/>
    <s v="No"/>
    <n v="0"/>
    <n v="31.87"/>
    <n v="32.25"/>
    <n v="-0.38"/>
    <n v="0"/>
  </r>
  <r>
    <s v="ORD-000274"/>
    <s v="C-0749"/>
    <d v="2025-05-16T00:00:00"/>
    <s v="Social Commerce"/>
    <s v="Credit Card"/>
    <s v="Midwest"/>
    <n v="2"/>
    <x v="6"/>
    <n v="66"/>
    <n v="0"/>
    <n v="0"/>
    <n v="21.48"/>
    <n v="31.98"/>
    <n v="5.28"/>
    <n v="2.21"/>
    <s v="No"/>
    <n v="0"/>
    <n v="66"/>
    <n v="60.95"/>
    <n v="5.05"/>
    <n v="0"/>
  </r>
  <r>
    <s v="ORD-000275"/>
    <s v="C-0663"/>
    <d v="2025-06-02T00:00:00"/>
    <s v="Mobile App"/>
    <s v="Credit Card"/>
    <s v="West Coast"/>
    <n v="4"/>
    <x v="6"/>
    <n v="301.87"/>
    <n v="0"/>
    <n v="0"/>
    <n v="72.52"/>
    <n v="122.66"/>
    <n v="0"/>
    <n v="9.0500000000000007"/>
    <s v="No"/>
    <n v="0"/>
    <n v="301.87"/>
    <n v="204.23"/>
    <n v="97.64"/>
    <n v="0"/>
  </r>
  <r>
    <s v="ORD-000276"/>
    <s v="C-0359"/>
    <d v="2025-07-31T00:00:00"/>
    <s v="Mobile App"/>
    <s v="Credit Card"/>
    <s v="Midwest"/>
    <n v="2"/>
    <x v="3"/>
    <n v="129.9"/>
    <n v="15"/>
    <n v="19.48"/>
    <n v="15.8"/>
    <n v="44.45"/>
    <n v="0"/>
    <n v="3.5"/>
    <s v="Yes"/>
    <n v="110.42"/>
    <n v="0"/>
    <n v="63.75"/>
    <n v="-63.75"/>
    <n v="0"/>
  </r>
  <r>
    <s v="ORD-000277"/>
    <s v="C-0217"/>
    <d v="2025-09-12T00:00:00"/>
    <s v="Marketplace"/>
    <s v="Credit Card"/>
    <s v="Midwest"/>
    <n v="1"/>
    <x v="3"/>
    <n v="48.46"/>
    <n v="0"/>
    <n v="0"/>
    <n v="13.4"/>
    <n v="25.94"/>
    <n v="7.27"/>
    <n v="1.71"/>
    <s v="No"/>
    <n v="0"/>
    <n v="48.46"/>
    <n v="48.32"/>
    <n v="0.14000000000000001"/>
    <n v="0"/>
  </r>
  <r>
    <s v="ORD-000278"/>
    <s v="C-0109"/>
    <d v="2025-01-07T00:00:00"/>
    <s v="Website"/>
    <s v="Credit Card"/>
    <s v="Southeast"/>
    <n v="1"/>
    <x v="6"/>
    <n v="52.77"/>
    <n v="0"/>
    <n v="0"/>
    <n v="44.34"/>
    <n v="18.93"/>
    <n v="0"/>
    <n v="1.83"/>
    <s v="No"/>
    <n v="0"/>
    <n v="52.77"/>
    <n v="65.099999999999994"/>
    <n v="-12.33"/>
    <n v="1"/>
  </r>
  <r>
    <s v="ORD-000279"/>
    <s v="C-0574"/>
    <d v="2024-10-20T00:00:00"/>
    <s v="Website"/>
    <s v="PayPal"/>
    <s v="Northeast"/>
    <n v="1"/>
    <x v="6"/>
    <n v="26.5"/>
    <n v="15"/>
    <n v="3.98"/>
    <n v="5.5"/>
    <n v="8.06"/>
    <n v="0"/>
    <n v="0.95"/>
    <s v="No"/>
    <n v="0"/>
    <n v="22.52"/>
    <n v="14.51"/>
    <n v="8.01"/>
    <n v="0"/>
  </r>
  <r>
    <s v="ORD-000280"/>
    <s v="C-0077"/>
    <d v="2024-12-13T00:00:00"/>
    <s v="Marketplace"/>
    <s v="Debit Card"/>
    <s v="Northeast"/>
    <n v="3"/>
    <x v="7"/>
    <n v="109.44"/>
    <n v="5"/>
    <n v="5.47"/>
    <n v="44.08"/>
    <n v="40.44"/>
    <n v="15.6"/>
    <n v="3.32"/>
    <s v="No"/>
    <n v="0"/>
    <n v="103.97"/>
    <n v="103.44"/>
    <n v="0.53"/>
    <n v="0"/>
  </r>
  <r>
    <s v="ORD-000281"/>
    <s v="C-0213"/>
    <d v="2025-07-31T00:00:00"/>
    <s v="Mobile App"/>
    <s v="Credit Card"/>
    <s v="Midwest"/>
    <n v="2"/>
    <x v="3"/>
    <n v="72.760000000000005"/>
    <n v="0"/>
    <n v="0"/>
    <n v="17.62"/>
    <n v="29.88"/>
    <n v="0"/>
    <n v="2.41"/>
    <s v="Yes"/>
    <n v="72.760000000000005"/>
    <n v="0"/>
    <n v="49.91"/>
    <n v="-49.91"/>
    <n v="0"/>
  </r>
  <r>
    <s v="ORD-000282"/>
    <s v="C-0305"/>
    <d v="2025-05-21T00:00:00"/>
    <s v="Mobile App"/>
    <s v="Credit Card"/>
    <s v="Northeast"/>
    <n v="2"/>
    <x v="2"/>
    <n v="116.3"/>
    <n v="10"/>
    <n v="11.63"/>
    <n v="8.2799999999999994"/>
    <n v="45.44"/>
    <n v="0"/>
    <n v="3.34"/>
    <s v="No"/>
    <n v="0"/>
    <n v="104.67"/>
    <n v="57.06"/>
    <n v="47.61"/>
    <n v="0"/>
  </r>
  <r>
    <s v="ORD-000283"/>
    <s v="C-0443"/>
    <d v="2025-06-11T00:00:00"/>
    <s v="Social Commerce"/>
    <s v="Credit Card"/>
    <s v="Southeast"/>
    <n v="1"/>
    <x v="7"/>
    <n v="36.86"/>
    <n v="5"/>
    <n v="1.84"/>
    <n v="5.5"/>
    <n v="19.670000000000002"/>
    <n v="2.8"/>
    <n v="1.32"/>
    <s v="No"/>
    <n v="0"/>
    <n v="35.020000000000003"/>
    <n v="29.29"/>
    <n v="5.73"/>
    <n v="1"/>
  </r>
  <r>
    <s v="ORD-000284"/>
    <s v="C-0041"/>
    <d v="2024-05-20T00:00:00"/>
    <s v="Social Commerce"/>
    <s v="Credit Card"/>
    <s v="Southwest"/>
    <n v="5"/>
    <x v="0"/>
    <n v="876.75"/>
    <n v="10"/>
    <n v="87.67"/>
    <n v="79.14"/>
    <n v="288.27"/>
    <n v="63.13"/>
    <n v="23.18"/>
    <s v="No"/>
    <n v="0"/>
    <n v="789.08"/>
    <n v="453.72"/>
    <n v="335.36"/>
    <n v="0"/>
  </r>
  <r>
    <s v="ORD-000285"/>
    <s v="C-0440"/>
    <d v="2025-03-18T00:00:00"/>
    <s v="Social Commerce"/>
    <s v="Credit Card"/>
    <s v="Northeast"/>
    <n v="3"/>
    <x v="1"/>
    <n v="68.22"/>
    <n v="0"/>
    <n v="0"/>
    <n v="30.1"/>
    <n v="34.82"/>
    <n v="5.46"/>
    <n v="2.2799999999999998"/>
    <s v="No"/>
    <n v="0"/>
    <n v="68.22"/>
    <n v="72.66"/>
    <n v="-4.4400000000000004"/>
    <n v="0"/>
  </r>
  <r>
    <s v="ORD-000286"/>
    <s v="C-0290"/>
    <d v="2025-06-05T00:00:00"/>
    <s v="Mobile App"/>
    <s v="Gift Card"/>
    <s v="Southwest"/>
    <n v="1"/>
    <x v="0"/>
    <n v="91.57"/>
    <n v="0"/>
    <n v="0"/>
    <n v="15.5"/>
    <n v="26.92"/>
    <n v="0"/>
    <n v="2.96"/>
    <s v="No"/>
    <n v="0"/>
    <n v="91.57"/>
    <n v="45.38"/>
    <n v="46.19"/>
    <n v="0"/>
  </r>
  <r>
    <s v="ORD-000287"/>
    <s v="C-0258"/>
    <d v="2025-05-05T00:00:00"/>
    <s v="Mobile App"/>
    <s v="Gift Card"/>
    <s v="Midwest"/>
    <n v="4"/>
    <x v="5"/>
    <n v="121.12"/>
    <n v="5"/>
    <n v="6.06"/>
    <n v="49.42"/>
    <n v="59.64"/>
    <n v="0"/>
    <n v="3.64"/>
    <s v="No"/>
    <n v="0"/>
    <n v="115.06"/>
    <n v="112.7"/>
    <n v="2.36"/>
    <n v="0"/>
  </r>
  <r>
    <s v="ORD-000288"/>
    <s v="C-0190"/>
    <d v="2025-03-06T00:00:00"/>
    <s v="Social Commerce"/>
    <s v="Debit Card"/>
    <s v="West Coast"/>
    <n v="2"/>
    <x v="0"/>
    <n v="145.65"/>
    <n v="0"/>
    <n v="0"/>
    <n v="46.44"/>
    <n v="54.27"/>
    <n v="11.65"/>
    <n v="4.5199999999999996"/>
    <s v="No"/>
    <n v="0"/>
    <n v="145.65"/>
    <n v="116.88"/>
    <n v="28.77"/>
    <n v="0"/>
  </r>
  <r>
    <s v="ORD-000289"/>
    <s v="C-0624"/>
    <d v="2025-04-20T00:00:00"/>
    <s v="Website"/>
    <s v="PayPal"/>
    <s v="Southeast"/>
    <n v="1"/>
    <x v="4"/>
    <n v="147.02000000000001"/>
    <n v="10"/>
    <n v="14.7"/>
    <n v="21.08"/>
    <n v="50.04"/>
    <n v="0"/>
    <n v="4.1399999999999997"/>
    <s v="No"/>
    <n v="0"/>
    <n v="132.32"/>
    <n v="75.260000000000005"/>
    <n v="57.06"/>
    <n v="0"/>
  </r>
  <r>
    <s v="ORD-000290"/>
    <s v="C-0433"/>
    <d v="2025-07-11T00:00:00"/>
    <s v="Social Commerce"/>
    <s v="Debit Card"/>
    <s v="West Coast"/>
    <n v="1"/>
    <x v="0"/>
    <n v="24.38"/>
    <n v="25"/>
    <n v="6.09"/>
    <n v="13.9"/>
    <n v="16.190000000000001"/>
    <n v="1.46"/>
    <n v="0.83"/>
    <s v="Yes"/>
    <n v="18.29"/>
    <n v="0"/>
    <n v="32.380000000000003"/>
    <n v="-32.380000000000003"/>
    <n v="0"/>
  </r>
  <r>
    <s v="ORD-000291"/>
    <s v="C-0533"/>
    <d v="2025-07-10T00:00:00"/>
    <s v="Marketplace"/>
    <s v="Debit Card"/>
    <s v="Southeast"/>
    <n v="1"/>
    <x v="3"/>
    <n v="36.01"/>
    <n v="25"/>
    <n v="9"/>
    <n v="9.66"/>
    <n v="11.64"/>
    <n v="4.05"/>
    <n v="1.08"/>
    <s v="No"/>
    <n v="0"/>
    <n v="27.01"/>
    <n v="26.43"/>
    <n v="0.57999999999999996"/>
    <n v="0"/>
  </r>
  <r>
    <s v="ORD-000292"/>
    <s v="C-0308"/>
    <d v="2025-11-05T00:00:00"/>
    <s v="Mobile App"/>
    <s v="Credit Card"/>
    <s v="Southeast"/>
    <n v="2"/>
    <x v="1"/>
    <n v="63.92"/>
    <n v="20"/>
    <n v="12.78"/>
    <n v="31.86"/>
    <n v="24.02"/>
    <n v="0"/>
    <n v="1.78"/>
    <s v="No"/>
    <n v="0"/>
    <n v="51.14"/>
    <n v="57.66"/>
    <n v="-6.52"/>
    <n v="1"/>
  </r>
  <r>
    <s v="ORD-000293"/>
    <s v="C-0213"/>
    <d v="2025-08-26T00:00:00"/>
    <s v="Mobile App"/>
    <s v="Gift Card"/>
    <s v="Midwest"/>
    <n v="2"/>
    <x v="1"/>
    <n v="76.59"/>
    <n v="15"/>
    <n v="11.49"/>
    <n v="17.88"/>
    <n v="32.04"/>
    <n v="0"/>
    <n v="2.19"/>
    <s v="No"/>
    <n v="0"/>
    <n v="65.099999999999994"/>
    <n v="52.11"/>
    <n v="12.99"/>
    <n v="0"/>
  </r>
  <r>
    <s v="ORD-000294"/>
    <s v="C-0572"/>
    <d v="2024-11-20T00:00:00"/>
    <s v="Website"/>
    <s v="Credit Card"/>
    <s v="Northeast"/>
    <n v="1"/>
    <x v="4"/>
    <n v="63.51"/>
    <n v="15"/>
    <n v="9.5299999999999994"/>
    <n v="7.9"/>
    <n v="31.27"/>
    <n v="0"/>
    <n v="1.87"/>
    <s v="No"/>
    <n v="0"/>
    <n v="53.98"/>
    <n v="41.04"/>
    <n v="12.94"/>
    <n v="0"/>
  </r>
  <r>
    <s v="ORD-000295"/>
    <s v="C-0614"/>
    <d v="2025-02-18T00:00:00"/>
    <s v="Website"/>
    <s v="Credit Card"/>
    <s v="Northeast"/>
    <n v="1"/>
    <x v="0"/>
    <n v="20.67"/>
    <n v="20"/>
    <n v="4.13"/>
    <n v="4.3"/>
    <n v="5.96"/>
    <n v="0"/>
    <n v="0.78"/>
    <s v="No"/>
    <n v="0"/>
    <n v="16.54"/>
    <n v="11.04"/>
    <n v="5.5"/>
    <n v="0"/>
  </r>
  <r>
    <s v="ORD-000296"/>
    <s v="C-0439"/>
    <d v="2024-06-28T00:00:00"/>
    <s v="Mobile App"/>
    <s v="PayPal"/>
    <s v="Midwest"/>
    <n v="3"/>
    <x v="5"/>
    <n v="364.34"/>
    <n v="15"/>
    <n v="54.65"/>
    <n v="50.36"/>
    <n v="129.55000000000001"/>
    <n v="0"/>
    <n v="9.2799999999999994"/>
    <s v="Yes"/>
    <n v="309.69"/>
    <n v="0"/>
    <n v="189.19"/>
    <n v="-189.19"/>
    <n v="0"/>
  </r>
  <r>
    <s v="ORD-000297"/>
    <s v="C-0164"/>
    <d v="2025-05-09T00:00:00"/>
    <s v="Mobile App"/>
    <s v="Debit Card"/>
    <s v="Northeast"/>
    <n v="1"/>
    <x v="0"/>
    <n v="645.48"/>
    <n v="0"/>
    <n v="0"/>
    <n v="31.38"/>
    <n v="188.16"/>
    <n v="0"/>
    <n v="19.02"/>
    <s v="No"/>
    <n v="0"/>
    <n v="645.48"/>
    <n v="238.56"/>
    <n v="406.92"/>
    <n v="0"/>
  </r>
  <r>
    <s v="ORD-000298"/>
    <s v="C-0668"/>
    <d v="2024-11-09T00:00:00"/>
    <s v="Mobile App"/>
    <s v="Credit Card"/>
    <s v="Southeast"/>
    <n v="1"/>
    <x v="5"/>
    <n v="86.62"/>
    <n v="0"/>
    <n v="0"/>
    <n v="7.58"/>
    <n v="37.79"/>
    <n v="0"/>
    <n v="2.81"/>
    <s v="No"/>
    <n v="0"/>
    <n v="86.62"/>
    <n v="48.18"/>
    <n v="38.44"/>
    <n v="1"/>
  </r>
  <r>
    <s v="ORD-000299"/>
    <s v="C-0494"/>
    <d v="2024-05-24T00:00:00"/>
    <s v="Mobile App"/>
    <s v="Gift Card"/>
    <s v="Midwest"/>
    <n v="1"/>
    <x v="0"/>
    <n v="215.16"/>
    <n v="0"/>
    <n v="0"/>
    <n v="10.46"/>
    <n v="62.72"/>
    <n v="0"/>
    <n v="6.54"/>
    <s v="No"/>
    <n v="0"/>
    <n v="215.16"/>
    <n v="79.72"/>
    <n v="135.44"/>
    <n v="0"/>
  </r>
  <r>
    <s v="ORD-000300"/>
    <s v="C-0678"/>
    <d v="2024-12-23T00:00:00"/>
    <s v="Social Commerce"/>
    <s v="PayPal"/>
    <s v="Southeast"/>
    <n v="1"/>
    <x v="3"/>
    <n v="14.58"/>
    <n v="0"/>
    <n v="0"/>
    <n v="9.1"/>
    <n v="4.3600000000000003"/>
    <n v="1.17"/>
    <n v="0.72"/>
    <s v="No"/>
    <n v="0"/>
    <n v="14.58"/>
    <n v="15.35"/>
    <n v="-0.77"/>
    <n v="0"/>
  </r>
  <r>
    <s v="ORD-000301"/>
    <s v="C-0548"/>
    <d v="2025-04-06T00:00:00"/>
    <s v="Marketplace"/>
    <s v="PayPal"/>
    <s v="Northeast"/>
    <n v="1"/>
    <x v="4"/>
    <n v="86.75"/>
    <n v="0"/>
    <n v="0"/>
    <n v="12.94"/>
    <n v="26.86"/>
    <n v="13.01"/>
    <n v="2.82"/>
    <s v="No"/>
    <n v="0"/>
    <n v="86.75"/>
    <n v="55.63"/>
    <n v="31.12"/>
    <n v="0"/>
  </r>
  <r>
    <s v="ORD-000302"/>
    <s v="C-0224"/>
    <d v="2025-06-19T00:00:00"/>
    <s v="Mobile App"/>
    <s v="Credit Card"/>
    <s v="Midwest"/>
    <n v="3"/>
    <x v="2"/>
    <n v="238.51"/>
    <n v="15"/>
    <n v="35.78"/>
    <n v="45.9"/>
    <n v="109.21"/>
    <n v="0"/>
    <n v="6.18"/>
    <s v="No"/>
    <n v="0"/>
    <n v="202.73"/>
    <n v="161.29"/>
    <n v="41.44"/>
    <n v="0"/>
  </r>
  <r>
    <s v="ORD-000303"/>
    <s v="C-0387"/>
    <d v="2025-01-16T00:00:00"/>
    <s v="Website"/>
    <s v="Debit Card"/>
    <s v="Midwest"/>
    <n v="2"/>
    <x v="5"/>
    <n v="346.22"/>
    <n v="0"/>
    <n v="0"/>
    <n v="15.22"/>
    <n v="115.07"/>
    <n v="0"/>
    <n v="10.34"/>
    <s v="No"/>
    <n v="0"/>
    <n v="346.22"/>
    <n v="140.63"/>
    <n v="205.59"/>
    <n v="0"/>
  </r>
  <r>
    <s v="ORD-000304"/>
    <s v="C-0133"/>
    <d v="2025-11-30T00:00:00"/>
    <s v="Social Commerce"/>
    <s v="Buy Now Pay Later"/>
    <s v="Southeast"/>
    <n v="3"/>
    <x v="0"/>
    <n v="164.9"/>
    <n v="0"/>
    <n v="0"/>
    <n v="48.94"/>
    <n v="69.23"/>
    <n v="13.19"/>
    <n v="5.08"/>
    <s v="No"/>
    <n v="0"/>
    <n v="164.9"/>
    <n v="136.44"/>
    <n v="28.46"/>
    <n v="0"/>
  </r>
  <r>
    <s v="ORD-000305"/>
    <s v="C-0405"/>
    <d v="2024-08-31T00:00:00"/>
    <s v="Mobile App"/>
    <s v="Credit Card"/>
    <s v="Northeast"/>
    <n v="1"/>
    <x v="2"/>
    <n v="82.29"/>
    <n v="0"/>
    <n v="0"/>
    <n v="13.02"/>
    <n v="37.65"/>
    <n v="0"/>
    <n v="2.69"/>
    <s v="No"/>
    <n v="0"/>
    <n v="82.29"/>
    <n v="53.36"/>
    <n v="28.93"/>
    <n v="0"/>
  </r>
  <r>
    <s v="ORD-000306"/>
    <s v="C-0463"/>
    <d v="2024-07-30T00:00:00"/>
    <s v="Marketplace"/>
    <s v="Credit Card"/>
    <s v="Midwest"/>
    <n v="1"/>
    <x v="3"/>
    <n v="45.69"/>
    <n v="0"/>
    <n v="0"/>
    <n v="11.58"/>
    <n v="28.21"/>
    <n v="6.85"/>
    <n v="1.63"/>
    <s v="No"/>
    <n v="0"/>
    <n v="45.69"/>
    <n v="48.27"/>
    <n v="-2.58"/>
    <n v="0"/>
  </r>
  <r>
    <s v="ORD-000307"/>
    <s v="C-0355"/>
    <d v="2025-04-21T00:00:00"/>
    <s v="Website"/>
    <s v="Credit Card"/>
    <s v="Northeast"/>
    <n v="1"/>
    <x v="2"/>
    <n v="57.29"/>
    <n v="0"/>
    <n v="0"/>
    <n v="13.18"/>
    <n v="20.72"/>
    <n v="0"/>
    <n v="1.96"/>
    <s v="No"/>
    <n v="0"/>
    <n v="57.29"/>
    <n v="35.86"/>
    <n v="21.43"/>
    <n v="0"/>
  </r>
  <r>
    <s v="ORD-000308"/>
    <s v="C-0049"/>
    <d v="2025-06-30T00:00:00"/>
    <s v="Mobile App"/>
    <s v="Buy Now Pay Later"/>
    <s v="Midwest"/>
    <n v="2"/>
    <x v="3"/>
    <n v="123.67"/>
    <n v="0"/>
    <n v="0"/>
    <n v="25.06"/>
    <n v="47.99"/>
    <n v="0"/>
    <n v="3.89"/>
    <s v="No"/>
    <n v="0"/>
    <n v="123.67"/>
    <n v="76.94"/>
    <n v="46.73"/>
    <n v="0"/>
  </r>
  <r>
    <s v="ORD-000309"/>
    <s v="C-0183"/>
    <d v="2025-08-24T00:00:00"/>
    <s v="Website"/>
    <s v="Credit Card"/>
    <s v="West Coast"/>
    <n v="1"/>
    <x v="7"/>
    <n v="33.22"/>
    <n v="0"/>
    <n v="0"/>
    <n v="8.94"/>
    <n v="19.46"/>
    <n v="0"/>
    <n v="1.26"/>
    <s v="No"/>
    <n v="0"/>
    <n v="33.22"/>
    <n v="29.66"/>
    <n v="3.56"/>
    <n v="0"/>
  </r>
  <r>
    <s v="ORD-000310"/>
    <s v="C-0180"/>
    <d v="2024-05-07T00:00:00"/>
    <s v="Mobile App"/>
    <s v="PayPal"/>
    <s v="Southwest"/>
    <n v="3"/>
    <x v="5"/>
    <n v="143.35"/>
    <n v="0"/>
    <n v="0"/>
    <n v="42.64"/>
    <n v="72.77"/>
    <n v="0"/>
    <n v="4.46"/>
    <s v="No"/>
    <n v="0"/>
    <n v="143.35"/>
    <n v="119.87"/>
    <n v="23.48"/>
    <n v="0"/>
  </r>
  <r>
    <s v="ORD-000311"/>
    <s v="C-0379"/>
    <d v="2024-12-09T00:00:00"/>
    <s v="Website"/>
    <s v="Credit Card"/>
    <s v="Northeast"/>
    <n v="2"/>
    <x v="4"/>
    <n v="149.57"/>
    <n v="5"/>
    <n v="7.48"/>
    <n v="28.98"/>
    <n v="55.65"/>
    <n v="0"/>
    <n v="4.42"/>
    <s v="No"/>
    <n v="0"/>
    <n v="142.09"/>
    <n v="89.05"/>
    <n v="53.04"/>
    <n v="0"/>
  </r>
  <r>
    <s v="ORD-000312"/>
    <s v="C-0622"/>
    <d v="2025-08-05T00:00:00"/>
    <s v="Marketplace"/>
    <s v="Credit Card"/>
    <s v="Northeast"/>
    <n v="1"/>
    <x v="6"/>
    <n v="19.54"/>
    <n v="10"/>
    <n v="1.95"/>
    <n v="23.48"/>
    <n v="8.98"/>
    <n v="2.64"/>
    <n v="0.81"/>
    <s v="No"/>
    <n v="0"/>
    <n v="17.59"/>
    <n v="35.909999999999997"/>
    <n v="-18.32"/>
    <n v="0"/>
  </r>
  <r>
    <s v="ORD-000313"/>
    <s v="C-0166"/>
    <d v="2025-10-26T00:00:00"/>
    <s v="Website"/>
    <s v="Credit Card"/>
    <s v="Southeast"/>
    <n v="2"/>
    <x v="3"/>
    <n v="224.3"/>
    <n v="20"/>
    <n v="44.86"/>
    <n v="47.44"/>
    <n v="88.1"/>
    <n v="0"/>
    <n v="5.5"/>
    <s v="No"/>
    <n v="0"/>
    <n v="179.44"/>
    <n v="141.04"/>
    <n v="38.4"/>
    <n v="0"/>
  </r>
  <r>
    <s v="ORD-000314"/>
    <s v="C-0091"/>
    <d v="2025-03-12T00:00:00"/>
    <s v="Marketplace"/>
    <s v="Buy Now Pay Later"/>
    <s v="Midwest"/>
    <n v="1"/>
    <x v="5"/>
    <n v="23.04"/>
    <n v="5"/>
    <n v="1.1499999999999999"/>
    <n v="15.16"/>
    <n v="7.42"/>
    <n v="3.28"/>
    <n v="0.93"/>
    <s v="No"/>
    <n v="0"/>
    <n v="21.89"/>
    <n v="26.79"/>
    <n v="-4.9000000000000004"/>
    <n v="0"/>
  </r>
  <r>
    <s v="ORD-000315"/>
    <s v="C-0531"/>
    <d v="2025-10-30T00:00:00"/>
    <s v="Mobile App"/>
    <s v="PayPal"/>
    <s v="West Coast"/>
    <n v="1"/>
    <x v="5"/>
    <n v="88.71"/>
    <n v="10"/>
    <n v="8.8699999999999992"/>
    <n v="36.42"/>
    <n v="61.98"/>
    <n v="0"/>
    <n v="2.62"/>
    <s v="No"/>
    <n v="0"/>
    <n v="79.84"/>
    <n v="101.02"/>
    <n v="-21.18"/>
    <n v="0"/>
  </r>
  <r>
    <s v="ORD-000316"/>
    <s v="C-0534"/>
    <d v="2025-09-23T00:00:00"/>
    <s v="Marketplace"/>
    <s v="Debit Card"/>
    <s v="Midwest"/>
    <n v="3"/>
    <x v="1"/>
    <n v="93.07"/>
    <n v="20"/>
    <n v="18.61"/>
    <n v="63.26"/>
    <n v="46.69"/>
    <n v="11.17"/>
    <n v="2.46"/>
    <s v="No"/>
    <n v="0"/>
    <n v="74.459999999999994"/>
    <n v="123.58"/>
    <n v="-49.12"/>
    <n v="0"/>
  </r>
  <r>
    <s v="ORD-000317"/>
    <s v="C-0314"/>
    <d v="2024-11-02T00:00:00"/>
    <s v="Website"/>
    <s v="Debit Card"/>
    <s v="Southwest"/>
    <n v="1"/>
    <x v="3"/>
    <n v="165.18"/>
    <n v="10"/>
    <n v="16.52"/>
    <n v="17.46"/>
    <n v="63.24"/>
    <n v="0"/>
    <n v="4.6100000000000003"/>
    <s v="No"/>
    <n v="0"/>
    <n v="148.66"/>
    <n v="85.31"/>
    <n v="63.35"/>
    <n v="0"/>
  </r>
  <r>
    <s v="ORD-000318"/>
    <s v="C-0029"/>
    <d v="2025-10-28T00:00:00"/>
    <s v="Marketplace"/>
    <s v="Credit Card"/>
    <s v="Southeast"/>
    <n v="2"/>
    <x v="2"/>
    <n v="147.44"/>
    <n v="0"/>
    <n v="0"/>
    <n v="24.18"/>
    <n v="63.64"/>
    <n v="22.12"/>
    <n v="4.58"/>
    <s v="Yes"/>
    <n v="147.44"/>
    <n v="0"/>
    <n v="114.52"/>
    <n v="-114.52"/>
    <n v="0"/>
  </r>
  <r>
    <s v="ORD-000319"/>
    <s v="C-0224"/>
    <d v="2024-08-19T00:00:00"/>
    <s v="Mobile App"/>
    <s v="Buy Now Pay Later"/>
    <s v="Northeast"/>
    <n v="2"/>
    <x v="2"/>
    <n v="143.91999999999999"/>
    <n v="0"/>
    <n v="0"/>
    <n v="47.84"/>
    <n v="66.599999999999994"/>
    <n v="0"/>
    <n v="4.47"/>
    <s v="No"/>
    <n v="0"/>
    <n v="143.91999999999999"/>
    <n v="118.91"/>
    <n v="25.01"/>
    <n v="0"/>
  </r>
  <r>
    <s v="ORD-000320"/>
    <s v="C-0278"/>
    <d v="2025-10-08T00:00:00"/>
    <s v="Website"/>
    <s v="Debit Card"/>
    <s v="Southeast"/>
    <n v="2"/>
    <x v="2"/>
    <n v="193.76"/>
    <n v="10"/>
    <n v="19.38"/>
    <n v="30.26"/>
    <n v="77.25"/>
    <n v="0"/>
    <n v="5.36"/>
    <s v="Yes"/>
    <n v="174.38"/>
    <n v="0"/>
    <n v="112.87"/>
    <n v="-112.87"/>
    <n v="1"/>
  </r>
  <r>
    <s v="ORD-000321"/>
    <s v="C-0148"/>
    <d v="2025-10-28T00:00:00"/>
    <s v="Website"/>
    <s v="Credit Card"/>
    <s v="West Coast"/>
    <n v="2"/>
    <x v="2"/>
    <n v="80.97"/>
    <n v="10"/>
    <n v="8.1"/>
    <n v="36.18"/>
    <n v="32.14"/>
    <n v="0"/>
    <n v="2.41"/>
    <s v="Yes"/>
    <n v="72.87"/>
    <n v="0"/>
    <n v="70.73"/>
    <n v="-70.73"/>
    <n v="0"/>
  </r>
  <r>
    <s v="ORD-000322"/>
    <s v="C-0527"/>
    <d v="2025-06-06T00:00:00"/>
    <s v="Website"/>
    <s v="Gift Card"/>
    <s v="West Coast"/>
    <n v="2"/>
    <x v="4"/>
    <n v="138.02000000000001"/>
    <n v="0"/>
    <n v="0"/>
    <n v="39.119999999999997"/>
    <n v="61.24"/>
    <n v="0"/>
    <n v="4.3"/>
    <s v="No"/>
    <n v="0"/>
    <n v="138.02000000000001"/>
    <n v="104.66"/>
    <n v="33.36"/>
    <n v="1"/>
  </r>
  <r>
    <s v="ORD-000323"/>
    <s v="C-0292"/>
    <d v="2025-05-17T00:00:00"/>
    <s v="Website"/>
    <s v="PayPal"/>
    <s v="Southwest"/>
    <n v="1"/>
    <x v="1"/>
    <n v="22.22"/>
    <n v="0"/>
    <n v="0"/>
    <n v="21.88"/>
    <n v="14.62"/>
    <n v="0"/>
    <n v="0.94"/>
    <s v="No"/>
    <n v="0"/>
    <n v="22.22"/>
    <n v="37.44"/>
    <n v="-15.22"/>
    <n v="1"/>
  </r>
  <r>
    <s v="ORD-000324"/>
    <s v="C-0325"/>
    <d v="2025-05-17T00:00:00"/>
    <s v="Marketplace"/>
    <s v="Gift Card"/>
    <s v="Northeast"/>
    <n v="1"/>
    <x v="6"/>
    <n v="10.41"/>
    <n v="5"/>
    <n v="0.52"/>
    <n v="9.58"/>
    <n v="4.5599999999999996"/>
    <n v="1.48"/>
    <n v="0.59"/>
    <s v="No"/>
    <n v="0"/>
    <n v="9.89"/>
    <n v="16.21"/>
    <n v="-6.32"/>
    <n v="0"/>
  </r>
  <r>
    <s v="ORD-000325"/>
    <s v="C-0584"/>
    <d v="2025-03-04T00:00:00"/>
    <s v="Website"/>
    <s v="PayPal"/>
    <s v="West Coast"/>
    <n v="2"/>
    <x v="1"/>
    <n v="103.39"/>
    <n v="5"/>
    <n v="5.17"/>
    <n v="23.32"/>
    <n v="44.28"/>
    <n v="0"/>
    <n v="3.15"/>
    <s v="No"/>
    <n v="0"/>
    <n v="98.22"/>
    <n v="70.75"/>
    <n v="27.47"/>
    <n v="0"/>
  </r>
  <r>
    <s v="ORD-000326"/>
    <s v="C-0093"/>
    <d v="2025-07-13T00:00:00"/>
    <s v="Mobile App"/>
    <s v="Buy Now Pay Later"/>
    <s v="Southeast"/>
    <n v="1"/>
    <x v="5"/>
    <n v="19.41"/>
    <n v="20"/>
    <n v="3.88"/>
    <n v="12.7"/>
    <n v="8.4700000000000006"/>
    <n v="0"/>
    <n v="0.75"/>
    <s v="No"/>
    <n v="0"/>
    <n v="15.53"/>
    <n v="21.92"/>
    <n v="-6.39"/>
    <n v="0"/>
  </r>
  <r>
    <s v="ORD-000327"/>
    <s v="C-0341"/>
    <d v="2025-09-24T00:00:00"/>
    <s v="Website"/>
    <s v="Buy Now Pay Later"/>
    <s v="Northeast"/>
    <n v="4"/>
    <x v="2"/>
    <n v="261.10000000000002"/>
    <n v="15"/>
    <n v="39.159999999999997"/>
    <n v="83.38"/>
    <n v="103.09"/>
    <n v="0"/>
    <n v="6.74"/>
    <s v="Yes"/>
    <n v="221.94"/>
    <n v="0"/>
    <n v="193.21"/>
    <n v="-193.21"/>
    <n v="0"/>
  </r>
  <r>
    <s v="ORD-000328"/>
    <s v="C-0358"/>
    <d v="2025-11-11T00:00:00"/>
    <s v="Mobile App"/>
    <s v="PayPal"/>
    <s v="Southeast"/>
    <n v="1"/>
    <x v="7"/>
    <n v="21.94"/>
    <n v="0"/>
    <n v="0"/>
    <n v="29.72"/>
    <n v="8.2799999999999994"/>
    <n v="0"/>
    <n v="0.94"/>
    <s v="No"/>
    <n v="0"/>
    <n v="21.94"/>
    <n v="38.94"/>
    <n v="-17"/>
    <n v="0"/>
  </r>
  <r>
    <s v="ORD-000329"/>
    <s v="C-0126"/>
    <d v="2025-04-02T00:00:00"/>
    <s v="Website"/>
    <s v="Debit Card"/>
    <s v="West Coast"/>
    <n v="1"/>
    <x v="7"/>
    <n v="58.8"/>
    <n v="0"/>
    <n v="0"/>
    <n v="12.44"/>
    <n v="22.82"/>
    <n v="0"/>
    <n v="2.0099999999999998"/>
    <s v="No"/>
    <n v="0"/>
    <n v="58.8"/>
    <n v="37.270000000000003"/>
    <n v="21.53"/>
    <n v="1"/>
  </r>
  <r>
    <s v="ORD-000330"/>
    <s v="C-0303"/>
    <d v="2025-10-18T00:00:00"/>
    <s v="Mobile App"/>
    <s v="Buy Now Pay Later"/>
    <s v="Southwest"/>
    <n v="1"/>
    <x v="0"/>
    <n v="51.28"/>
    <n v="0"/>
    <n v="0"/>
    <n v="12.38"/>
    <n v="21.44"/>
    <n v="0"/>
    <n v="1.79"/>
    <s v="Yes"/>
    <n v="51.28"/>
    <n v="0"/>
    <n v="35.61"/>
    <n v="-35.61"/>
    <n v="0"/>
  </r>
  <r>
    <s v="ORD-000331"/>
    <s v="C-0265"/>
    <d v="2025-07-08T00:00:00"/>
    <s v="Marketplace"/>
    <s v="Credit Card"/>
    <s v="Southwest"/>
    <n v="3"/>
    <x v="7"/>
    <n v="185.59"/>
    <n v="10"/>
    <n v="18.559999999999999"/>
    <n v="30.32"/>
    <n v="86.55"/>
    <n v="25.05"/>
    <n v="5.14"/>
    <s v="No"/>
    <n v="0"/>
    <n v="167.03"/>
    <n v="147.06"/>
    <n v="19.97"/>
    <n v="0"/>
  </r>
  <r>
    <s v="ORD-000332"/>
    <s v="C-0040"/>
    <d v="2025-10-10T00:00:00"/>
    <s v="Social Commerce"/>
    <s v="Debit Card"/>
    <s v="Midwest"/>
    <n v="1"/>
    <x v="2"/>
    <n v="11.84"/>
    <n v="20"/>
    <n v="2.37"/>
    <n v="11.5"/>
    <n v="5.71"/>
    <n v="0.76"/>
    <n v="0.56999999999999995"/>
    <s v="No"/>
    <n v="0"/>
    <n v="9.4700000000000006"/>
    <n v="18.54"/>
    <n v="-9.07"/>
    <n v="1"/>
  </r>
  <r>
    <s v="ORD-000333"/>
    <s v="C-0697"/>
    <d v="2025-05-09T00:00:00"/>
    <s v="Website"/>
    <s v="Credit Card"/>
    <s v="Midwest"/>
    <n v="3"/>
    <x v="5"/>
    <n v="537.82000000000005"/>
    <n v="10"/>
    <n v="53.78"/>
    <n v="61.02"/>
    <n v="171.57"/>
    <n v="0"/>
    <n v="14.34"/>
    <s v="No"/>
    <n v="0"/>
    <n v="484.04"/>
    <n v="246.93"/>
    <n v="237.11"/>
    <n v="0"/>
  </r>
  <r>
    <s v="ORD-000334"/>
    <s v="C-0427"/>
    <d v="2025-03-31T00:00:00"/>
    <s v="Website"/>
    <s v="Buy Now Pay Later"/>
    <s v="West Coast"/>
    <n v="3"/>
    <x v="4"/>
    <n v="123.32"/>
    <n v="0"/>
    <n v="0"/>
    <n v="35.94"/>
    <n v="42.41"/>
    <n v="0"/>
    <n v="3.88"/>
    <s v="No"/>
    <n v="0"/>
    <n v="123.32"/>
    <n v="82.23"/>
    <n v="41.09"/>
    <n v="0"/>
  </r>
  <r>
    <s v="ORD-000335"/>
    <s v="C-0502"/>
    <d v="2025-03-16T00:00:00"/>
    <s v="Mobile App"/>
    <s v="Buy Now Pay Later"/>
    <s v="Northeast"/>
    <n v="3"/>
    <x v="6"/>
    <n v="237.48"/>
    <n v="0"/>
    <n v="0"/>
    <n v="56.52"/>
    <n v="112.36"/>
    <n v="0"/>
    <n v="7.19"/>
    <s v="No"/>
    <n v="0"/>
    <n v="237.48"/>
    <n v="176.07"/>
    <n v="61.41"/>
    <n v="0"/>
  </r>
  <r>
    <s v="ORD-000336"/>
    <s v="C-0799"/>
    <d v="2024-03-29T00:00:00"/>
    <s v="Website"/>
    <s v="PayPal"/>
    <s v="Northeast"/>
    <n v="3"/>
    <x v="4"/>
    <n v="55.16"/>
    <n v="5"/>
    <n v="2.76"/>
    <n v="22.66"/>
    <n v="23.87"/>
    <n v="0"/>
    <n v="1.82"/>
    <s v="No"/>
    <n v="0"/>
    <n v="52.4"/>
    <n v="48.35"/>
    <n v="4.05"/>
    <n v="0"/>
  </r>
  <r>
    <s v="ORD-000337"/>
    <s v="C-0439"/>
    <d v="2025-09-08T00:00:00"/>
    <s v="Social Commerce"/>
    <s v="Credit Card"/>
    <s v="Southeast"/>
    <n v="1"/>
    <x v="0"/>
    <n v="84.5"/>
    <n v="0"/>
    <n v="0"/>
    <n v="27.16"/>
    <n v="45.9"/>
    <n v="6.76"/>
    <n v="2.75"/>
    <s v="No"/>
    <n v="0"/>
    <n v="84.5"/>
    <n v="82.57"/>
    <n v="1.93"/>
    <n v="0"/>
  </r>
  <r>
    <s v="ORD-000338"/>
    <s v="C-0323"/>
    <d v="2025-04-07T00:00:00"/>
    <s v="Marketplace"/>
    <s v="Credit Card"/>
    <s v="Midwest"/>
    <n v="2"/>
    <x v="5"/>
    <n v="205.45"/>
    <n v="0"/>
    <n v="0"/>
    <n v="27.62"/>
    <n v="99.39"/>
    <n v="30.82"/>
    <n v="6.26"/>
    <s v="No"/>
    <n v="0"/>
    <n v="205.45"/>
    <n v="164.09"/>
    <n v="41.36"/>
    <n v="0"/>
  </r>
  <r>
    <s v="ORD-000339"/>
    <s v="C-0496"/>
    <d v="2025-05-01T00:00:00"/>
    <s v="Website"/>
    <s v="PayPal"/>
    <s v="Northeast"/>
    <n v="2"/>
    <x v="6"/>
    <n v="60.36"/>
    <n v="5"/>
    <n v="3.02"/>
    <n v="21.14"/>
    <n v="20.6"/>
    <n v="0"/>
    <n v="1.96"/>
    <s v="No"/>
    <n v="0"/>
    <n v="57.34"/>
    <n v="43.7"/>
    <n v="13.64"/>
    <n v="0"/>
  </r>
  <r>
    <s v="ORD-000340"/>
    <s v="C-0371"/>
    <d v="2025-06-26T00:00:00"/>
    <s v="Social Commerce"/>
    <s v="PayPal"/>
    <s v="Midwest"/>
    <n v="2"/>
    <x v="3"/>
    <n v="126.57"/>
    <n v="20"/>
    <n v="25.31"/>
    <n v="28.18"/>
    <n v="68.13"/>
    <n v="8.1"/>
    <n v="3.24"/>
    <s v="No"/>
    <n v="0"/>
    <n v="101.26"/>
    <n v="107.65"/>
    <n v="-6.39"/>
    <n v="0"/>
  </r>
  <r>
    <s v="ORD-000341"/>
    <s v="C-0510"/>
    <d v="2024-11-11T00:00:00"/>
    <s v="Social Commerce"/>
    <s v="Credit Card"/>
    <s v="Southwest"/>
    <n v="1"/>
    <x v="4"/>
    <n v="63.94"/>
    <n v="0"/>
    <n v="0"/>
    <n v="8.4600000000000009"/>
    <n v="20.51"/>
    <n v="5.12"/>
    <n v="2.15"/>
    <s v="No"/>
    <n v="0"/>
    <n v="63.94"/>
    <n v="36.24"/>
    <n v="27.7"/>
    <n v="0"/>
  </r>
  <r>
    <s v="ORD-000342"/>
    <s v="C-0531"/>
    <d v="2025-05-25T00:00:00"/>
    <s v="Marketplace"/>
    <s v="PayPal"/>
    <s v="Southwest"/>
    <n v="1"/>
    <x v="1"/>
    <n v="63.78"/>
    <n v="10"/>
    <n v="6.38"/>
    <n v="3.9"/>
    <n v="23.51"/>
    <n v="8.61"/>
    <n v="1.96"/>
    <s v="No"/>
    <n v="0"/>
    <n v="57.4"/>
    <n v="37.979999999999997"/>
    <n v="19.420000000000002"/>
    <n v="0"/>
  </r>
  <r>
    <s v="ORD-000343"/>
    <s v="C-0501"/>
    <d v="2025-01-19T00:00:00"/>
    <s v="Social Commerce"/>
    <s v="PayPal"/>
    <s v="Northeast"/>
    <n v="1"/>
    <x v="5"/>
    <n v="36.880000000000003"/>
    <n v="10"/>
    <n v="3.69"/>
    <n v="9.24"/>
    <n v="11.28"/>
    <n v="2.66"/>
    <n v="1.26"/>
    <s v="No"/>
    <n v="0"/>
    <n v="33.19"/>
    <n v="24.44"/>
    <n v="8.75"/>
    <n v="0"/>
  </r>
  <r>
    <s v="ORD-000344"/>
    <s v="C-0449"/>
    <d v="2024-09-01T00:00:00"/>
    <s v="Marketplace"/>
    <s v="PayPal"/>
    <s v="Southwest"/>
    <n v="2"/>
    <x v="6"/>
    <n v="288.95999999999998"/>
    <n v="5"/>
    <n v="14.45"/>
    <n v="46.38"/>
    <n v="92.48"/>
    <n v="41.18"/>
    <n v="8.26"/>
    <s v="Yes"/>
    <n v="274.51"/>
    <n v="0"/>
    <n v="188.3"/>
    <n v="-188.3"/>
    <n v="0"/>
  </r>
  <r>
    <s v="ORD-000345"/>
    <s v="C-0362"/>
    <d v="2025-05-02T00:00:00"/>
    <s v="Mobile App"/>
    <s v="PayPal"/>
    <s v="Northeast"/>
    <n v="1"/>
    <x v="7"/>
    <n v="26.25"/>
    <n v="0"/>
    <n v="0"/>
    <n v="7.18"/>
    <n v="10.78"/>
    <n v="0"/>
    <n v="1.06"/>
    <s v="No"/>
    <n v="0"/>
    <n v="26.25"/>
    <n v="19.02"/>
    <n v="7.23"/>
    <n v="0"/>
  </r>
  <r>
    <s v="ORD-000346"/>
    <s v="C-0049"/>
    <d v="2025-10-29T00:00:00"/>
    <s v="Social Commerce"/>
    <s v="Credit Card"/>
    <s v="West Coast"/>
    <n v="2"/>
    <x v="1"/>
    <n v="87.02"/>
    <n v="25"/>
    <n v="21.76"/>
    <n v="36.42"/>
    <n v="35.880000000000003"/>
    <n v="5.22"/>
    <n v="2.19"/>
    <s v="No"/>
    <n v="0"/>
    <n v="65.260000000000005"/>
    <n v="79.709999999999994"/>
    <n v="-14.45"/>
    <n v="1"/>
  </r>
  <r>
    <s v="ORD-000347"/>
    <s v="C-0603"/>
    <d v="2025-09-28T00:00:00"/>
    <s v="Marketplace"/>
    <s v="Credit Card"/>
    <s v="Southwest"/>
    <n v="2"/>
    <x v="0"/>
    <n v="765.26"/>
    <n v="10"/>
    <n v="76.53"/>
    <n v="42.64"/>
    <n v="239.76"/>
    <n v="103.31"/>
    <n v="20.27"/>
    <s v="No"/>
    <n v="0"/>
    <n v="688.73"/>
    <n v="405.98"/>
    <n v="282.75"/>
    <n v="0"/>
  </r>
  <r>
    <s v="ORD-000348"/>
    <s v="C-0019"/>
    <d v="2024-10-10T00:00:00"/>
    <s v="Marketplace"/>
    <s v="Credit Card"/>
    <s v="Northeast"/>
    <n v="1"/>
    <x v="7"/>
    <n v="28.43"/>
    <n v="0"/>
    <n v="0"/>
    <n v="3.74"/>
    <n v="16.12"/>
    <n v="4.26"/>
    <n v="1.1200000000000001"/>
    <s v="No"/>
    <n v="0"/>
    <n v="28.43"/>
    <n v="25.24"/>
    <n v="3.19"/>
    <n v="0"/>
  </r>
  <r>
    <s v="ORD-000349"/>
    <s v="C-0745"/>
    <d v="2024-12-05T00:00:00"/>
    <s v="Website"/>
    <s v="Buy Now Pay Later"/>
    <s v="Midwest"/>
    <n v="4"/>
    <x v="2"/>
    <n v="240.47"/>
    <n v="20"/>
    <n v="48.09"/>
    <n v="73.959999999999994"/>
    <n v="142.13"/>
    <n v="0"/>
    <n v="5.88"/>
    <s v="No"/>
    <n v="0"/>
    <n v="192.38"/>
    <n v="221.97"/>
    <n v="-29.59"/>
    <n v="0"/>
  </r>
  <r>
    <s v="ORD-000350"/>
    <s v="C-0797"/>
    <d v="2025-08-30T00:00:00"/>
    <s v="Website"/>
    <s v="Buy Now Pay Later"/>
    <s v="Midwest"/>
    <n v="2"/>
    <x v="4"/>
    <n v="160.93"/>
    <n v="15"/>
    <n v="24.14"/>
    <n v="16.920000000000002"/>
    <n v="80.11"/>
    <n v="0"/>
    <n v="4.2699999999999996"/>
    <s v="No"/>
    <n v="0"/>
    <n v="136.79"/>
    <n v="101.3"/>
    <n v="35.49"/>
    <n v="0"/>
  </r>
  <r>
    <s v="ORD-000351"/>
    <s v="C-0225"/>
    <d v="2025-08-27T00:00:00"/>
    <s v="Social Commerce"/>
    <s v="Credit Card"/>
    <s v="Southeast"/>
    <n v="1"/>
    <x v="6"/>
    <n v="79.5"/>
    <n v="10"/>
    <n v="7.95"/>
    <n v="16.5"/>
    <n v="24.18"/>
    <n v="5.72"/>
    <n v="2.37"/>
    <s v="No"/>
    <n v="0"/>
    <n v="71.55"/>
    <n v="48.77"/>
    <n v="22.78"/>
    <n v="0"/>
  </r>
  <r>
    <s v="ORD-000352"/>
    <s v="C-0017"/>
    <d v="2025-05-26T00:00:00"/>
    <s v="Website"/>
    <s v="Credit Card"/>
    <s v="Southeast"/>
    <n v="1"/>
    <x v="2"/>
    <n v="10.050000000000001"/>
    <n v="25"/>
    <n v="2.5099999999999998"/>
    <n v="9.18"/>
    <n v="6.91"/>
    <n v="0"/>
    <n v="0.52"/>
    <s v="No"/>
    <n v="0"/>
    <n v="7.54"/>
    <n v="16.61"/>
    <n v="-9.07"/>
    <n v="0"/>
  </r>
  <r>
    <s v="ORD-000353"/>
    <s v="C-0128"/>
    <d v="2025-08-02T00:00:00"/>
    <s v="Website"/>
    <s v="PayPal"/>
    <s v="Southeast"/>
    <n v="2"/>
    <x v="7"/>
    <n v="113"/>
    <n v="0"/>
    <n v="0"/>
    <n v="20.12"/>
    <n v="37.64"/>
    <n v="0"/>
    <n v="3.58"/>
    <s v="No"/>
    <n v="0"/>
    <n v="113"/>
    <n v="61.34"/>
    <n v="51.66"/>
    <n v="0"/>
  </r>
  <r>
    <s v="ORD-000354"/>
    <s v="C-0346"/>
    <d v="2025-01-07T00:00:00"/>
    <s v="Website"/>
    <s v="Credit Card"/>
    <s v="West Coast"/>
    <n v="2"/>
    <x v="0"/>
    <n v="113.16"/>
    <n v="0"/>
    <n v="0"/>
    <n v="24.68"/>
    <n v="56.09"/>
    <n v="0"/>
    <n v="3.58"/>
    <s v="No"/>
    <n v="0"/>
    <n v="113.16"/>
    <n v="84.35"/>
    <n v="28.81"/>
    <n v="0"/>
  </r>
  <r>
    <s v="ORD-000355"/>
    <s v="C-0177"/>
    <d v="2025-03-23T00:00:00"/>
    <s v="Website"/>
    <s v="Buy Now Pay Later"/>
    <s v="Midwest"/>
    <n v="1"/>
    <x v="3"/>
    <n v="70.38"/>
    <n v="0"/>
    <n v="0"/>
    <n v="10.039999999999999"/>
    <n v="23.42"/>
    <n v="0"/>
    <n v="2.34"/>
    <s v="No"/>
    <n v="0"/>
    <n v="70.38"/>
    <n v="35.799999999999997"/>
    <n v="34.58"/>
    <n v="0"/>
  </r>
  <r>
    <s v="ORD-000356"/>
    <s v="C-0591"/>
    <d v="2025-08-28T00:00:00"/>
    <s v="Mobile App"/>
    <s v="Credit Card"/>
    <s v="West Coast"/>
    <n v="2"/>
    <x v="7"/>
    <n v="71.66"/>
    <n v="0"/>
    <n v="0"/>
    <n v="20.36"/>
    <n v="31.01"/>
    <n v="0"/>
    <n v="2.38"/>
    <s v="No"/>
    <n v="0"/>
    <n v="71.66"/>
    <n v="53.75"/>
    <n v="17.91"/>
    <n v="0"/>
  </r>
  <r>
    <s v="ORD-000357"/>
    <s v="C-0049"/>
    <d v="2024-08-25T00:00:00"/>
    <s v="Website"/>
    <s v="Debit Card"/>
    <s v="Southeast"/>
    <n v="1"/>
    <x v="2"/>
    <n v="105.08"/>
    <n v="0"/>
    <n v="0"/>
    <n v="11.64"/>
    <n v="61.16"/>
    <n v="0"/>
    <n v="3.35"/>
    <s v="No"/>
    <n v="0"/>
    <n v="105.08"/>
    <n v="76.150000000000006"/>
    <n v="28.93"/>
    <n v="0"/>
  </r>
  <r>
    <s v="ORD-000358"/>
    <s v="C-0669"/>
    <d v="2025-12-06T00:00:00"/>
    <s v="Website"/>
    <s v="Credit Card"/>
    <s v="Southwest"/>
    <n v="1"/>
    <x v="7"/>
    <n v="104.73"/>
    <n v="10"/>
    <n v="10.47"/>
    <n v="14.94"/>
    <n v="34.15"/>
    <n v="0"/>
    <n v="3.03"/>
    <s v="Yes"/>
    <n v="94.26"/>
    <n v="0"/>
    <n v="52.12"/>
    <n v="-52.12"/>
    <n v="0"/>
  </r>
  <r>
    <s v="ORD-000359"/>
    <s v="C-0057"/>
    <d v="2025-05-20T00:00:00"/>
    <s v="Website"/>
    <s v="Credit Card"/>
    <s v="Southwest"/>
    <n v="2"/>
    <x v="5"/>
    <n v="73"/>
    <n v="0"/>
    <n v="0"/>
    <n v="22.84"/>
    <n v="28.29"/>
    <n v="0"/>
    <n v="2.42"/>
    <s v="No"/>
    <n v="0"/>
    <n v="73"/>
    <n v="53.55"/>
    <n v="19.45"/>
    <n v="0"/>
  </r>
  <r>
    <s v="ORD-000360"/>
    <s v="C-0572"/>
    <d v="2024-09-24T00:00:00"/>
    <s v="Marketplace"/>
    <s v="Gift Card"/>
    <s v="Northeast"/>
    <n v="1"/>
    <x v="2"/>
    <n v="20.100000000000001"/>
    <n v="10"/>
    <n v="2.0099999999999998"/>
    <n v="18.36"/>
    <n v="13.82"/>
    <n v="2.71"/>
    <n v="0.82"/>
    <s v="No"/>
    <n v="0"/>
    <n v="18.09"/>
    <n v="35.71"/>
    <n v="-17.62"/>
    <n v="1"/>
  </r>
  <r>
    <s v="ORD-000361"/>
    <s v="C-0476"/>
    <d v="2024-08-27T00:00:00"/>
    <s v="Marketplace"/>
    <s v="Credit Card"/>
    <s v="Midwest"/>
    <n v="2"/>
    <x v="3"/>
    <n v="281.99"/>
    <n v="0"/>
    <n v="0"/>
    <n v="38.159999999999997"/>
    <n v="125.93"/>
    <n v="42.3"/>
    <n v="8.48"/>
    <s v="No"/>
    <n v="0"/>
    <n v="281.99"/>
    <n v="214.87"/>
    <n v="67.12"/>
    <n v="0"/>
  </r>
  <r>
    <s v="ORD-000362"/>
    <s v="C-0581"/>
    <d v="2025-07-03T00:00:00"/>
    <s v="Website"/>
    <s v="Buy Now Pay Later"/>
    <s v="Midwest"/>
    <n v="1"/>
    <x v="6"/>
    <n v="9.94"/>
    <n v="10"/>
    <n v="0.99"/>
    <n v="7.34"/>
    <n v="6.71"/>
    <n v="0"/>
    <n v="0.56000000000000005"/>
    <s v="No"/>
    <n v="0"/>
    <n v="8.9499999999999993"/>
    <n v="14.61"/>
    <n v="-5.66"/>
    <n v="0"/>
  </r>
  <r>
    <s v="ORD-000363"/>
    <s v="C-0507"/>
    <d v="2025-07-27T00:00:00"/>
    <s v="Mobile App"/>
    <s v="Credit Card"/>
    <s v="Southwest"/>
    <n v="2"/>
    <x v="5"/>
    <n v="276.94"/>
    <n v="10"/>
    <n v="27.69"/>
    <n v="46.08"/>
    <n v="148.56"/>
    <n v="0"/>
    <n v="7.53"/>
    <s v="No"/>
    <n v="0"/>
    <n v="249.25"/>
    <n v="202.17"/>
    <n v="47.08"/>
    <n v="0"/>
  </r>
  <r>
    <s v="ORD-000364"/>
    <s v="C-0426"/>
    <d v="2025-06-15T00:00:00"/>
    <s v="Website"/>
    <s v="PayPal"/>
    <s v="Southwest"/>
    <n v="4"/>
    <x v="7"/>
    <n v="298.27"/>
    <n v="0"/>
    <n v="0"/>
    <n v="42.7"/>
    <n v="115.01"/>
    <n v="0"/>
    <n v="8.9499999999999993"/>
    <s v="No"/>
    <n v="0"/>
    <n v="298.27"/>
    <n v="166.66"/>
    <n v="131.61000000000001"/>
    <n v="0"/>
  </r>
  <r>
    <s v="ORD-000365"/>
    <s v="C-0409"/>
    <d v="2025-11-27T00:00:00"/>
    <s v="Website"/>
    <s v="Gift Card"/>
    <s v="Northeast"/>
    <n v="1"/>
    <x v="7"/>
    <n v="62.18"/>
    <n v="5"/>
    <n v="3.11"/>
    <n v="6.06"/>
    <n v="26.96"/>
    <n v="0"/>
    <n v="2.0099999999999998"/>
    <s v="No"/>
    <n v="0"/>
    <n v="59.07"/>
    <n v="35.03"/>
    <n v="24.04"/>
    <n v="0"/>
  </r>
  <r>
    <s v="ORD-000366"/>
    <s v="C-0467"/>
    <d v="2025-08-25T00:00:00"/>
    <s v="Website"/>
    <s v="Credit Card"/>
    <s v="West Coast"/>
    <n v="1"/>
    <x v="1"/>
    <n v="122.88"/>
    <n v="5"/>
    <n v="6.14"/>
    <n v="24.12"/>
    <n v="39.6"/>
    <n v="0"/>
    <n v="3.69"/>
    <s v="No"/>
    <n v="0"/>
    <n v="116.74"/>
    <n v="67.41"/>
    <n v="49.33"/>
    <n v="0"/>
  </r>
  <r>
    <s v="ORD-000367"/>
    <s v="C-0489"/>
    <d v="2025-05-08T00:00:00"/>
    <s v="Marketplace"/>
    <s v="Buy Now Pay Later"/>
    <s v="Southeast"/>
    <n v="1"/>
    <x v="3"/>
    <n v="103.35"/>
    <n v="5"/>
    <n v="5.17"/>
    <n v="5.0199999999999996"/>
    <n v="30.95"/>
    <n v="14.73"/>
    <n v="3.15"/>
    <s v="No"/>
    <n v="0"/>
    <n v="98.18"/>
    <n v="53.85"/>
    <n v="44.33"/>
    <n v="0"/>
  </r>
  <r>
    <s v="ORD-000368"/>
    <s v="C-0491"/>
    <d v="2025-06-30T00:00:00"/>
    <s v="Website"/>
    <s v="Gift Card"/>
    <s v="Southeast"/>
    <n v="1"/>
    <x v="0"/>
    <n v="268.26"/>
    <n v="10"/>
    <n v="26.83"/>
    <n v="32.340000000000003"/>
    <n v="108.9"/>
    <n v="0"/>
    <n v="7.3"/>
    <s v="No"/>
    <n v="0"/>
    <n v="241.43"/>
    <n v="148.54"/>
    <n v="92.89"/>
    <n v="0"/>
  </r>
  <r>
    <s v="ORD-000369"/>
    <s v="C-0689"/>
    <d v="2024-07-30T00:00:00"/>
    <s v="Mobile App"/>
    <s v="Credit Card"/>
    <s v="West Coast"/>
    <n v="3"/>
    <x v="2"/>
    <n v="33.799999999999997"/>
    <n v="25"/>
    <n v="8.4499999999999993"/>
    <n v="35.299999999999997"/>
    <n v="14.05"/>
    <n v="0"/>
    <n v="1.04"/>
    <s v="No"/>
    <n v="0"/>
    <n v="25.35"/>
    <n v="50.39"/>
    <n v="-25.04"/>
    <n v="0"/>
  </r>
  <r>
    <s v="ORD-000370"/>
    <s v="C-0247"/>
    <d v="2025-07-10T00:00:00"/>
    <s v="Website"/>
    <s v="Credit Card"/>
    <s v="Northeast"/>
    <n v="2"/>
    <x v="6"/>
    <n v="106.21"/>
    <n v="0"/>
    <n v="0"/>
    <n v="14.98"/>
    <n v="52.51"/>
    <n v="0"/>
    <n v="3.38"/>
    <s v="No"/>
    <n v="0"/>
    <n v="106.21"/>
    <n v="70.87"/>
    <n v="35.340000000000003"/>
    <n v="0"/>
  </r>
  <r>
    <s v="ORD-000371"/>
    <s v="C-0732"/>
    <d v="2024-05-22T00:00:00"/>
    <s v="Marketplace"/>
    <s v="Debit Card"/>
    <s v="Midwest"/>
    <n v="1"/>
    <x v="1"/>
    <n v="47.32"/>
    <n v="10"/>
    <n v="4.7300000000000004"/>
    <n v="9.1"/>
    <n v="20.94"/>
    <n v="6.39"/>
    <n v="1.54"/>
    <s v="No"/>
    <n v="0"/>
    <n v="42.59"/>
    <n v="37.97"/>
    <n v="4.62"/>
    <n v="0"/>
  </r>
  <r>
    <s v="ORD-000372"/>
    <s v="C-0341"/>
    <d v="2024-12-11T00:00:00"/>
    <s v="Marketplace"/>
    <s v="Credit Card"/>
    <s v="Midwest"/>
    <n v="3"/>
    <x v="7"/>
    <n v="247.64"/>
    <n v="5"/>
    <n v="12.38"/>
    <n v="46.6"/>
    <n v="125.24"/>
    <n v="35.29"/>
    <n v="7.12"/>
    <s v="No"/>
    <n v="0"/>
    <n v="235.26"/>
    <n v="214.25"/>
    <n v="21.01"/>
    <n v="0"/>
  </r>
  <r>
    <s v="ORD-000373"/>
    <s v="C-0640"/>
    <d v="2025-11-24T00:00:00"/>
    <s v="Mobile App"/>
    <s v="PayPal"/>
    <s v="Midwest"/>
    <n v="1"/>
    <x v="1"/>
    <n v="24.02"/>
    <n v="20"/>
    <n v="4.8"/>
    <n v="3.98"/>
    <n v="10.75"/>
    <n v="0"/>
    <n v="0.86"/>
    <s v="No"/>
    <n v="0"/>
    <n v="19.22"/>
    <n v="15.59"/>
    <n v="3.63"/>
    <n v="0"/>
  </r>
  <r>
    <s v="ORD-000374"/>
    <s v="C-0738"/>
    <d v="2025-07-06T00:00:00"/>
    <s v="Marketplace"/>
    <s v="Buy Now Pay Later"/>
    <s v="West Coast"/>
    <n v="3"/>
    <x v="2"/>
    <n v="125.82"/>
    <n v="0"/>
    <n v="0"/>
    <n v="33.299999999999997"/>
    <n v="54.56"/>
    <n v="18.87"/>
    <n v="3.95"/>
    <s v="No"/>
    <n v="0"/>
    <n v="125.82"/>
    <n v="110.68"/>
    <n v="15.14"/>
    <n v="0"/>
  </r>
  <r>
    <s v="ORD-000375"/>
    <s v="C-0625"/>
    <d v="2025-06-24T00:00:00"/>
    <s v="Marketplace"/>
    <s v="Debit Card"/>
    <s v="Northeast"/>
    <n v="1"/>
    <x v="0"/>
    <n v="24.38"/>
    <n v="20"/>
    <n v="4.88"/>
    <n v="13.9"/>
    <n v="16.190000000000001"/>
    <n v="2.92"/>
    <n v="0.87"/>
    <s v="Yes"/>
    <n v="19.5"/>
    <n v="0"/>
    <n v="33.880000000000003"/>
    <n v="-33.880000000000003"/>
    <n v="0"/>
  </r>
  <r>
    <s v="ORD-000376"/>
    <s v="C-0094"/>
    <d v="2025-07-28T00:00:00"/>
    <s v="Website"/>
    <s v="Gift Card"/>
    <s v="West Coast"/>
    <n v="1"/>
    <x v="6"/>
    <n v="23.2"/>
    <n v="10"/>
    <n v="2.3199999999999998"/>
    <n v="7.98"/>
    <n v="6.77"/>
    <n v="0"/>
    <n v="0.91"/>
    <s v="No"/>
    <n v="0"/>
    <n v="20.88"/>
    <n v="15.66"/>
    <n v="5.22"/>
    <n v="0"/>
  </r>
  <r>
    <s v="ORD-000377"/>
    <s v="C-0429"/>
    <d v="2025-04-28T00:00:00"/>
    <s v="Website"/>
    <s v="Credit Card"/>
    <s v="Southeast"/>
    <n v="4"/>
    <x v="3"/>
    <n v="173.72"/>
    <n v="10"/>
    <n v="17.37"/>
    <n v="52.16"/>
    <n v="66.81"/>
    <n v="0"/>
    <n v="4.83"/>
    <s v="No"/>
    <n v="0"/>
    <n v="156.35"/>
    <n v="123.8"/>
    <n v="32.549999999999997"/>
    <n v="1"/>
  </r>
  <r>
    <s v="ORD-000378"/>
    <s v="C-0118"/>
    <d v="2025-08-03T00:00:00"/>
    <s v="Mobile App"/>
    <s v="Gift Card"/>
    <s v="West Coast"/>
    <n v="4"/>
    <x v="7"/>
    <n v="338.66"/>
    <n v="15"/>
    <n v="50.8"/>
    <n v="44.94"/>
    <n v="157.1"/>
    <n v="0"/>
    <n v="8.65"/>
    <s v="No"/>
    <n v="0"/>
    <n v="287.86"/>
    <n v="210.69"/>
    <n v="77.17"/>
    <n v="0"/>
  </r>
  <r>
    <s v="ORD-000379"/>
    <s v="C-0636"/>
    <d v="2025-04-30T00:00:00"/>
    <s v="Marketplace"/>
    <s v="Buy Now Pay Later"/>
    <s v="Midwest"/>
    <n v="1"/>
    <x v="1"/>
    <n v="106.23"/>
    <n v="20"/>
    <n v="21.25"/>
    <n v="36.42"/>
    <n v="56.67"/>
    <n v="12.75"/>
    <n v="2.76"/>
    <s v="No"/>
    <n v="0"/>
    <n v="84.98"/>
    <n v="108.6"/>
    <n v="-23.62"/>
    <n v="0"/>
  </r>
  <r>
    <s v="ORD-000380"/>
    <s v="C-0546"/>
    <d v="2025-05-24T00:00:00"/>
    <s v="Website"/>
    <s v="PayPal"/>
    <s v="West Coast"/>
    <n v="3"/>
    <x v="1"/>
    <n v="145.91999999999999"/>
    <n v="15"/>
    <n v="21.89"/>
    <n v="28.72"/>
    <n v="71.06"/>
    <n v="0"/>
    <n v="3.9"/>
    <s v="No"/>
    <n v="0"/>
    <n v="124.03"/>
    <n v="103.68"/>
    <n v="20.350000000000001"/>
    <n v="0"/>
  </r>
  <r>
    <s v="ORD-000381"/>
    <s v="C-0433"/>
    <d v="2025-07-05T00:00:00"/>
    <s v="Mobile App"/>
    <s v="Gift Card"/>
    <s v="Southwest"/>
    <n v="5"/>
    <x v="4"/>
    <n v="449.88"/>
    <n v="0"/>
    <n v="0"/>
    <n v="66.48"/>
    <n v="153.06"/>
    <n v="0"/>
    <n v="13.35"/>
    <s v="No"/>
    <n v="0"/>
    <n v="449.88"/>
    <n v="232.89"/>
    <n v="216.99"/>
    <n v="0"/>
  </r>
  <r>
    <s v="ORD-000382"/>
    <s v="C-0246"/>
    <d v="2025-09-04T00:00:00"/>
    <s v="Marketplace"/>
    <s v="Buy Now Pay Later"/>
    <s v="West Coast"/>
    <n v="4"/>
    <x v="3"/>
    <n v="477.27"/>
    <n v="15"/>
    <n v="71.59"/>
    <n v="55.22"/>
    <n v="180.41"/>
    <n v="60.85"/>
    <n v="12.06"/>
    <s v="No"/>
    <n v="0"/>
    <n v="405.68"/>
    <n v="308.54000000000002"/>
    <n v="97.14"/>
    <n v="0"/>
  </r>
  <r>
    <s v="ORD-000383"/>
    <s v="C-0042"/>
    <d v="2025-05-06T00:00:00"/>
    <s v="Website"/>
    <s v="PayPal"/>
    <s v="Southwest"/>
    <n v="1"/>
    <x v="3"/>
    <n v="208.14"/>
    <n v="0"/>
    <n v="0"/>
    <n v="42.9"/>
    <n v="81.09"/>
    <n v="0"/>
    <n v="6.34"/>
    <s v="No"/>
    <n v="0"/>
    <n v="208.14"/>
    <n v="130.33000000000001"/>
    <n v="77.81"/>
    <n v="0"/>
  </r>
  <r>
    <s v="ORD-000384"/>
    <s v="C-0447"/>
    <d v="2025-08-10T00:00:00"/>
    <s v="Mobile App"/>
    <s v="Credit Card"/>
    <s v="Southeast"/>
    <n v="1"/>
    <x v="7"/>
    <n v="105.44"/>
    <n v="0"/>
    <n v="0"/>
    <n v="8.94"/>
    <n v="42.07"/>
    <n v="0"/>
    <n v="3.36"/>
    <s v="No"/>
    <n v="0"/>
    <n v="105.44"/>
    <n v="54.37"/>
    <n v="51.07"/>
    <n v="0"/>
  </r>
  <r>
    <s v="ORD-000385"/>
    <s v="C-0192"/>
    <d v="2024-01-31T00:00:00"/>
    <s v="Website"/>
    <s v="Credit Card"/>
    <s v="Southwest"/>
    <n v="1"/>
    <x v="0"/>
    <n v="112.16"/>
    <n v="25"/>
    <n v="28.04"/>
    <n v="26.84"/>
    <n v="58.88"/>
    <n v="0"/>
    <n v="2.74"/>
    <s v="No"/>
    <n v="0"/>
    <n v="84.12"/>
    <n v="88.46"/>
    <n v="-4.34"/>
    <n v="0"/>
  </r>
  <r>
    <s v="ORD-000386"/>
    <s v="C-0665"/>
    <d v="2025-05-16T00:00:00"/>
    <s v="Marketplace"/>
    <s v="Credit Card"/>
    <s v="Southwest"/>
    <n v="1"/>
    <x v="0"/>
    <n v="73.73"/>
    <n v="15"/>
    <n v="11.06"/>
    <n v="9.34"/>
    <n v="48.17"/>
    <n v="9.4"/>
    <n v="2.12"/>
    <s v="No"/>
    <n v="0"/>
    <n v="62.67"/>
    <n v="69.03"/>
    <n v="-6.36"/>
    <n v="0"/>
  </r>
  <r>
    <s v="ORD-000387"/>
    <s v="C-0263"/>
    <d v="2025-07-18T00:00:00"/>
    <s v="Website"/>
    <s v="Credit Card"/>
    <s v="West Coast"/>
    <n v="1"/>
    <x v="0"/>
    <n v="153.84"/>
    <n v="5"/>
    <n v="7.69"/>
    <n v="37.14"/>
    <n v="64.319999999999993"/>
    <n v="0"/>
    <n v="4.54"/>
    <s v="No"/>
    <n v="0"/>
    <n v="146.15"/>
    <n v="106"/>
    <n v="40.15"/>
    <n v="0"/>
  </r>
  <r>
    <s v="ORD-000388"/>
    <s v="C-0252"/>
    <d v="2025-01-22T00:00:00"/>
    <s v="Mobile App"/>
    <s v="Credit Card"/>
    <s v="Southwest"/>
    <n v="4"/>
    <x v="1"/>
    <n v="259.89"/>
    <n v="15"/>
    <n v="38.979999999999997"/>
    <n v="39.24"/>
    <n v="92.77"/>
    <n v="0"/>
    <n v="6.71"/>
    <s v="No"/>
    <n v="0"/>
    <n v="220.91"/>
    <n v="138.72"/>
    <n v="82.19"/>
    <n v="0"/>
  </r>
  <r>
    <s v="ORD-000389"/>
    <s v="C-0690"/>
    <d v="2025-06-06T00:00:00"/>
    <s v="Website"/>
    <s v="PayPal"/>
    <s v="Southwest"/>
    <n v="1"/>
    <x v="4"/>
    <n v="7.77"/>
    <n v="5"/>
    <n v="0.39"/>
    <n v="4.7"/>
    <n v="4.58"/>
    <n v="0"/>
    <n v="0.51"/>
    <s v="No"/>
    <n v="0"/>
    <n v="7.38"/>
    <n v="9.7899999999999991"/>
    <n v="-2.41"/>
    <n v="0"/>
  </r>
  <r>
    <s v="ORD-000390"/>
    <s v="C-0044"/>
    <d v="2025-04-17T00:00:00"/>
    <s v="Marketplace"/>
    <s v="Credit Card"/>
    <s v="Southeast"/>
    <n v="1"/>
    <x v="3"/>
    <n v="14.58"/>
    <n v="0"/>
    <n v="0"/>
    <n v="9.1"/>
    <n v="4.3600000000000003"/>
    <n v="2.19"/>
    <n v="0.72"/>
    <s v="No"/>
    <n v="0"/>
    <n v="14.58"/>
    <n v="16.37"/>
    <n v="-1.79"/>
    <n v="0"/>
  </r>
  <r>
    <s v="ORD-000391"/>
    <s v="C-0487"/>
    <d v="2025-02-03T00:00:00"/>
    <s v="Marketplace"/>
    <s v="Debit Card"/>
    <s v="Southwest"/>
    <n v="2"/>
    <x v="7"/>
    <n v="292.44"/>
    <n v="0"/>
    <n v="0"/>
    <n v="20.56"/>
    <n v="105.86"/>
    <n v="43.87"/>
    <n v="8.7799999999999994"/>
    <s v="No"/>
    <n v="0"/>
    <n v="292.44"/>
    <n v="179.07"/>
    <n v="113.37"/>
    <n v="0"/>
  </r>
  <r>
    <s v="ORD-000392"/>
    <s v="C-0645"/>
    <d v="2025-10-07T00:00:00"/>
    <s v="Social Commerce"/>
    <s v="Debit Card"/>
    <s v="West Coast"/>
    <n v="1"/>
    <x v="1"/>
    <n v="106.23"/>
    <n v="0"/>
    <n v="0"/>
    <n v="36.42"/>
    <n v="56.67"/>
    <n v="8.5"/>
    <n v="3.38"/>
    <s v="No"/>
    <n v="0"/>
    <n v="106.23"/>
    <n v="104.97"/>
    <n v="1.26"/>
    <n v="0"/>
  </r>
  <r>
    <s v="ORD-000393"/>
    <s v="C-0285"/>
    <d v="2025-07-09T00:00:00"/>
    <s v="Social Commerce"/>
    <s v="Credit Card"/>
    <s v="West Coast"/>
    <n v="5"/>
    <x v="2"/>
    <n v="188.23"/>
    <n v="25"/>
    <n v="47.06"/>
    <n v="39.340000000000003"/>
    <n v="69.94"/>
    <n v="11.29"/>
    <n v="4.3899999999999997"/>
    <s v="No"/>
    <n v="0"/>
    <n v="141.16999999999999"/>
    <n v="124.96"/>
    <n v="16.21"/>
    <n v="0"/>
  </r>
  <r>
    <s v="ORD-000394"/>
    <s v="C-0226"/>
    <d v="2025-11-26T00:00:00"/>
    <s v="Marketplace"/>
    <s v="PayPal"/>
    <s v="Northeast"/>
    <n v="2"/>
    <x v="0"/>
    <n v="554.75"/>
    <n v="15"/>
    <n v="83.21"/>
    <n v="34.32"/>
    <n v="187.67"/>
    <n v="70.73"/>
    <n v="13.97"/>
    <s v="No"/>
    <n v="0"/>
    <n v="471.54"/>
    <n v="306.69"/>
    <n v="164.85"/>
    <n v="0"/>
  </r>
  <r>
    <s v="ORD-000395"/>
    <s v="C-0336"/>
    <d v="2025-04-24T00:00:00"/>
    <s v="Website"/>
    <s v="Gift Card"/>
    <s v="Southwest"/>
    <n v="2"/>
    <x v="5"/>
    <n v="324.77"/>
    <n v="0"/>
    <n v="0"/>
    <n v="18.420000000000002"/>
    <n v="102.5"/>
    <n v="0"/>
    <n v="9.7200000000000006"/>
    <s v="No"/>
    <n v="0"/>
    <n v="324.77"/>
    <n v="130.63999999999999"/>
    <n v="194.13"/>
    <n v="0"/>
  </r>
  <r>
    <s v="ORD-000396"/>
    <s v="C-0105"/>
    <d v="2025-07-14T00:00:00"/>
    <s v="Marketplace"/>
    <s v="Credit Card"/>
    <s v="West Coast"/>
    <n v="1"/>
    <x v="4"/>
    <n v="89.44"/>
    <n v="5"/>
    <n v="4.47"/>
    <n v="18.84"/>
    <n v="62.18"/>
    <n v="12.75"/>
    <n v="2.76"/>
    <s v="No"/>
    <n v="0"/>
    <n v="84.97"/>
    <n v="96.53"/>
    <n v="-11.56"/>
    <n v="0"/>
  </r>
  <r>
    <s v="ORD-000397"/>
    <s v="C-0757"/>
    <d v="2024-12-26T00:00:00"/>
    <s v="Website"/>
    <s v="Credit Card"/>
    <s v="Midwest"/>
    <n v="1"/>
    <x v="0"/>
    <n v="34"/>
    <n v="5"/>
    <n v="1.7"/>
    <n v="13.66"/>
    <n v="21.92"/>
    <n v="0"/>
    <n v="1.24"/>
    <s v="No"/>
    <n v="0"/>
    <n v="32.299999999999997"/>
    <n v="36.82"/>
    <n v="-4.5199999999999996"/>
    <n v="0"/>
  </r>
  <r>
    <s v="ORD-000398"/>
    <s v="C-0300"/>
    <d v="2025-04-24T00:00:00"/>
    <s v="Website"/>
    <s v="PayPal"/>
    <s v="Northeast"/>
    <n v="3"/>
    <x v="0"/>
    <n v="766.2"/>
    <n v="0"/>
    <n v="0"/>
    <n v="52.86"/>
    <n v="247.71"/>
    <n v="0"/>
    <n v="22.52"/>
    <s v="Yes"/>
    <n v="766.2"/>
    <n v="0"/>
    <n v="323.08999999999997"/>
    <n v="-323.08999999999997"/>
    <n v="0"/>
  </r>
  <r>
    <s v="ORD-000399"/>
    <s v="C-0261"/>
    <d v="2024-09-08T00:00:00"/>
    <s v="Marketplace"/>
    <s v="Credit Card"/>
    <s v="Northeast"/>
    <n v="1"/>
    <x v="4"/>
    <n v="90.19"/>
    <n v="20"/>
    <n v="18.04"/>
    <n v="13.42"/>
    <n v="33.04"/>
    <n v="10.82"/>
    <n v="2.39"/>
    <s v="No"/>
    <n v="0"/>
    <n v="72.150000000000006"/>
    <n v="59.67"/>
    <n v="12.48"/>
    <n v="0"/>
  </r>
  <r>
    <s v="ORD-000400"/>
    <s v="C-0582"/>
    <d v="2025-04-11T00:00:00"/>
    <s v="Mobile App"/>
    <s v="Credit Card"/>
    <s v="Southeast"/>
    <n v="1"/>
    <x v="2"/>
    <n v="75.84"/>
    <n v="15"/>
    <n v="11.38"/>
    <n v="12.3"/>
    <n v="34.479999999999997"/>
    <n v="0"/>
    <n v="2.17"/>
    <s v="No"/>
    <n v="0"/>
    <n v="64.459999999999994"/>
    <n v="48.95"/>
    <n v="15.51"/>
    <n v="1"/>
  </r>
  <r>
    <s v="ORD-000401"/>
    <s v="C-0476"/>
    <d v="2025-08-22T00:00:00"/>
    <s v="Marketplace"/>
    <s v="PayPal"/>
    <s v="Midwest"/>
    <n v="1"/>
    <x v="1"/>
    <n v="10.44"/>
    <n v="10"/>
    <n v="1.04"/>
    <n v="28.6"/>
    <n v="5.7"/>
    <n v="1.41"/>
    <n v="0.56999999999999995"/>
    <s v="No"/>
    <n v="0"/>
    <n v="9.4"/>
    <n v="36.28"/>
    <n v="-26.88"/>
    <n v="0"/>
  </r>
  <r>
    <s v="ORD-000402"/>
    <s v="C-0399"/>
    <d v="2024-09-12T00:00:00"/>
    <s v="Mobile App"/>
    <s v="Buy Now Pay Later"/>
    <s v="Southeast"/>
    <n v="1"/>
    <x v="6"/>
    <n v="9.0299999999999994"/>
    <n v="0"/>
    <n v="0"/>
    <n v="13.98"/>
    <n v="6.37"/>
    <n v="0"/>
    <n v="0.56000000000000005"/>
    <s v="No"/>
    <n v="0"/>
    <n v="9.0299999999999994"/>
    <n v="20.91"/>
    <n v="-11.88"/>
    <n v="0"/>
  </r>
  <r>
    <s v="ORD-000403"/>
    <s v="C-0119"/>
    <d v="2024-05-24T00:00:00"/>
    <s v="Social Commerce"/>
    <s v="Debit Card"/>
    <s v="Midwest"/>
    <n v="2"/>
    <x v="7"/>
    <n v="277.97000000000003"/>
    <n v="5"/>
    <n v="13.9"/>
    <n v="30.1"/>
    <n v="109.73"/>
    <n v="21.13"/>
    <n v="7.96"/>
    <s v="No"/>
    <n v="0"/>
    <n v="264.07"/>
    <n v="168.92"/>
    <n v="95.15"/>
    <n v="0"/>
  </r>
  <r>
    <s v="ORD-000404"/>
    <s v="C-0507"/>
    <d v="2025-09-28T00:00:00"/>
    <s v="Website"/>
    <s v="Credit Card"/>
    <s v="Southwest"/>
    <n v="5"/>
    <x v="1"/>
    <n v="159.86000000000001"/>
    <n v="0"/>
    <n v="0"/>
    <n v="62.2"/>
    <n v="56.77"/>
    <n v="0"/>
    <n v="4.9400000000000004"/>
    <s v="No"/>
    <n v="0"/>
    <n v="159.86000000000001"/>
    <n v="123.91"/>
    <n v="35.950000000000003"/>
    <n v="0"/>
  </r>
  <r>
    <s v="ORD-000405"/>
    <s v="C-0576"/>
    <d v="2025-04-25T00:00:00"/>
    <s v="Mobile App"/>
    <s v="Credit Card"/>
    <s v="Southeast"/>
    <n v="3"/>
    <x v="5"/>
    <n v="252.32"/>
    <n v="5"/>
    <n v="12.62"/>
    <n v="64.92"/>
    <n v="95.06"/>
    <n v="0"/>
    <n v="7.25"/>
    <s v="No"/>
    <n v="0"/>
    <n v="239.7"/>
    <n v="167.23"/>
    <n v="72.47"/>
    <n v="0"/>
  </r>
  <r>
    <s v="ORD-000406"/>
    <s v="C-0118"/>
    <d v="2025-09-13T00:00:00"/>
    <s v="Marketplace"/>
    <s v="Credit Card"/>
    <s v="West Coast"/>
    <n v="1"/>
    <x v="2"/>
    <n v="10.050000000000001"/>
    <n v="25"/>
    <n v="2.5099999999999998"/>
    <n v="9.18"/>
    <n v="6.91"/>
    <n v="1.1299999999999999"/>
    <n v="0.52"/>
    <s v="Yes"/>
    <n v="7.54"/>
    <n v="0"/>
    <n v="17.739999999999998"/>
    <n v="-17.739999999999998"/>
    <n v="0"/>
  </r>
  <r>
    <s v="ORD-000407"/>
    <s v="C-0674"/>
    <d v="2024-07-18T00:00:00"/>
    <s v="Social Commerce"/>
    <s v="Debit Card"/>
    <s v="Midwest"/>
    <n v="2"/>
    <x v="4"/>
    <n v="66"/>
    <n v="15"/>
    <n v="9.9"/>
    <n v="19"/>
    <n v="23.17"/>
    <n v="4.49"/>
    <n v="1.93"/>
    <s v="No"/>
    <n v="0"/>
    <n v="56.1"/>
    <n v="48.59"/>
    <n v="7.51"/>
    <n v="0"/>
  </r>
  <r>
    <s v="ORD-000408"/>
    <s v="C-0204"/>
    <d v="2025-08-25T00:00:00"/>
    <s v="Mobile App"/>
    <s v="Credit Card"/>
    <s v="West Coast"/>
    <n v="3"/>
    <x v="1"/>
    <n v="221.03"/>
    <n v="0"/>
    <n v="0"/>
    <n v="26.98"/>
    <n v="98.36"/>
    <n v="0"/>
    <n v="6.71"/>
    <s v="No"/>
    <n v="0"/>
    <n v="221.03"/>
    <n v="132.05000000000001"/>
    <n v="88.98"/>
    <n v="1"/>
  </r>
  <r>
    <s v="ORD-000409"/>
    <s v="C-0026"/>
    <d v="2024-07-10T00:00:00"/>
    <s v="Website"/>
    <s v="Credit Card"/>
    <s v="Midwest"/>
    <n v="5"/>
    <x v="4"/>
    <n v="408.47"/>
    <n v="5"/>
    <n v="20.420000000000002"/>
    <n v="88.24"/>
    <n v="169.37"/>
    <n v="0"/>
    <n v="11.55"/>
    <s v="No"/>
    <n v="0"/>
    <n v="388.05"/>
    <n v="269.16000000000003"/>
    <n v="118.89"/>
    <n v="0"/>
  </r>
  <r>
    <s v="ORD-000410"/>
    <s v="C-0394"/>
    <d v="2024-05-19T00:00:00"/>
    <s v="Mobile App"/>
    <s v="Credit Card"/>
    <s v="Southeast"/>
    <n v="3"/>
    <x v="0"/>
    <n v="298.58999999999997"/>
    <n v="0"/>
    <n v="0"/>
    <n v="27.7"/>
    <n v="133.66999999999999"/>
    <n v="0"/>
    <n v="8.9600000000000009"/>
    <s v="No"/>
    <n v="0"/>
    <n v="298.58999999999997"/>
    <n v="170.33"/>
    <n v="128.26"/>
    <n v="0"/>
  </r>
  <r>
    <s v="ORD-000411"/>
    <s v="C-0059"/>
    <d v="2024-12-24T00:00:00"/>
    <s v="Website"/>
    <s v="Buy Now Pay Later"/>
    <s v="Northeast"/>
    <n v="3"/>
    <x v="1"/>
    <n v="112.37"/>
    <n v="10"/>
    <n v="11.24"/>
    <n v="27.78"/>
    <n v="67.33"/>
    <n v="0"/>
    <n v="3.23"/>
    <s v="No"/>
    <n v="0"/>
    <n v="101.13"/>
    <n v="98.34"/>
    <n v="2.79"/>
    <n v="0"/>
  </r>
  <r>
    <s v="ORD-000412"/>
    <s v="C-0229"/>
    <d v="2025-02-02T00:00:00"/>
    <s v="Website"/>
    <s v="Gift Card"/>
    <s v="Southwest"/>
    <n v="3"/>
    <x v="6"/>
    <n v="254.6"/>
    <n v="0"/>
    <n v="0"/>
    <n v="49.52"/>
    <n v="93.95"/>
    <n v="0"/>
    <n v="7.68"/>
    <s v="No"/>
    <n v="0"/>
    <n v="254.6"/>
    <n v="151.15"/>
    <n v="103.45"/>
    <n v="0"/>
  </r>
  <r>
    <s v="ORD-000413"/>
    <s v="C-0148"/>
    <d v="2025-05-05T00:00:00"/>
    <s v="Marketplace"/>
    <s v="Buy Now Pay Later"/>
    <s v="Southwest"/>
    <n v="1"/>
    <x v="0"/>
    <n v="89.42"/>
    <n v="10"/>
    <n v="8.94"/>
    <n v="10.78"/>
    <n v="36.299999999999997"/>
    <n v="12.07"/>
    <n v="2.63"/>
    <s v="No"/>
    <n v="0"/>
    <n v="80.48"/>
    <n v="61.78"/>
    <n v="18.7"/>
    <n v="0"/>
  </r>
  <r>
    <s v="ORD-000414"/>
    <s v="C-0231"/>
    <d v="2025-07-13T00:00:00"/>
    <s v="Website"/>
    <s v="PayPal"/>
    <s v="Southeast"/>
    <n v="1"/>
    <x v="4"/>
    <n v="24.88"/>
    <n v="10"/>
    <n v="2.4900000000000002"/>
    <n v="7.02"/>
    <n v="13.77"/>
    <n v="0"/>
    <n v="0.95"/>
    <s v="No"/>
    <n v="0"/>
    <n v="22.39"/>
    <n v="21.74"/>
    <n v="0.65"/>
    <n v="0"/>
  </r>
  <r>
    <s v="ORD-000415"/>
    <s v="C-0350"/>
    <d v="2025-11-06T00:00:00"/>
    <s v="Mobile App"/>
    <s v="Credit Card"/>
    <s v="Northeast"/>
    <n v="3"/>
    <x v="4"/>
    <n v="687.19"/>
    <n v="15"/>
    <n v="103.08"/>
    <n v="52.46"/>
    <n v="207.64"/>
    <n v="0"/>
    <n v="17.239999999999998"/>
    <s v="No"/>
    <n v="0"/>
    <n v="584.11"/>
    <n v="277.33999999999997"/>
    <n v="306.77"/>
    <n v="0"/>
  </r>
  <r>
    <s v="ORD-000416"/>
    <s v="C-0416"/>
    <d v="2025-10-10T00:00:00"/>
    <s v="Website"/>
    <s v="Credit Card"/>
    <s v="Southeast"/>
    <n v="1"/>
    <x v="2"/>
    <n v="100.66"/>
    <n v="0"/>
    <n v="0"/>
    <n v="10.46"/>
    <n v="36.479999999999997"/>
    <n v="0"/>
    <n v="3.22"/>
    <s v="No"/>
    <n v="0"/>
    <n v="100.66"/>
    <n v="50.16"/>
    <n v="50.5"/>
    <n v="0"/>
  </r>
  <r>
    <s v="ORD-000417"/>
    <s v="C-0451"/>
    <d v="2025-05-22T00:00:00"/>
    <s v="Mobile App"/>
    <s v="Buy Now Pay Later"/>
    <s v="Northeast"/>
    <n v="3"/>
    <x v="2"/>
    <n v="206.35"/>
    <n v="10"/>
    <n v="20.64"/>
    <n v="30.02"/>
    <n v="75.89"/>
    <n v="0"/>
    <n v="5.69"/>
    <s v="No"/>
    <n v="0"/>
    <n v="185.71"/>
    <n v="111.6"/>
    <n v="74.11"/>
    <n v="0"/>
  </r>
  <r>
    <s v="ORD-000418"/>
    <s v="C-0588"/>
    <d v="2025-04-30T00:00:00"/>
    <s v="Website"/>
    <s v="Debit Card"/>
    <s v="Southwest"/>
    <n v="3"/>
    <x v="3"/>
    <n v="116.57"/>
    <n v="0"/>
    <n v="0"/>
    <n v="50.24"/>
    <n v="52.73"/>
    <n v="0"/>
    <n v="3.68"/>
    <s v="No"/>
    <n v="0"/>
    <n v="116.57"/>
    <n v="106.65"/>
    <n v="9.92"/>
    <n v="0"/>
  </r>
  <r>
    <s v="ORD-000419"/>
    <s v="C-0762"/>
    <d v="2024-04-29T00:00:00"/>
    <s v="Social Commerce"/>
    <s v="Credit Card"/>
    <s v="Southeast"/>
    <n v="1"/>
    <x v="2"/>
    <n v="27.88"/>
    <n v="15"/>
    <n v="4.18"/>
    <n v="11.18"/>
    <n v="12.13"/>
    <n v="1.9"/>
    <n v="0.99"/>
    <s v="No"/>
    <n v="0"/>
    <n v="23.7"/>
    <n v="26.2"/>
    <n v="-2.5"/>
    <n v="0"/>
  </r>
  <r>
    <s v="ORD-000420"/>
    <s v="C-0240"/>
    <d v="2025-05-25T00:00:00"/>
    <s v="Website"/>
    <s v="PayPal"/>
    <s v="Southwest"/>
    <n v="3"/>
    <x v="1"/>
    <n v="109.16"/>
    <n v="5"/>
    <n v="5.46"/>
    <n v="42.16"/>
    <n v="42.38"/>
    <n v="0"/>
    <n v="3.31"/>
    <s v="Yes"/>
    <n v="103.7"/>
    <n v="0"/>
    <n v="87.85"/>
    <n v="-87.85"/>
    <n v="0"/>
  </r>
  <r>
    <s v="ORD-000421"/>
    <s v="C-0633"/>
    <d v="2025-10-29T00:00:00"/>
    <s v="Website"/>
    <s v="Buy Now Pay Later"/>
    <s v="Northeast"/>
    <n v="1"/>
    <x v="3"/>
    <n v="17.399999999999999"/>
    <n v="25"/>
    <n v="4.3499999999999996"/>
    <n v="12.3"/>
    <n v="7.23"/>
    <n v="0"/>
    <n v="0.68"/>
    <s v="No"/>
    <n v="0"/>
    <n v="13.05"/>
    <n v="20.21"/>
    <n v="-7.16"/>
    <n v="0"/>
  </r>
  <r>
    <s v="ORD-000422"/>
    <s v="C-0400"/>
    <d v="2025-09-27T00:00:00"/>
    <s v="Website"/>
    <s v="Gift Card"/>
    <s v="Southwest"/>
    <n v="2"/>
    <x v="1"/>
    <n v="94.32"/>
    <n v="0"/>
    <n v="0"/>
    <n v="21.08"/>
    <n v="35.4"/>
    <n v="0"/>
    <n v="3.04"/>
    <s v="No"/>
    <n v="0"/>
    <n v="94.32"/>
    <n v="59.52"/>
    <n v="34.799999999999997"/>
    <n v="1"/>
  </r>
  <r>
    <s v="ORD-000423"/>
    <s v="C-0161"/>
    <d v="2025-04-27T00:00:00"/>
    <s v="Social Commerce"/>
    <s v="PayPal"/>
    <s v="Midwest"/>
    <n v="2"/>
    <x v="6"/>
    <n v="74.14"/>
    <n v="5"/>
    <n v="3.71"/>
    <n v="41.38"/>
    <n v="42.18"/>
    <n v="5.63"/>
    <n v="2.34"/>
    <s v="No"/>
    <n v="0"/>
    <n v="70.430000000000007"/>
    <n v="91.53"/>
    <n v="-21.1"/>
    <n v="0"/>
  </r>
  <r>
    <s v="ORD-000424"/>
    <s v="C-0173"/>
    <d v="2025-12-16T00:00:00"/>
    <s v="Website"/>
    <s v="Credit Card"/>
    <s v="Northeast"/>
    <n v="1"/>
    <x v="2"/>
    <n v="19.95"/>
    <n v="25"/>
    <n v="4.99"/>
    <n v="4.46"/>
    <n v="6.83"/>
    <n v="0"/>
    <n v="0.73"/>
    <s v="No"/>
    <n v="0"/>
    <n v="14.96"/>
    <n v="12.02"/>
    <n v="2.94"/>
    <n v="0"/>
  </r>
  <r>
    <s v="ORD-000425"/>
    <s v="C-0542"/>
    <d v="2024-06-12T00:00:00"/>
    <s v="Mobile App"/>
    <s v="Credit Card"/>
    <s v="West Coast"/>
    <n v="2"/>
    <x v="7"/>
    <n v="397.99"/>
    <n v="10"/>
    <n v="39.799999999999997"/>
    <n v="41.98"/>
    <n v="156.72999999999999"/>
    <n v="0"/>
    <n v="10.69"/>
    <s v="No"/>
    <n v="0"/>
    <n v="358.19"/>
    <n v="209.4"/>
    <n v="148.79"/>
    <n v="0"/>
  </r>
  <r>
    <s v="ORD-000426"/>
    <s v="C-0230"/>
    <d v="2025-09-04T00:00:00"/>
    <s v="Marketplace"/>
    <s v="Credit Card"/>
    <s v="Midwest"/>
    <n v="1"/>
    <x v="1"/>
    <n v="58.23"/>
    <n v="0"/>
    <n v="0"/>
    <n v="13.42"/>
    <n v="22.42"/>
    <n v="8.73"/>
    <n v="1.99"/>
    <s v="No"/>
    <n v="0"/>
    <n v="58.23"/>
    <n v="46.56"/>
    <n v="11.67"/>
    <n v="0"/>
  </r>
  <r>
    <s v="ORD-000427"/>
    <s v="C-0407"/>
    <d v="2024-02-20T00:00:00"/>
    <s v="Social Commerce"/>
    <s v="Debit Card"/>
    <s v="Northeast"/>
    <n v="4"/>
    <x v="1"/>
    <n v="286.83"/>
    <n v="15"/>
    <n v="43.02"/>
    <n v="45.42"/>
    <n v="113.82"/>
    <n v="19.5"/>
    <n v="7.37"/>
    <s v="No"/>
    <n v="0"/>
    <n v="243.81"/>
    <n v="186.11"/>
    <n v="57.7"/>
    <n v="0"/>
  </r>
  <r>
    <s v="ORD-000428"/>
    <s v="C-0475"/>
    <d v="2025-06-26T00:00:00"/>
    <s v="Website"/>
    <s v="PayPal"/>
    <s v="Midwest"/>
    <n v="1"/>
    <x v="4"/>
    <n v="63.94"/>
    <n v="0"/>
    <n v="0"/>
    <n v="8.4600000000000009"/>
    <n v="20.51"/>
    <n v="0"/>
    <n v="2.15"/>
    <s v="No"/>
    <n v="0"/>
    <n v="63.94"/>
    <n v="31.12"/>
    <n v="32.82"/>
    <n v="0"/>
  </r>
  <r>
    <s v="ORD-000429"/>
    <s v="C-0119"/>
    <d v="2025-11-21T00:00:00"/>
    <s v="Website"/>
    <s v="Buy Now Pay Later"/>
    <s v="Northeast"/>
    <n v="2"/>
    <x v="5"/>
    <n v="74.56"/>
    <n v="0"/>
    <n v="0"/>
    <n v="23.32"/>
    <n v="46.03"/>
    <n v="0"/>
    <n v="2.46"/>
    <s v="No"/>
    <n v="0"/>
    <n v="74.56"/>
    <n v="71.81"/>
    <n v="2.75"/>
    <n v="0"/>
  </r>
  <r>
    <s v="ORD-000430"/>
    <s v="C-0706"/>
    <d v="2025-04-03T00:00:00"/>
    <s v="Website"/>
    <s v="Debit Card"/>
    <s v="Southeast"/>
    <n v="3"/>
    <x v="6"/>
    <n v="79.66"/>
    <n v="10"/>
    <n v="7.97"/>
    <n v="31.7"/>
    <n v="38.549999999999997"/>
    <n v="0"/>
    <n v="2.38"/>
    <s v="No"/>
    <n v="0"/>
    <n v="71.69"/>
    <n v="72.63"/>
    <n v="-0.94"/>
    <n v="0"/>
  </r>
  <r>
    <s v="ORD-000431"/>
    <s v="C-0172"/>
    <d v="2024-10-06T00:00:00"/>
    <s v="Website"/>
    <s v="PayPal"/>
    <s v="Northeast"/>
    <n v="1"/>
    <x v="1"/>
    <n v="47.32"/>
    <n v="20"/>
    <n v="9.4600000000000009"/>
    <n v="9.1"/>
    <n v="20.94"/>
    <n v="0"/>
    <n v="1.4"/>
    <s v="No"/>
    <n v="0"/>
    <n v="37.86"/>
    <n v="31.44"/>
    <n v="6.42"/>
    <n v="0"/>
  </r>
  <r>
    <s v="ORD-000432"/>
    <s v="C-0074"/>
    <d v="2025-08-15T00:00:00"/>
    <s v="Website"/>
    <s v="Credit Card"/>
    <s v="Southeast"/>
    <n v="4"/>
    <x v="2"/>
    <n v="258.49"/>
    <n v="0"/>
    <n v="0"/>
    <n v="43.42"/>
    <n v="99.78"/>
    <n v="0"/>
    <n v="7.8"/>
    <s v="No"/>
    <n v="0"/>
    <n v="258.49"/>
    <n v="151"/>
    <n v="107.49"/>
    <n v="0"/>
  </r>
  <r>
    <s v="ORD-000433"/>
    <s v="C-0214"/>
    <d v="2024-02-01T00:00:00"/>
    <s v="Mobile App"/>
    <s v="PayPal"/>
    <s v="Northeast"/>
    <n v="1"/>
    <x v="2"/>
    <n v="63.63"/>
    <n v="15"/>
    <n v="9.5399999999999991"/>
    <n v="8.3800000000000008"/>
    <n v="31.76"/>
    <n v="0"/>
    <n v="1.87"/>
    <s v="No"/>
    <n v="0"/>
    <n v="54.09"/>
    <n v="42.01"/>
    <n v="12.08"/>
    <n v="0"/>
  </r>
  <r>
    <s v="ORD-000434"/>
    <s v="C-0421"/>
    <d v="2025-06-20T00:00:00"/>
    <s v="Mobile App"/>
    <s v="PayPal"/>
    <s v="Southwest"/>
    <n v="3"/>
    <x v="0"/>
    <n v="329.19"/>
    <n v="0"/>
    <n v="0"/>
    <n v="22.5"/>
    <n v="107.31"/>
    <n v="0"/>
    <n v="9.85"/>
    <s v="No"/>
    <n v="0"/>
    <n v="329.19"/>
    <n v="139.66"/>
    <n v="189.53"/>
    <n v="0"/>
  </r>
  <r>
    <s v="ORD-000435"/>
    <s v="C-0337"/>
    <d v="2025-01-11T00:00:00"/>
    <s v="Mobile App"/>
    <s v="Credit Card"/>
    <s v="Southeast"/>
    <n v="3"/>
    <x v="5"/>
    <n v="167.68"/>
    <n v="10"/>
    <n v="16.77"/>
    <n v="30.9"/>
    <n v="74.540000000000006"/>
    <n v="0"/>
    <n v="4.68"/>
    <s v="No"/>
    <n v="0"/>
    <n v="150.91"/>
    <n v="110.12"/>
    <n v="40.79"/>
    <n v="0"/>
  </r>
  <r>
    <s v="ORD-000436"/>
    <s v="C-0394"/>
    <d v="2025-09-24T00:00:00"/>
    <s v="Website"/>
    <s v="Gift Card"/>
    <s v="Southeast"/>
    <n v="1"/>
    <x v="6"/>
    <n v="17.59"/>
    <n v="10"/>
    <n v="1.76"/>
    <n v="14.78"/>
    <n v="6.31"/>
    <n v="0"/>
    <n v="0.76"/>
    <s v="No"/>
    <n v="0"/>
    <n v="15.83"/>
    <n v="21.85"/>
    <n v="-6.02"/>
    <n v="0"/>
  </r>
  <r>
    <s v="ORD-000437"/>
    <s v="C-0089"/>
    <d v="2025-02-22T00:00:00"/>
    <s v="Website"/>
    <s v="Debit Card"/>
    <s v="West Coast"/>
    <n v="2"/>
    <x v="7"/>
    <n v="102.73"/>
    <n v="5"/>
    <n v="5.14"/>
    <n v="23.72"/>
    <n v="37.4"/>
    <n v="0"/>
    <n v="3.13"/>
    <s v="No"/>
    <n v="0"/>
    <n v="97.59"/>
    <n v="64.25"/>
    <n v="33.340000000000003"/>
    <n v="0"/>
  </r>
  <r>
    <s v="ORD-000438"/>
    <s v="C-0541"/>
    <d v="2025-12-07T00:00:00"/>
    <s v="Mobile App"/>
    <s v="Credit Card"/>
    <s v="Southeast"/>
    <n v="1"/>
    <x v="0"/>
    <n v="222.97"/>
    <n v="0"/>
    <n v="0"/>
    <n v="12.94"/>
    <n v="67.05"/>
    <n v="0"/>
    <n v="6.77"/>
    <s v="No"/>
    <n v="0"/>
    <n v="222.97"/>
    <n v="86.76"/>
    <n v="136.21"/>
    <n v="0"/>
  </r>
  <r>
    <s v="ORD-000439"/>
    <s v="C-0414"/>
    <d v="2025-02-09T00:00:00"/>
    <s v="Website"/>
    <s v="Debit Card"/>
    <s v="West Coast"/>
    <n v="1"/>
    <x v="5"/>
    <n v="408.12"/>
    <n v="10"/>
    <n v="40.81"/>
    <n v="18.899999999999999"/>
    <n v="119.04"/>
    <n v="0"/>
    <n v="10.95"/>
    <s v="Yes"/>
    <n v="367.31"/>
    <n v="0"/>
    <n v="148.88999999999999"/>
    <n v="-148.88999999999999"/>
    <n v="0"/>
  </r>
  <r>
    <s v="ORD-000440"/>
    <s v="C-0649"/>
    <d v="2025-03-31T00:00:00"/>
    <s v="Social Commerce"/>
    <s v="Debit Card"/>
    <s v="Southwest"/>
    <n v="2"/>
    <x v="4"/>
    <n v="100.1"/>
    <n v="5"/>
    <n v="5"/>
    <n v="19.96"/>
    <n v="55.07"/>
    <n v="7.61"/>
    <n v="3.06"/>
    <s v="No"/>
    <n v="0"/>
    <n v="95.1"/>
    <n v="85.7"/>
    <n v="9.4"/>
    <n v="0"/>
  </r>
  <r>
    <s v="ORD-000441"/>
    <s v="C-0182"/>
    <d v="2025-08-27T00:00:00"/>
    <s v="Social Commerce"/>
    <s v="Credit Card"/>
    <s v="Southwest"/>
    <n v="2"/>
    <x v="6"/>
    <n v="45.01"/>
    <n v="0"/>
    <n v="0"/>
    <n v="20.18"/>
    <n v="15.71"/>
    <n v="3.6"/>
    <n v="1.61"/>
    <s v="No"/>
    <n v="0"/>
    <n v="45.01"/>
    <n v="41.1"/>
    <n v="3.91"/>
    <n v="1"/>
  </r>
  <r>
    <s v="ORD-000442"/>
    <s v="C-0598"/>
    <d v="2025-07-15T00:00:00"/>
    <s v="Mobile App"/>
    <s v="Buy Now Pay Later"/>
    <s v="Southeast"/>
    <n v="1"/>
    <x v="3"/>
    <n v="29.59"/>
    <n v="5"/>
    <n v="1.48"/>
    <n v="4.7"/>
    <n v="12.42"/>
    <n v="0"/>
    <n v="1.1200000000000001"/>
    <s v="No"/>
    <n v="0"/>
    <n v="28.11"/>
    <n v="18.239999999999998"/>
    <n v="9.8699999999999992"/>
    <n v="0"/>
  </r>
  <r>
    <s v="ORD-000443"/>
    <s v="C-0113"/>
    <d v="2025-09-04T00:00:00"/>
    <s v="Social Commerce"/>
    <s v="Credit Card"/>
    <s v="West Coast"/>
    <n v="1"/>
    <x v="3"/>
    <n v="49.35"/>
    <n v="20"/>
    <n v="9.8699999999999992"/>
    <n v="8.3800000000000008"/>
    <n v="26.77"/>
    <n v="3.16"/>
    <n v="1.44"/>
    <s v="No"/>
    <n v="0"/>
    <n v="39.479999999999997"/>
    <n v="39.75"/>
    <n v="-0.27"/>
    <n v="0"/>
  </r>
  <r>
    <s v="ORD-000444"/>
    <s v="C-0376"/>
    <d v="2024-12-24T00:00:00"/>
    <s v="Website"/>
    <s v="PayPal"/>
    <s v="West Coast"/>
    <n v="1"/>
    <x v="3"/>
    <n v="103.35"/>
    <n v="5"/>
    <n v="5.17"/>
    <n v="5.0199999999999996"/>
    <n v="30.95"/>
    <n v="0"/>
    <n v="3.15"/>
    <s v="No"/>
    <n v="0"/>
    <n v="98.18"/>
    <n v="39.119999999999997"/>
    <n v="59.06"/>
    <n v="0"/>
  </r>
  <r>
    <s v="ORD-000445"/>
    <s v="C-0051"/>
    <d v="2025-01-22T00:00:00"/>
    <s v="Social Commerce"/>
    <s v="Credit Card"/>
    <s v="Southwest"/>
    <n v="2"/>
    <x v="6"/>
    <n v="121.03"/>
    <n v="5"/>
    <n v="6.05"/>
    <n v="38.64"/>
    <n v="53.19"/>
    <n v="9.1999999999999993"/>
    <n v="3.63"/>
    <s v="No"/>
    <n v="0"/>
    <n v="114.98"/>
    <n v="104.66"/>
    <n v="10.32"/>
    <n v="0"/>
  </r>
  <r>
    <s v="ORD-000446"/>
    <s v="C-0013"/>
    <d v="2025-07-19T00:00:00"/>
    <s v="Website"/>
    <s v="PayPal"/>
    <s v="Southwest"/>
    <n v="2"/>
    <x v="6"/>
    <n v="105.78"/>
    <n v="10"/>
    <n v="10.58"/>
    <n v="16.260000000000002"/>
    <n v="66.66"/>
    <n v="0"/>
    <n v="3.06"/>
    <s v="No"/>
    <n v="0"/>
    <n v="95.2"/>
    <n v="85.98"/>
    <n v="9.2200000000000006"/>
    <n v="0"/>
  </r>
  <r>
    <s v="ORD-000447"/>
    <s v="C-0460"/>
    <d v="2025-11-29T00:00:00"/>
    <s v="Mobile App"/>
    <s v="Gift Card"/>
    <s v="Southwest"/>
    <n v="2"/>
    <x v="3"/>
    <n v="111.62"/>
    <n v="0"/>
    <n v="0"/>
    <n v="36.5"/>
    <n v="55.02"/>
    <n v="0"/>
    <n v="3.54"/>
    <s v="Yes"/>
    <n v="111.62"/>
    <n v="0"/>
    <n v="95.06"/>
    <n v="-95.06"/>
    <n v="0"/>
  </r>
  <r>
    <s v="ORD-000448"/>
    <s v="C-0076"/>
    <d v="2024-05-26T00:00:00"/>
    <s v="Website"/>
    <s v="Credit Card"/>
    <s v="Northeast"/>
    <n v="3"/>
    <x v="1"/>
    <n v="93.73"/>
    <n v="0"/>
    <n v="0"/>
    <n v="41.12"/>
    <n v="40.56"/>
    <n v="0"/>
    <n v="3.02"/>
    <s v="Yes"/>
    <n v="93.73"/>
    <n v="0"/>
    <n v="84.7"/>
    <n v="-84.7"/>
    <n v="0"/>
  </r>
  <r>
    <s v="ORD-000449"/>
    <s v="C-0522"/>
    <d v="2025-08-22T00:00:00"/>
    <s v="Website"/>
    <s v="Debit Card"/>
    <s v="West Coast"/>
    <n v="4"/>
    <x v="5"/>
    <n v="117.49"/>
    <n v="15"/>
    <n v="17.62"/>
    <n v="64.78"/>
    <n v="51.68"/>
    <n v="0"/>
    <n v="3.2"/>
    <s v="No"/>
    <n v="0"/>
    <n v="99.87"/>
    <n v="119.66"/>
    <n v="-19.79"/>
    <n v="1"/>
  </r>
  <r>
    <s v="ORD-000450"/>
    <s v="C-0033"/>
    <d v="2024-08-06T00:00:00"/>
    <s v="Marketplace"/>
    <s v="PayPal"/>
    <s v="West Coast"/>
    <n v="1"/>
    <x v="3"/>
    <n v="96.35"/>
    <n v="10"/>
    <n v="9.6300000000000008"/>
    <n v="3.82"/>
    <n v="38.61"/>
    <n v="13.01"/>
    <n v="2.81"/>
    <s v="No"/>
    <n v="0"/>
    <n v="86.72"/>
    <n v="58.25"/>
    <n v="28.47"/>
    <n v="1"/>
  </r>
  <r>
    <s v="ORD-000451"/>
    <s v="C-0363"/>
    <d v="2025-01-30T00:00:00"/>
    <s v="Website"/>
    <s v="Gift Card"/>
    <s v="West Coast"/>
    <n v="1"/>
    <x v="2"/>
    <n v="272.49"/>
    <n v="0"/>
    <n v="0"/>
    <n v="46.26"/>
    <n v="80.040000000000006"/>
    <n v="0"/>
    <n v="8.1999999999999993"/>
    <s v="No"/>
    <n v="0"/>
    <n v="272.49"/>
    <n v="134.5"/>
    <n v="137.99"/>
    <n v="0"/>
  </r>
  <r>
    <s v="ORD-000452"/>
    <s v="C-0227"/>
    <d v="2024-05-24T00:00:00"/>
    <s v="Website"/>
    <s v="Credit Card"/>
    <s v="Southeast"/>
    <n v="3"/>
    <x v="7"/>
    <n v="265.58"/>
    <n v="0"/>
    <n v="0"/>
    <n v="36.26"/>
    <n v="83.96"/>
    <n v="0"/>
    <n v="8"/>
    <s v="No"/>
    <n v="0"/>
    <n v="265.58"/>
    <n v="128.22"/>
    <n v="137.36000000000001"/>
    <n v="0"/>
  </r>
  <r>
    <s v="ORD-000453"/>
    <s v="C-0613"/>
    <d v="2025-05-19T00:00:00"/>
    <s v="Mobile App"/>
    <s v="Credit Card"/>
    <s v="Southeast"/>
    <n v="1"/>
    <x v="5"/>
    <n v="86.62"/>
    <n v="0"/>
    <n v="0"/>
    <n v="7.58"/>
    <n v="37.79"/>
    <n v="0"/>
    <n v="2.81"/>
    <s v="No"/>
    <n v="0"/>
    <n v="86.62"/>
    <n v="48.18"/>
    <n v="38.44"/>
    <n v="0"/>
  </r>
  <r>
    <s v="ORD-000454"/>
    <s v="C-0040"/>
    <d v="2025-09-10T00:00:00"/>
    <s v="Mobile App"/>
    <s v="Debit Card"/>
    <s v="Southwest"/>
    <n v="2"/>
    <x v="7"/>
    <n v="144.66999999999999"/>
    <n v="0"/>
    <n v="0"/>
    <n v="24.36"/>
    <n v="54.29"/>
    <n v="0"/>
    <n v="4.5"/>
    <s v="No"/>
    <n v="0"/>
    <n v="144.66999999999999"/>
    <n v="83.15"/>
    <n v="61.52"/>
    <n v="0"/>
  </r>
  <r>
    <s v="ORD-000455"/>
    <s v="C-0690"/>
    <d v="2025-01-06T00:00:00"/>
    <s v="Mobile App"/>
    <s v="Credit Card"/>
    <s v="Southwest"/>
    <n v="2"/>
    <x v="0"/>
    <n v="214.83"/>
    <n v="0"/>
    <n v="0"/>
    <n v="19.8"/>
    <n v="71.040000000000006"/>
    <n v="0"/>
    <n v="6.53"/>
    <s v="No"/>
    <n v="0"/>
    <n v="214.83"/>
    <n v="97.37"/>
    <n v="117.46"/>
    <n v="0"/>
  </r>
  <r>
    <s v="ORD-000456"/>
    <s v="C-0028"/>
    <d v="2025-06-25T00:00:00"/>
    <s v="Mobile App"/>
    <s v="PayPal"/>
    <s v="Midwest"/>
    <n v="1"/>
    <x v="2"/>
    <n v="19.95"/>
    <n v="0"/>
    <n v="0"/>
    <n v="4.46"/>
    <n v="6.83"/>
    <n v="0"/>
    <n v="0.88"/>
    <s v="No"/>
    <n v="0"/>
    <n v="19.95"/>
    <n v="12.17"/>
    <n v="7.78"/>
    <n v="0"/>
  </r>
  <r>
    <s v="ORD-000457"/>
    <s v="C-0585"/>
    <d v="2025-07-12T00:00:00"/>
    <s v="Marketplace"/>
    <s v="Gift Card"/>
    <s v="Southeast"/>
    <n v="1"/>
    <x v="2"/>
    <n v="46.8"/>
    <n v="0"/>
    <n v="0"/>
    <n v="9.9"/>
    <n v="19.21"/>
    <n v="7.02"/>
    <n v="1.66"/>
    <s v="No"/>
    <n v="0"/>
    <n v="46.8"/>
    <n v="37.79"/>
    <n v="9.01"/>
    <n v="0"/>
  </r>
  <r>
    <s v="ORD-000458"/>
    <s v="C-0653"/>
    <d v="2024-12-06T00:00:00"/>
    <s v="Website"/>
    <s v="Credit Card"/>
    <s v="Northeast"/>
    <n v="2"/>
    <x v="3"/>
    <n v="65.45"/>
    <n v="15"/>
    <n v="9.82"/>
    <n v="25.06"/>
    <n v="41.46"/>
    <n v="0"/>
    <n v="1.91"/>
    <s v="No"/>
    <n v="0"/>
    <n v="55.63"/>
    <n v="68.430000000000007"/>
    <n v="-12.8"/>
    <n v="0"/>
  </r>
  <r>
    <s v="ORD-000459"/>
    <s v="C-0387"/>
    <d v="2025-04-14T00:00:00"/>
    <s v="Social Commerce"/>
    <s v="Credit Card"/>
    <s v="Northeast"/>
    <n v="1"/>
    <x v="3"/>
    <n v="192.7"/>
    <n v="0"/>
    <n v="0"/>
    <n v="7.64"/>
    <n v="77.22"/>
    <n v="15.42"/>
    <n v="5.89"/>
    <s v="No"/>
    <n v="0"/>
    <n v="192.7"/>
    <n v="106.17"/>
    <n v="86.53"/>
    <n v="0"/>
  </r>
  <r>
    <s v="ORD-000460"/>
    <s v="C-0413"/>
    <d v="2024-12-06T00:00:00"/>
    <s v="Social Commerce"/>
    <s v="Gift Card"/>
    <s v="Southeast"/>
    <n v="1"/>
    <x v="5"/>
    <n v="11.52"/>
    <n v="0"/>
    <n v="0"/>
    <n v="7.58"/>
    <n v="3.71"/>
    <n v="0.92"/>
    <n v="0.63"/>
    <s v="No"/>
    <n v="0"/>
    <n v="11.52"/>
    <n v="12.84"/>
    <n v="-1.32"/>
    <n v="0"/>
  </r>
  <r>
    <s v="ORD-000461"/>
    <s v="C-0390"/>
    <d v="2025-08-29T00:00:00"/>
    <s v="Marketplace"/>
    <s v="Debit Card"/>
    <s v="Midwest"/>
    <n v="2"/>
    <x v="4"/>
    <n v="66.63"/>
    <n v="10"/>
    <n v="6.66"/>
    <n v="14.76"/>
    <n v="22.56"/>
    <n v="9"/>
    <n v="2.04"/>
    <s v="No"/>
    <n v="0"/>
    <n v="59.97"/>
    <n v="48.36"/>
    <n v="11.61"/>
    <n v="0"/>
  </r>
  <r>
    <s v="ORD-000462"/>
    <s v="C-0664"/>
    <d v="2024-02-20T00:00:00"/>
    <s v="Mobile App"/>
    <s v="Buy Now Pay Later"/>
    <s v="Northeast"/>
    <n v="2"/>
    <x v="5"/>
    <n v="147.33000000000001"/>
    <n v="0"/>
    <n v="0"/>
    <n v="67.66"/>
    <n v="80.88"/>
    <n v="0"/>
    <n v="4.57"/>
    <s v="No"/>
    <n v="0"/>
    <n v="147.33000000000001"/>
    <n v="153.11000000000001"/>
    <n v="-5.78"/>
    <n v="0"/>
  </r>
  <r>
    <s v="ORD-000463"/>
    <s v="C-0160"/>
    <d v="2025-10-13T00:00:00"/>
    <s v="Website"/>
    <s v="PayPal"/>
    <s v="Northeast"/>
    <n v="1"/>
    <x v="0"/>
    <n v="112.16"/>
    <n v="0"/>
    <n v="0"/>
    <n v="26.84"/>
    <n v="58.88"/>
    <n v="0"/>
    <n v="3.55"/>
    <s v="No"/>
    <n v="0"/>
    <n v="112.16"/>
    <n v="89.27"/>
    <n v="22.89"/>
    <n v="0"/>
  </r>
  <r>
    <s v="ORD-000464"/>
    <s v="C-0209"/>
    <d v="2025-07-19T00:00:00"/>
    <s v="Mobile App"/>
    <s v="Debit Card"/>
    <s v="Southwest"/>
    <n v="2"/>
    <x v="6"/>
    <n v="87"/>
    <n v="10"/>
    <n v="8.6999999999999993"/>
    <n v="23.04"/>
    <n v="39.39"/>
    <n v="0"/>
    <n v="2.57"/>
    <s v="No"/>
    <n v="0"/>
    <n v="78.3"/>
    <n v="65"/>
    <n v="13.3"/>
    <n v="0"/>
  </r>
  <r>
    <s v="ORD-000465"/>
    <s v="C-0375"/>
    <d v="2024-10-24T00:00:00"/>
    <s v="Website"/>
    <s v="Credit Card"/>
    <s v="Northeast"/>
    <n v="3"/>
    <x v="5"/>
    <n v="442.07"/>
    <n v="0"/>
    <n v="0"/>
    <n v="55.5"/>
    <n v="217.05"/>
    <n v="0"/>
    <n v="13.12"/>
    <s v="No"/>
    <n v="0"/>
    <n v="442.07"/>
    <n v="285.67"/>
    <n v="156.4"/>
    <n v="0"/>
  </r>
  <r>
    <s v="ORD-000466"/>
    <s v="C-0486"/>
    <d v="2025-05-21T00:00:00"/>
    <s v="Website"/>
    <s v="Credit Card"/>
    <s v="Southeast"/>
    <n v="2"/>
    <x v="4"/>
    <n v="358.53"/>
    <n v="10"/>
    <n v="35.85"/>
    <n v="31.3"/>
    <n v="120.41"/>
    <n v="0"/>
    <n v="9.66"/>
    <s v="No"/>
    <n v="0"/>
    <n v="322.68"/>
    <n v="161.37"/>
    <n v="161.31"/>
    <n v="0"/>
  </r>
  <r>
    <s v="ORD-000467"/>
    <s v="C-0489"/>
    <d v="2025-10-23T00:00:00"/>
    <s v="Mobile App"/>
    <s v="PayPal"/>
    <s v="Northeast"/>
    <n v="3"/>
    <x v="2"/>
    <n v="86.54"/>
    <n v="5"/>
    <n v="4.33"/>
    <n v="26.32"/>
    <n v="28.38"/>
    <n v="0"/>
    <n v="2.68"/>
    <s v="No"/>
    <n v="0"/>
    <n v="82.21"/>
    <n v="57.38"/>
    <n v="24.83"/>
    <n v="0"/>
  </r>
  <r>
    <s v="ORD-000468"/>
    <s v="C-0605"/>
    <d v="2025-06-18T00:00:00"/>
    <s v="Website"/>
    <s v="Buy Now Pay Later"/>
    <s v="Southwest"/>
    <n v="1"/>
    <x v="1"/>
    <n v="21.93"/>
    <n v="20"/>
    <n v="4.3899999999999997"/>
    <n v="14.06"/>
    <n v="15.36"/>
    <n v="0"/>
    <n v="0.81"/>
    <s v="No"/>
    <n v="0"/>
    <n v="17.54"/>
    <n v="30.23"/>
    <n v="-12.69"/>
    <n v="0"/>
  </r>
  <r>
    <s v="ORD-000469"/>
    <s v="C-0420"/>
    <d v="2025-02-11T00:00:00"/>
    <s v="Mobile App"/>
    <s v="PayPal"/>
    <s v="Southwest"/>
    <n v="3"/>
    <x v="3"/>
    <n v="218.94"/>
    <n v="20"/>
    <n v="43.79"/>
    <n v="48.96"/>
    <n v="118.06"/>
    <n v="0"/>
    <n v="5.38"/>
    <s v="No"/>
    <n v="0"/>
    <n v="175.15"/>
    <n v="172.4"/>
    <n v="2.75"/>
    <n v="0"/>
  </r>
  <r>
    <s v="ORD-000470"/>
    <s v="C-0149"/>
    <d v="2025-07-26T00:00:00"/>
    <s v="Mobile App"/>
    <s v="PayPal"/>
    <s v="West Coast"/>
    <n v="3"/>
    <x v="0"/>
    <n v="398.28"/>
    <n v="15"/>
    <n v="59.74"/>
    <n v="67.8"/>
    <n v="157.41999999999999"/>
    <n v="0"/>
    <n v="10.119999999999999"/>
    <s v="No"/>
    <n v="0"/>
    <n v="338.54"/>
    <n v="235.34"/>
    <n v="103.2"/>
    <n v="0"/>
  </r>
  <r>
    <s v="ORD-000471"/>
    <s v="C-0294"/>
    <d v="2025-06-13T00:00:00"/>
    <s v="Mobile App"/>
    <s v="Credit Card"/>
    <s v="Midwest"/>
    <n v="2"/>
    <x v="1"/>
    <n v="158.88999999999999"/>
    <n v="25"/>
    <n v="39.72"/>
    <n v="33.78"/>
    <n v="51.24"/>
    <n v="0"/>
    <n v="3.76"/>
    <s v="No"/>
    <n v="0"/>
    <n v="119.17"/>
    <n v="88.78"/>
    <n v="30.39"/>
    <n v="0"/>
  </r>
  <r>
    <s v="ORD-000472"/>
    <s v="C-0695"/>
    <d v="2025-11-12T00:00:00"/>
    <s v="Website"/>
    <s v="Buy Now Pay Later"/>
    <s v="Southeast"/>
    <n v="4"/>
    <x v="5"/>
    <n v="225.62"/>
    <n v="10"/>
    <n v="22.56"/>
    <n v="48"/>
    <n v="88.77"/>
    <n v="0"/>
    <n v="6.19"/>
    <s v="No"/>
    <n v="0"/>
    <n v="203.06"/>
    <n v="142.96"/>
    <n v="60.1"/>
    <n v="0"/>
  </r>
  <r>
    <s v="ORD-000473"/>
    <s v="C-0148"/>
    <d v="2025-07-17T00:00:00"/>
    <s v="Marketplace"/>
    <s v="Credit Card"/>
    <s v="Northeast"/>
    <n v="3"/>
    <x v="3"/>
    <n v="144.69999999999999"/>
    <n v="15"/>
    <n v="21.7"/>
    <n v="21.36"/>
    <n v="80.67"/>
    <n v="18.45"/>
    <n v="3.87"/>
    <s v="No"/>
    <n v="0"/>
    <n v="123"/>
    <n v="124.35"/>
    <n v="-1.35"/>
    <n v="0"/>
  </r>
  <r>
    <s v="ORD-000474"/>
    <s v="C-0010"/>
    <d v="2024-06-19T00:00:00"/>
    <s v="Marketplace"/>
    <s v="Credit Card"/>
    <s v="Northeast"/>
    <n v="1"/>
    <x v="5"/>
    <n v="27.16"/>
    <n v="10"/>
    <n v="2.72"/>
    <n v="11.34"/>
    <n v="13.64"/>
    <n v="3.67"/>
    <n v="1.01"/>
    <s v="No"/>
    <n v="0"/>
    <n v="24.44"/>
    <n v="29.66"/>
    <n v="-5.22"/>
    <n v="0"/>
  </r>
  <r>
    <s v="ORD-000475"/>
    <s v="C-0325"/>
    <d v="2025-07-24T00:00:00"/>
    <s v="Marketplace"/>
    <s v="Credit Card"/>
    <s v="Southwest"/>
    <n v="1"/>
    <x v="7"/>
    <n v="62.92"/>
    <n v="0"/>
    <n v="0"/>
    <n v="10.38"/>
    <n v="27.03"/>
    <n v="9.44"/>
    <n v="2.12"/>
    <s v="No"/>
    <n v="0"/>
    <n v="62.92"/>
    <n v="48.97"/>
    <n v="13.95"/>
    <n v="0"/>
  </r>
  <r>
    <s v="ORD-000476"/>
    <s v="C-0107"/>
    <d v="2025-09-26T00:00:00"/>
    <s v="Website"/>
    <s v="PayPal"/>
    <s v="West Coast"/>
    <n v="1"/>
    <x v="2"/>
    <n v="52.54"/>
    <n v="15"/>
    <n v="7.88"/>
    <n v="5.82"/>
    <n v="30.58"/>
    <n v="0"/>
    <n v="1.6"/>
    <s v="No"/>
    <n v="0"/>
    <n v="44.66"/>
    <n v="38"/>
    <n v="6.66"/>
    <n v="0"/>
  </r>
  <r>
    <s v="ORD-000477"/>
    <s v="C-0738"/>
    <d v="2024-10-03T00:00:00"/>
    <s v="Marketplace"/>
    <s v="Credit Card"/>
    <s v="Northeast"/>
    <n v="1"/>
    <x v="2"/>
    <n v="57.29"/>
    <n v="10"/>
    <n v="5.73"/>
    <n v="13.18"/>
    <n v="20.72"/>
    <n v="7.73"/>
    <n v="1.8"/>
    <s v="No"/>
    <n v="0"/>
    <n v="51.56"/>
    <n v="43.43"/>
    <n v="8.1300000000000008"/>
    <n v="0"/>
  </r>
  <r>
    <s v="ORD-000478"/>
    <s v="C-0745"/>
    <d v="2025-04-23T00:00:00"/>
    <s v="Mobile App"/>
    <s v="Buy Now Pay Later"/>
    <s v="Southeast"/>
    <n v="1"/>
    <x v="3"/>
    <n v="47.22"/>
    <n v="0"/>
    <n v="0"/>
    <n v="5.9"/>
    <n v="20.9"/>
    <n v="0"/>
    <n v="1.67"/>
    <s v="No"/>
    <n v="0"/>
    <n v="47.22"/>
    <n v="28.47"/>
    <n v="18.75"/>
    <n v="0"/>
  </r>
  <r>
    <s v="ORD-000479"/>
    <s v="C-0100"/>
    <d v="2025-06-28T00:00:00"/>
    <s v="Marketplace"/>
    <s v="Gift Card"/>
    <s v="Southwest"/>
    <n v="1"/>
    <x v="5"/>
    <n v="79.489999999999995"/>
    <n v="5"/>
    <n v="3.97"/>
    <n v="13.82"/>
    <n v="32.229999999999997"/>
    <n v="11.33"/>
    <n v="2.4900000000000002"/>
    <s v="No"/>
    <n v="0"/>
    <n v="75.52"/>
    <n v="59.87"/>
    <n v="15.65"/>
    <n v="0"/>
  </r>
  <r>
    <s v="ORD-000480"/>
    <s v="C-0218"/>
    <d v="2024-11-29T00:00:00"/>
    <s v="Marketplace"/>
    <s v="PayPal"/>
    <s v="West Coast"/>
    <n v="1"/>
    <x v="4"/>
    <n v="129.12"/>
    <n v="10"/>
    <n v="12.91"/>
    <n v="9.7200000000000006"/>
    <n v="65.34"/>
    <n v="17.43"/>
    <n v="3.67"/>
    <s v="No"/>
    <n v="0"/>
    <n v="116.21"/>
    <n v="96.16"/>
    <n v="20.05"/>
    <n v="0"/>
  </r>
  <r>
    <s v="ORD-000481"/>
    <s v="C-0254"/>
    <d v="2025-10-16T00:00:00"/>
    <s v="Mobile App"/>
    <s v="Credit Card"/>
    <s v="Midwest"/>
    <n v="1"/>
    <x v="2"/>
    <n v="157.62"/>
    <n v="0"/>
    <n v="0"/>
    <n v="17.46"/>
    <n v="91.74"/>
    <n v="0"/>
    <n v="4.87"/>
    <s v="No"/>
    <n v="0"/>
    <n v="157.62"/>
    <n v="114.07"/>
    <n v="43.55"/>
    <n v="0"/>
  </r>
  <r>
    <s v="ORD-000482"/>
    <s v="C-0060"/>
    <d v="2025-04-28T00:00:00"/>
    <s v="Website"/>
    <s v="PayPal"/>
    <s v="Southeast"/>
    <n v="2"/>
    <x v="6"/>
    <n v="130.63999999999999"/>
    <n v="5"/>
    <n v="6.53"/>
    <n v="41.12"/>
    <n v="44.09"/>
    <n v="0"/>
    <n v="3.9"/>
    <s v="No"/>
    <n v="0"/>
    <n v="124.11"/>
    <n v="89.11"/>
    <n v="35"/>
    <n v="0"/>
  </r>
  <r>
    <s v="ORD-000483"/>
    <s v="C-0532"/>
    <d v="2025-10-04T00:00:00"/>
    <s v="Website"/>
    <s v="Credit Card"/>
    <s v="West Coast"/>
    <n v="1"/>
    <x v="1"/>
    <n v="21.93"/>
    <n v="0"/>
    <n v="0"/>
    <n v="14.06"/>
    <n v="15.36"/>
    <n v="0"/>
    <n v="0.94"/>
    <s v="No"/>
    <n v="0"/>
    <n v="21.93"/>
    <n v="30.36"/>
    <n v="-8.43"/>
    <n v="0"/>
  </r>
  <r>
    <s v="ORD-000484"/>
    <s v="C-0569"/>
    <d v="2025-03-12T00:00:00"/>
    <s v="Mobile App"/>
    <s v="PayPal"/>
    <s v="Northeast"/>
    <n v="3"/>
    <x v="1"/>
    <n v="352.99"/>
    <n v="10"/>
    <n v="35.299999999999997"/>
    <n v="39.840000000000003"/>
    <n v="112.44"/>
    <n v="0"/>
    <n v="9.51"/>
    <s v="No"/>
    <n v="0"/>
    <n v="317.69"/>
    <n v="161.79"/>
    <n v="155.9"/>
    <n v="0"/>
  </r>
  <r>
    <s v="ORD-000485"/>
    <s v="C-0634"/>
    <d v="2025-07-08T00:00:00"/>
    <s v="Marketplace"/>
    <s v="PayPal"/>
    <s v="West Coast"/>
    <n v="2"/>
    <x v="0"/>
    <n v="212.45"/>
    <n v="10"/>
    <n v="21.25"/>
    <n v="22.98"/>
    <n v="60.76"/>
    <n v="28.68"/>
    <n v="5.84"/>
    <s v="No"/>
    <n v="0"/>
    <n v="191.2"/>
    <n v="118.26"/>
    <n v="72.94"/>
    <n v="0"/>
  </r>
  <r>
    <s v="ORD-000486"/>
    <s v="C-0330"/>
    <d v="2025-11-13T00:00:00"/>
    <s v="Website"/>
    <s v="Credit Card"/>
    <s v="Northeast"/>
    <n v="1"/>
    <x v="3"/>
    <n v="29.69"/>
    <n v="25"/>
    <n v="7.42"/>
    <n v="6.06"/>
    <n v="18.66"/>
    <n v="0"/>
    <n v="0.95"/>
    <s v="No"/>
    <n v="0"/>
    <n v="22.27"/>
    <n v="25.67"/>
    <n v="-3.4"/>
    <n v="0"/>
  </r>
  <r>
    <s v="ORD-000487"/>
    <s v="C-0073"/>
    <d v="2025-05-01T00:00:00"/>
    <s v="Marketplace"/>
    <s v="Credit Card"/>
    <s v="West Coast"/>
    <n v="1"/>
    <x v="2"/>
    <n v="19.95"/>
    <n v="10"/>
    <n v="2"/>
    <n v="4.46"/>
    <n v="6.83"/>
    <n v="2.69"/>
    <n v="0.82"/>
    <s v="No"/>
    <n v="0"/>
    <n v="17.95"/>
    <n v="14.8"/>
    <n v="3.15"/>
    <n v="0"/>
  </r>
  <r>
    <s v="ORD-000488"/>
    <s v="C-0070"/>
    <d v="2024-10-21T00:00:00"/>
    <s v="Mobile App"/>
    <s v="Credit Card"/>
    <s v="Southwest"/>
    <n v="1"/>
    <x v="6"/>
    <n v="19.54"/>
    <n v="20"/>
    <n v="3.91"/>
    <n v="23.48"/>
    <n v="8.98"/>
    <n v="0"/>
    <n v="0.75"/>
    <s v="No"/>
    <n v="0"/>
    <n v="15.63"/>
    <n v="33.21"/>
    <n v="-17.579999999999998"/>
    <n v="0"/>
  </r>
  <r>
    <s v="ORD-000489"/>
    <s v="C-0325"/>
    <d v="2025-03-05T00:00:00"/>
    <s v="Website"/>
    <s v="Credit Card"/>
    <s v="Southeast"/>
    <n v="4"/>
    <x v="6"/>
    <n v="386.8"/>
    <n v="0"/>
    <n v="0"/>
    <n v="77.92"/>
    <n v="151.80000000000001"/>
    <n v="0"/>
    <n v="11.52"/>
    <s v="No"/>
    <n v="0"/>
    <n v="386.8"/>
    <n v="241.24"/>
    <n v="145.56"/>
    <n v="0"/>
  </r>
  <r>
    <s v="ORD-000490"/>
    <s v="C-0088"/>
    <d v="2024-08-23T00:00:00"/>
    <s v="Social Commerce"/>
    <s v="Gift Card"/>
    <s v="Midwest"/>
    <n v="3"/>
    <x v="2"/>
    <n v="164.91"/>
    <n v="10"/>
    <n v="16.489999999999998"/>
    <n v="20.98"/>
    <n v="51.84"/>
    <n v="11.87"/>
    <n v="4.5999999999999996"/>
    <s v="No"/>
    <n v="0"/>
    <n v="148.41999999999999"/>
    <n v="89.29"/>
    <n v="59.13"/>
    <n v="0"/>
  </r>
  <r>
    <s v="ORD-000491"/>
    <s v="C-0031"/>
    <d v="2024-10-20T00:00:00"/>
    <s v="Website"/>
    <s v="Buy Now Pay Later"/>
    <s v="West Coast"/>
    <n v="1"/>
    <x v="0"/>
    <n v="89.42"/>
    <n v="10"/>
    <n v="8.94"/>
    <n v="10.78"/>
    <n v="36.299999999999997"/>
    <n v="0"/>
    <n v="2.63"/>
    <s v="No"/>
    <n v="0"/>
    <n v="80.48"/>
    <n v="49.71"/>
    <n v="30.77"/>
    <n v="0"/>
  </r>
  <r>
    <s v="ORD-000492"/>
    <s v="C-0654"/>
    <d v="2024-10-30T00:00:00"/>
    <s v="Website"/>
    <s v="PayPal"/>
    <s v="Southwest"/>
    <n v="1"/>
    <x v="5"/>
    <n v="48.08"/>
    <n v="0"/>
    <n v="0"/>
    <n v="15.26"/>
    <n v="34.07"/>
    <n v="0"/>
    <n v="1.69"/>
    <s v="No"/>
    <n v="0"/>
    <n v="48.08"/>
    <n v="51.02"/>
    <n v="-2.94"/>
    <n v="0"/>
  </r>
  <r>
    <s v="ORD-000493"/>
    <s v="C-0408"/>
    <d v="2024-09-05T00:00:00"/>
    <s v="Marketplace"/>
    <s v="PayPal"/>
    <s v="Midwest"/>
    <n v="2"/>
    <x v="6"/>
    <n v="89.96"/>
    <n v="0"/>
    <n v="0"/>
    <n v="44.96"/>
    <n v="38.74"/>
    <n v="13.49"/>
    <n v="2.91"/>
    <s v="No"/>
    <n v="0"/>
    <n v="89.96"/>
    <n v="100.1"/>
    <n v="-10.14"/>
    <n v="0"/>
  </r>
  <r>
    <s v="ORD-000494"/>
    <s v="C-0018"/>
    <d v="2025-06-23T00:00:00"/>
    <s v="Mobile App"/>
    <s v="Credit Card"/>
    <s v="Southwest"/>
    <n v="1"/>
    <x v="3"/>
    <n v="62.94"/>
    <n v="0"/>
    <n v="0"/>
    <n v="6.62"/>
    <n v="26.48"/>
    <n v="0"/>
    <n v="2.13"/>
    <s v="No"/>
    <n v="0"/>
    <n v="62.94"/>
    <n v="35.229999999999997"/>
    <n v="27.71"/>
    <n v="0"/>
  </r>
  <r>
    <s v="ORD-000495"/>
    <s v="C-0404"/>
    <d v="2024-10-10T00:00:00"/>
    <s v="Social Commerce"/>
    <s v="PayPal"/>
    <s v="West Coast"/>
    <n v="2"/>
    <x v="5"/>
    <n v="257.72000000000003"/>
    <n v="5"/>
    <n v="12.89"/>
    <n v="26.66"/>
    <n v="113.2"/>
    <n v="19.59"/>
    <n v="7.4"/>
    <s v="No"/>
    <n v="0"/>
    <n v="244.83"/>
    <n v="166.85"/>
    <n v="77.98"/>
    <n v="0"/>
  </r>
  <r>
    <s v="ORD-000496"/>
    <s v="C-0441"/>
    <d v="2025-10-19T00:00:00"/>
    <s v="Website"/>
    <s v="Credit Card"/>
    <s v="Midwest"/>
    <n v="1"/>
    <x v="5"/>
    <n v="11.52"/>
    <n v="0"/>
    <n v="0"/>
    <n v="7.58"/>
    <n v="3.71"/>
    <n v="0"/>
    <n v="0.63"/>
    <s v="No"/>
    <n v="0"/>
    <n v="11.52"/>
    <n v="11.92"/>
    <n v="-0.4"/>
    <n v="0"/>
  </r>
  <r>
    <s v="ORD-000497"/>
    <s v="C-0767"/>
    <d v="2024-08-01T00:00:00"/>
    <s v="Marketplace"/>
    <s v="Debit Card"/>
    <s v="Southeast"/>
    <n v="1"/>
    <x v="2"/>
    <n v="72.56"/>
    <n v="0"/>
    <n v="0"/>
    <n v="8.6999999999999993"/>
    <n v="35.81"/>
    <n v="10.88"/>
    <n v="2.4"/>
    <s v="No"/>
    <n v="0"/>
    <n v="72.56"/>
    <n v="57.79"/>
    <n v="14.77"/>
    <n v="0"/>
  </r>
  <r>
    <s v="ORD-000498"/>
    <s v="C-0500"/>
    <d v="2025-07-08T00:00:00"/>
    <s v="Website"/>
    <s v="Credit Card"/>
    <s v="Southwest"/>
    <n v="2"/>
    <x v="4"/>
    <n v="92.82"/>
    <n v="0"/>
    <n v="0"/>
    <n v="16.440000000000001"/>
    <n v="31.25"/>
    <n v="0"/>
    <n v="2.99"/>
    <s v="No"/>
    <n v="0"/>
    <n v="92.82"/>
    <n v="50.68"/>
    <n v="42.14"/>
    <n v="0"/>
  </r>
  <r>
    <s v="ORD-000499"/>
    <s v="C-0771"/>
    <d v="2025-08-24T00:00:00"/>
    <s v="Social Commerce"/>
    <s v="Credit Card"/>
    <s v="West Coast"/>
    <n v="2"/>
    <x v="5"/>
    <n v="69.39"/>
    <n v="0"/>
    <n v="0"/>
    <n v="17.8"/>
    <n v="45.52"/>
    <n v="5.55"/>
    <n v="2.31"/>
    <s v="No"/>
    <n v="0"/>
    <n v="69.39"/>
    <n v="71.180000000000007"/>
    <n v="-1.79"/>
    <n v="0"/>
  </r>
  <r>
    <s v="ORD-000500"/>
    <s v="C-0231"/>
    <d v="2025-07-12T00:00:00"/>
    <s v="Marketplace"/>
    <s v="Credit Card"/>
    <s v="Northeast"/>
    <n v="1"/>
    <x v="3"/>
    <n v="27.71"/>
    <n v="0"/>
    <n v="0"/>
    <n v="12.94"/>
    <n v="11.44"/>
    <n v="4.16"/>
    <n v="1.1000000000000001"/>
    <s v="No"/>
    <n v="0"/>
    <n v="27.71"/>
    <n v="29.64"/>
    <n v="-1.93"/>
    <n v="0"/>
  </r>
  <r>
    <s v="ORD-000501"/>
    <s v="C-0104"/>
    <d v="2025-02-06T00:00:00"/>
    <s v="Website"/>
    <s v="Credit Card"/>
    <s v="West Coast"/>
    <n v="2"/>
    <x v="4"/>
    <n v="91.87"/>
    <n v="0"/>
    <n v="0"/>
    <n v="22.2"/>
    <n v="33.6"/>
    <n v="0"/>
    <n v="2.96"/>
    <s v="No"/>
    <n v="0"/>
    <n v="91.87"/>
    <n v="58.76"/>
    <n v="33.11"/>
    <n v="0"/>
  </r>
  <r>
    <s v="ORD-000502"/>
    <s v="C-0370"/>
    <d v="2025-07-01T00:00:00"/>
    <s v="Marketplace"/>
    <s v="PayPal"/>
    <s v="Midwest"/>
    <n v="1"/>
    <x v="0"/>
    <n v="68.98"/>
    <n v="0"/>
    <n v="0"/>
    <n v="14.54"/>
    <n v="25.39"/>
    <n v="10.35"/>
    <n v="2.2999999999999998"/>
    <s v="Yes"/>
    <n v="68.98"/>
    <n v="0"/>
    <n v="52.58"/>
    <n v="-52.58"/>
    <n v="0"/>
  </r>
  <r>
    <s v="ORD-000503"/>
    <s v="C-0268"/>
    <d v="2024-10-29T00:00:00"/>
    <s v="Mobile App"/>
    <s v="Debit Card"/>
    <s v="Midwest"/>
    <n v="1"/>
    <x v="2"/>
    <n v="20.100000000000001"/>
    <n v="10"/>
    <n v="2.0099999999999998"/>
    <n v="18.36"/>
    <n v="13.82"/>
    <n v="0"/>
    <n v="0.82"/>
    <s v="No"/>
    <n v="0"/>
    <n v="18.09"/>
    <n v="33"/>
    <n v="-14.91"/>
    <n v="0"/>
  </r>
  <r>
    <s v="ORD-000504"/>
    <s v="C-0721"/>
    <d v="2024-11-11T00:00:00"/>
    <s v="Website"/>
    <s v="PayPal"/>
    <s v="Midwest"/>
    <n v="3"/>
    <x v="1"/>
    <n v="115.32"/>
    <n v="0"/>
    <n v="0"/>
    <n v="43.76"/>
    <n v="66.040000000000006"/>
    <n v="0"/>
    <n v="3.64"/>
    <s v="No"/>
    <n v="0"/>
    <n v="115.32"/>
    <n v="113.44"/>
    <n v="1.88"/>
    <n v="1"/>
  </r>
  <r>
    <s v="ORD-000505"/>
    <s v="C-0651"/>
    <d v="2025-11-04T00:00:00"/>
    <s v="Marketplace"/>
    <s v="Credit Card"/>
    <s v="Midwest"/>
    <n v="1"/>
    <x v="4"/>
    <n v="46.68"/>
    <n v="10"/>
    <n v="4.67"/>
    <n v="10.3"/>
    <n v="15.73"/>
    <n v="6.3"/>
    <n v="1.52"/>
    <s v="No"/>
    <n v="0"/>
    <n v="42.01"/>
    <n v="33.85"/>
    <n v="8.16"/>
    <n v="0"/>
  </r>
  <r>
    <s v="ORD-000506"/>
    <s v="C-0155"/>
    <d v="2025-09-24T00:00:00"/>
    <s v="Website"/>
    <s v="PayPal"/>
    <s v="Northeast"/>
    <n v="1"/>
    <x v="5"/>
    <n v="111.64"/>
    <n v="0"/>
    <n v="0"/>
    <n v="14.22"/>
    <n v="37.840000000000003"/>
    <n v="0"/>
    <n v="3.54"/>
    <s v="No"/>
    <n v="0"/>
    <n v="111.64"/>
    <n v="55.6"/>
    <n v="56.04"/>
    <n v="0"/>
  </r>
  <r>
    <s v="ORD-000507"/>
    <s v="C-0169"/>
    <d v="2025-09-20T00:00:00"/>
    <s v="Marketplace"/>
    <s v="PayPal"/>
    <s v="Midwest"/>
    <n v="1"/>
    <x v="2"/>
    <n v="58.97"/>
    <n v="25"/>
    <n v="14.74"/>
    <n v="6.22"/>
    <n v="23.51"/>
    <n v="6.63"/>
    <n v="1.58"/>
    <s v="No"/>
    <n v="0"/>
    <n v="44.23"/>
    <n v="37.94"/>
    <n v="6.29"/>
    <n v="0"/>
  </r>
  <r>
    <s v="ORD-000508"/>
    <s v="C-0070"/>
    <d v="2025-08-12T00:00:00"/>
    <s v="Website"/>
    <s v="Credit Card"/>
    <s v="Southeast"/>
    <n v="5"/>
    <x v="4"/>
    <n v="327.07"/>
    <n v="25"/>
    <n v="81.77"/>
    <n v="63.96"/>
    <n v="148.06"/>
    <n v="0"/>
    <n v="7.41"/>
    <s v="No"/>
    <n v="0"/>
    <n v="245.3"/>
    <n v="219.43"/>
    <n v="25.87"/>
    <n v="0"/>
  </r>
  <r>
    <s v="ORD-000509"/>
    <s v="C-0257"/>
    <d v="2024-05-25T00:00:00"/>
    <s v="Website"/>
    <s v="PayPal"/>
    <s v="Southwest"/>
    <n v="2"/>
    <x v="0"/>
    <n v="197.01"/>
    <n v="5"/>
    <n v="9.85"/>
    <n v="24.44"/>
    <n v="68.989999999999995"/>
    <n v="0"/>
    <n v="5.73"/>
    <s v="No"/>
    <n v="0"/>
    <n v="187.16"/>
    <n v="99.16"/>
    <n v="88"/>
    <n v="0"/>
  </r>
  <r>
    <s v="ORD-000510"/>
    <s v="C-0042"/>
    <d v="2025-03-23T00:00:00"/>
    <s v="Website"/>
    <s v="Gift Card"/>
    <s v="Southeast"/>
    <n v="1"/>
    <x v="2"/>
    <n v="14.74"/>
    <n v="10"/>
    <n v="1.47"/>
    <n v="5.58"/>
    <n v="4.57"/>
    <n v="0"/>
    <n v="0.68"/>
    <s v="No"/>
    <n v="0"/>
    <n v="13.27"/>
    <n v="10.83"/>
    <n v="2.44"/>
    <n v="0"/>
  </r>
  <r>
    <s v="ORD-000511"/>
    <s v="C-0002"/>
    <d v="2025-08-13T00:00:00"/>
    <s v="Marketplace"/>
    <s v="Credit Card"/>
    <s v="Southeast"/>
    <n v="1"/>
    <x v="6"/>
    <n v="23.18"/>
    <n v="25"/>
    <n v="5.79"/>
    <n v="9.26"/>
    <n v="9.5500000000000007"/>
    <n v="2.61"/>
    <n v="0.8"/>
    <s v="No"/>
    <n v="0"/>
    <n v="17.39"/>
    <n v="22.22"/>
    <n v="-4.83"/>
    <n v="0"/>
  </r>
  <r>
    <s v="ORD-000512"/>
    <s v="C-0392"/>
    <d v="2024-06-30T00:00:00"/>
    <s v="Website"/>
    <s v="Debit Card"/>
    <s v="Southwest"/>
    <n v="1"/>
    <x v="0"/>
    <n v="153.84"/>
    <n v="0"/>
    <n v="0"/>
    <n v="37.14"/>
    <n v="64.319999999999993"/>
    <n v="0"/>
    <n v="4.76"/>
    <s v="No"/>
    <n v="0"/>
    <n v="153.84"/>
    <n v="106.22"/>
    <n v="47.62"/>
    <n v="0"/>
  </r>
  <r>
    <s v="ORD-000513"/>
    <s v="C-0371"/>
    <d v="2025-06-23T00:00:00"/>
    <s v="Marketplace"/>
    <s v="Credit Card"/>
    <s v="Southeast"/>
    <n v="2"/>
    <x v="1"/>
    <n v="97.73"/>
    <n v="5"/>
    <n v="4.8899999999999997"/>
    <n v="18.52"/>
    <n v="45.1"/>
    <n v="13.93"/>
    <n v="2.99"/>
    <s v="No"/>
    <n v="0"/>
    <n v="92.84"/>
    <n v="80.540000000000006"/>
    <n v="12.3"/>
    <n v="0"/>
  </r>
  <r>
    <s v="ORD-000514"/>
    <s v="C-0623"/>
    <d v="2025-11-11T00:00:00"/>
    <s v="Website"/>
    <s v="PayPal"/>
    <s v="West Coast"/>
    <n v="1"/>
    <x v="0"/>
    <n v="24.31"/>
    <n v="0"/>
    <n v="0"/>
    <n v="5.74"/>
    <n v="7.13"/>
    <n v="0"/>
    <n v="1"/>
    <s v="No"/>
    <n v="0"/>
    <n v="24.31"/>
    <n v="13.87"/>
    <n v="10.44"/>
    <n v="0"/>
  </r>
  <r>
    <s v="ORD-000515"/>
    <s v="C-0723"/>
    <d v="2024-08-05T00:00:00"/>
    <s v="Mobile App"/>
    <s v="PayPal"/>
    <s v="Midwest"/>
    <n v="2"/>
    <x v="1"/>
    <n v="119.19"/>
    <n v="15"/>
    <n v="17.88"/>
    <n v="26.36"/>
    <n v="44.11"/>
    <n v="0"/>
    <n v="3.24"/>
    <s v="No"/>
    <n v="0"/>
    <n v="101.31"/>
    <n v="73.709999999999994"/>
    <n v="27.6"/>
    <n v="0"/>
  </r>
  <r>
    <s v="ORD-000516"/>
    <s v="C-0707"/>
    <d v="2024-04-30T00:00:00"/>
    <s v="Mobile App"/>
    <s v="Credit Card"/>
    <s v="Southwest"/>
    <n v="1"/>
    <x v="0"/>
    <n v="73.73"/>
    <n v="15"/>
    <n v="11.06"/>
    <n v="9.34"/>
    <n v="48.17"/>
    <n v="0"/>
    <n v="2.12"/>
    <s v="No"/>
    <n v="0"/>
    <n v="62.67"/>
    <n v="59.63"/>
    <n v="3.04"/>
    <n v="0"/>
  </r>
  <r>
    <s v="ORD-000517"/>
    <s v="C-0018"/>
    <d v="2025-10-16T00:00:00"/>
    <s v="Social Commerce"/>
    <s v="Debit Card"/>
    <s v="Southeast"/>
    <n v="1"/>
    <x v="3"/>
    <n v="62.94"/>
    <n v="0"/>
    <n v="0"/>
    <n v="6.62"/>
    <n v="26.48"/>
    <n v="5.04"/>
    <n v="2.13"/>
    <s v="No"/>
    <n v="0"/>
    <n v="62.94"/>
    <n v="40.270000000000003"/>
    <n v="22.67"/>
    <n v="0"/>
  </r>
  <r>
    <s v="ORD-000518"/>
    <s v="C-0677"/>
    <d v="2025-08-17T00:00:00"/>
    <s v="Mobile App"/>
    <s v="PayPal"/>
    <s v="Northeast"/>
    <n v="2"/>
    <x v="3"/>
    <n v="86.54"/>
    <n v="10"/>
    <n v="8.65"/>
    <n v="14.58"/>
    <n v="30.43"/>
    <n v="0"/>
    <n v="2.56"/>
    <s v="No"/>
    <n v="0"/>
    <n v="77.89"/>
    <n v="47.57"/>
    <n v="30.32"/>
    <n v="0"/>
  </r>
  <r>
    <s v="ORD-000519"/>
    <s v="C-0332"/>
    <d v="2025-03-15T00:00:00"/>
    <s v="Mobile App"/>
    <s v="Buy Now Pay Later"/>
    <s v="West Coast"/>
    <n v="2"/>
    <x v="2"/>
    <n v="107.37"/>
    <n v="5"/>
    <n v="5.37"/>
    <n v="25"/>
    <n v="44.36"/>
    <n v="0"/>
    <n v="3.26"/>
    <s v="No"/>
    <n v="0"/>
    <n v="102"/>
    <n v="72.62"/>
    <n v="29.38"/>
    <n v="0"/>
  </r>
  <r>
    <s v="ORD-000520"/>
    <s v="C-0780"/>
    <d v="2025-05-08T00:00:00"/>
    <s v="Mobile App"/>
    <s v="PayPal"/>
    <s v="Southeast"/>
    <n v="1"/>
    <x v="5"/>
    <n v="23.04"/>
    <n v="25"/>
    <n v="5.76"/>
    <n v="15.16"/>
    <n v="7.42"/>
    <n v="0"/>
    <n v="0.8"/>
    <s v="No"/>
    <n v="0"/>
    <n v="17.28"/>
    <n v="23.38"/>
    <n v="-6.1"/>
    <n v="0"/>
  </r>
  <r>
    <s v="ORD-000521"/>
    <s v="C-0559"/>
    <d v="2025-03-23T00:00:00"/>
    <s v="Website"/>
    <s v="PayPal"/>
    <s v="Midwest"/>
    <n v="3"/>
    <x v="0"/>
    <n v="215.1"/>
    <n v="0"/>
    <n v="0"/>
    <n v="55.9"/>
    <n v="78.540000000000006"/>
    <n v="0"/>
    <n v="6.54"/>
    <s v="No"/>
    <n v="0"/>
    <n v="215.1"/>
    <n v="140.97999999999999"/>
    <n v="74.12"/>
    <n v="0"/>
  </r>
  <r>
    <s v="ORD-000522"/>
    <s v="C-0380"/>
    <d v="2024-10-07T00:00:00"/>
    <s v="Mobile App"/>
    <s v="Credit Card"/>
    <s v="West Coast"/>
    <n v="1"/>
    <x v="6"/>
    <n v="31.87"/>
    <n v="0"/>
    <n v="0"/>
    <n v="9.58"/>
    <n v="10.3"/>
    <n v="0"/>
    <n v="1.22"/>
    <s v="No"/>
    <n v="0"/>
    <n v="31.87"/>
    <n v="21.1"/>
    <n v="10.77"/>
    <n v="0"/>
  </r>
  <r>
    <s v="ORD-000523"/>
    <s v="C-0336"/>
    <d v="2024-06-17T00:00:00"/>
    <s v="Social Commerce"/>
    <s v="PayPal"/>
    <s v="Southwest"/>
    <n v="1"/>
    <x v="5"/>
    <n v="334.32"/>
    <n v="10"/>
    <n v="33.43"/>
    <n v="27.06"/>
    <n v="109.02"/>
    <n v="24.07"/>
    <n v="9.0299999999999994"/>
    <s v="No"/>
    <n v="0"/>
    <n v="300.89"/>
    <n v="169.18"/>
    <n v="131.71"/>
    <n v="0"/>
  </r>
  <r>
    <s v="ORD-000524"/>
    <s v="C-0746"/>
    <d v="2025-03-12T00:00:00"/>
    <s v="Website"/>
    <s v="Credit Card"/>
    <s v="Southeast"/>
    <n v="2"/>
    <x v="7"/>
    <n v="228.5"/>
    <n v="0"/>
    <n v="0"/>
    <n v="26.66"/>
    <n v="86.96"/>
    <n v="0"/>
    <n v="6.93"/>
    <s v="No"/>
    <n v="0"/>
    <n v="228.5"/>
    <n v="120.55"/>
    <n v="107.95"/>
    <n v="0"/>
  </r>
  <r>
    <s v="ORD-000525"/>
    <s v="C-0222"/>
    <d v="2025-11-24T00:00:00"/>
    <s v="Website"/>
    <s v="Credit Card"/>
    <s v="Southeast"/>
    <n v="3"/>
    <x v="4"/>
    <n v="161.13999999999999"/>
    <n v="25"/>
    <n v="40.28"/>
    <n v="29.86"/>
    <n v="80.39"/>
    <n v="0"/>
    <n v="3.8"/>
    <s v="No"/>
    <n v="0"/>
    <n v="120.86"/>
    <n v="114.05"/>
    <n v="6.81"/>
    <n v="0"/>
  </r>
  <r>
    <s v="ORD-000526"/>
    <s v="C-0629"/>
    <d v="2025-02-05T00:00:00"/>
    <s v="Social Commerce"/>
    <s v="Credit Card"/>
    <s v="Midwest"/>
    <n v="2"/>
    <x v="3"/>
    <n v="117.26"/>
    <n v="0"/>
    <n v="0"/>
    <n v="29.3"/>
    <n v="53.76"/>
    <n v="9.3800000000000008"/>
    <n v="3.7"/>
    <s v="No"/>
    <n v="0"/>
    <n v="117.26"/>
    <n v="96.14"/>
    <n v="21.12"/>
    <n v="0"/>
  </r>
  <r>
    <s v="ORD-000527"/>
    <s v="C-0536"/>
    <d v="2025-08-06T00:00:00"/>
    <s v="Marketplace"/>
    <s v="PayPal"/>
    <s v="Northeast"/>
    <n v="3"/>
    <x v="4"/>
    <n v="236.82"/>
    <n v="0"/>
    <n v="0"/>
    <n v="44.38"/>
    <n v="81.33"/>
    <n v="35.520000000000003"/>
    <n v="7.17"/>
    <s v="No"/>
    <n v="0"/>
    <n v="236.82"/>
    <n v="168.4"/>
    <n v="68.42"/>
    <n v="0"/>
  </r>
  <r>
    <s v="ORD-000528"/>
    <s v="C-0195"/>
    <d v="2024-09-20T00:00:00"/>
    <s v="Social Commerce"/>
    <s v="Credit Card"/>
    <s v="Northeast"/>
    <n v="2"/>
    <x v="3"/>
    <n v="166.63"/>
    <n v="10"/>
    <n v="16.66"/>
    <n v="34.1"/>
    <n v="112.34"/>
    <n v="12"/>
    <n v="4.6500000000000004"/>
    <s v="No"/>
    <n v="0"/>
    <n v="149.97"/>
    <n v="163.09"/>
    <n v="-13.12"/>
    <n v="0"/>
  </r>
  <r>
    <s v="ORD-000529"/>
    <s v="C-0647"/>
    <d v="2025-01-06T00:00:00"/>
    <s v="Mobile App"/>
    <s v="PayPal"/>
    <s v="Midwest"/>
    <n v="1"/>
    <x v="6"/>
    <n v="23.61"/>
    <n v="0"/>
    <n v="0"/>
    <n v="8.2200000000000006"/>
    <n v="7.31"/>
    <n v="0"/>
    <n v="0.98"/>
    <s v="No"/>
    <n v="0"/>
    <n v="23.61"/>
    <n v="16.510000000000002"/>
    <n v="7.1"/>
    <n v="0"/>
  </r>
  <r>
    <s v="ORD-000530"/>
    <s v="C-0460"/>
    <d v="2025-10-30T00:00:00"/>
    <s v="Website"/>
    <s v="PayPal"/>
    <s v="Midwest"/>
    <n v="3"/>
    <x v="0"/>
    <n v="129.22"/>
    <n v="5"/>
    <n v="6.46"/>
    <n v="25.78"/>
    <n v="45.85"/>
    <n v="0"/>
    <n v="3.86"/>
    <s v="No"/>
    <n v="0"/>
    <n v="122.76"/>
    <n v="75.489999999999995"/>
    <n v="47.27"/>
    <n v="0"/>
  </r>
  <r>
    <s v="ORD-000531"/>
    <s v="C-0594"/>
    <d v="2024-12-03T00:00:00"/>
    <s v="Social Commerce"/>
    <s v="Credit Card"/>
    <s v="Southeast"/>
    <n v="1"/>
    <x v="4"/>
    <n v="173.5"/>
    <n v="0"/>
    <n v="0"/>
    <n v="25.88"/>
    <n v="53.72"/>
    <n v="13.88"/>
    <n v="5.33"/>
    <s v="No"/>
    <n v="0"/>
    <n v="173.5"/>
    <n v="98.81"/>
    <n v="74.69"/>
    <n v="0"/>
  </r>
  <r>
    <s v="ORD-000532"/>
    <s v="C-0068"/>
    <d v="2025-07-07T00:00:00"/>
    <s v="Website"/>
    <s v="Buy Now Pay Later"/>
    <s v="Southeast"/>
    <n v="3"/>
    <x v="0"/>
    <n v="52.31"/>
    <n v="15"/>
    <n v="7.85"/>
    <n v="21.22"/>
    <n v="25.14"/>
    <n v="0"/>
    <n v="1.59"/>
    <s v="No"/>
    <n v="0"/>
    <n v="44.46"/>
    <n v="47.95"/>
    <n v="-3.49"/>
    <n v="0"/>
  </r>
  <r>
    <s v="ORD-000533"/>
    <s v="C-0645"/>
    <d v="2025-07-06T00:00:00"/>
    <s v="Marketplace"/>
    <s v="Credit Card"/>
    <s v="Midwest"/>
    <n v="4"/>
    <x v="7"/>
    <n v="348.82"/>
    <n v="10"/>
    <n v="34.880000000000003"/>
    <n v="50.36"/>
    <n v="122.17"/>
    <n v="47.09"/>
    <n v="9.4"/>
    <s v="No"/>
    <n v="0"/>
    <n v="313.94"/>
    <n v="229.02"/>
    <n v="84.92"/>
    <n v="0"/>
  </r>
  <r>
    <s v="ORD-000534"/>
    <s v="C-0387"/>
    <d v="2025-09-02T00:00:00"/>
    <s v="Mobile App"/>
    <s v="Buy Now Pay Later"/>
    <s v="Southeast"/>
    <n v="1"/>
    <x v="1"/>
    <n v="122.88"/>
    <n v="0"/>
    <n v="0"/>
    <n v="24.12"/>
    <n v="39.6"/>
    <n v="0"/>
    <n v="3.86"/>
    <s v="No"/>
    <n v="0"/>
    <n v="122.88"/>
    <n v="67.58"/>
    <n v="55.3"/>
    <n v="0"/>
  </r>
  <r>
    <s v="ORD-000535"/>
    <s v="C-0401"/>
    <d v="2025-08-26T00:00:00"/>
    <s v="Mobile App"/>
    <s v="Credit Card"/>
    <s v="Northeast"/>
    <n v="3"/>
    <x v="7"/>
    <n v="77.3"/>
    <n v="5"/>
    <n v="3.87"/>
    <n v="35.06"/>
    <n v="27.54"/>
    <n v="0"/>
    <n v="2.4300000000000002"/>
    <s v="No"/>
    <n v="0"/>
    <n v="73.430000000000007"/>
    <n v="65.03"/>
    <n v="8.4"/>
    <n v="0"/>
  </r>
  <r>
    <s v="ORD-000536"/>
    <s v="C-0164"/>
    <d v="2025-01-15T00:00:00"/>
    <s v="Website"/>
    <s v="Credit Card"/>
    <s v="Southwest"/>
    <n v="1"/>
    <x v="1"/>
    <n v="63.78"/>
    <n v="0"/>
    <n v="0"/>
    <n v="3.9"/>
    <n v="23.51"/>
    <n v="0"/>
    <n v="2.15"/>
    <s v="No"/>
    <n v="0"/>
    <n v="63.78"/>
    <n v="29.56"/>
    <n v="34.22"/>
    <n v="0"/>
  </r>
  <r>
    <s v="ORD-000537"/>
    <s v="C-0479"/>
    <d v="2025-04-27T00:00:00"/>
    <s v="Website"/>
    <s v="Credit Card"/>
    <s v="West Coast"/>
    <n v="2"/>
    <x v="7"/>
    <n v="61.9"/>
    <n v="0"/>
    <n v="0"/>
    <n v="30.44"/>
    <n v="40.67"/>
    <n v="0"/>
    <n v="2.1"/>
    <s v="No"/>
    <n v="0"/>
    <n v="61.9"/>
    <n v="73.209999999999994"/>
    <n v="-11.31"/>
    <n v="0"/>
  </r>
  <r>
    <s v="ORD-000538"/>
    <s v="C-0211"/>
    <d v="2025-06-28T00:00:00"/>
    <s v="Marketplace"/>
    <s v="Credit Card"/>
    <s v="West Coast"/>
    <n v="2"/>
    <x v="2"/>
    <n v="106.7"/>
    <n v="10"/>
    <n v="10.67"/>
    <n v="30.1"/>
    <n v="54.99"/>
    <n v="14.4"/>
    <n v="3.08"/>
    <s v="No"/>
    <n v="0"/>
    <n v="96.03"/>
    <n v="102.57"/>
    <n v="-6.54"/>
    <n v="0"/>
  </r>
  <r>
    <s v="ORD-000539"/>
    <s v="C-0705"/>
    <d v="2025-11-13T00:00:00"/>
    <s v="Website"/>
    <s v="Buy Now Pay Later"/>
    <s v="Northeast"/>
    <n v="2"/>
    <x v="7"/>
    <n v="66.069999999999993"/>
    <n v="0"/>
    <n v="0"/>
    <n v="12.84"/>
    <n v="35.64"/>
    <n v="0"/>
    <n v="2.2200000000000002"/>
    <s v="No"/>
    <n v="0"/>
    <n v="66.069999999999993"/>
    <n v="50.7"/>
    <n v="15.37"/>
    <n v="0"/>
  </r>
  <r>
    <s v="ORD-000540"/>
    <s v="C-0564"/>
    <d v="2025-08-10T00:00:00"/>
    <s v="Marketplace"/>
    <s v="PayPal"/>
    <s v="Midwest"/>
    <n v="1"/>
    <x v="4"/>
    <n v="191.78"/>
    <n v="10"/>
    <n v="19.18"/>
    <n v="18.68"/>
    <n v="54.8"/>
    <n v="25.89"/>
    <n v="5.31"/>
    <s v="No"/>
    <n v="0"/>
    <n v="172.6"/>
    <n v="104.68"/>
    <n v="67.92"/>
    <n v="0"/>
  </r>
  <r>
    <s v="ORD-000541"/>
    <s v="C-0122"/>
    <d v="2024-12-22T00:00:00"/>
    <s v="Mobile App"/>
    <s v="Credit Card"/>
    <s v="Southeast"/>
    <n v="1"/>
    <x v="6"/>
    <n v="23.18"/>
    <n v="10"/>
    <n v="2.3199999999999998"/>
    <n v="9.26"/>
    <n v="9.5500000000000007"/>
    <n v="0"/>
    <n v="0.9"/>
    <s v="No"/>
    <n v="0"/>
    <n v="20.86"/>
    <n v="19.71"/>
    <n v="1.1499999999999999"/>
    <n v="0"/>
  </r>
  <r>
    <s v="ORD-000542"/>
    <s v="C-0205"/>
    <d v="2024-12-27T00:00:00"/>
    <s v="Website"/>
    <s v="PayPal"/>
    <s v="Midwest"/>
    <n v="1"/>
    <x v="5"/>
    <n v="66.05"/>
    <n v="0"/>
    <n v="0"/>
    <n v="14.86"/>
    <n v="23.44"/>
    <n v="0"/>
    <n v="2.2200000000000002"/>
    <s v="No"/>
    <n v="0"/>
    <n v="66.05"/>
    <n v="40.520000000000003"/>
    <n v="25.53"/>
    <n v="0"/>
  </r>
  <r>
    <s v="ORD-000543"/>
    <s v="C-0669"/>
    <d v="2024-09-23T00:00:00"/>
    <s v="Website"/>
    <s v="PayPal"/>
    <s v="West Coast"/>
    <n v="1"/>
    <x v="0"/>
    <n v="192.38"/>
    <n v="10"/>
    <n v="19.239999999999998"/>
    <n v="10.06"/>
    <n v="72.59"/>
    <n v="0"/>
    <n v="5.32"/>
    <s v="No"/>
    <n v="0"/>
    <n v="173.14"/>
    <n v="87.97"/>
    <n v="85.17"/>
    <n v="0"/>
  </r>
  <r>
    <s v="ORD-000544"/>
    <s v="C-0511"/>
    <d v="2025-04-01T00:00:00"/>
    <s v="Marketplace"/>
    <s v="Buy Now Pay Later"/>
    <s v="Southwest"/>
    <n v="1"/>
    <x v="0"/>
    <n v="73.73"/>
    <n v="5"/>
    <n v="3.69"/>
    <n v="9.34"/>
    <n v="48.17"/>
    <n v="10.51"/>
    <n v="2.33"/>
    <s v="No"/>
    <n v="0"/>
    <n v="70.040000000000006"/>
    <n v="70.349999999999994"/>
    <n v="-0.31"/>
    <n v="0"/>
  </r>
  <r>
    <s v="ORD-000545"/>
    <s v="C-0131"/>
    <d v="2025-01-07T00:00:00"/>
    <s v="Mobile App"/>
    <s v="Buy Now Pay Later"/>
    <s v="Southeast"/>
    <n v="1"/>
    <x v="4"/>
    <n v="6.07"/>
    <n v="0"/>
    <n v="0"/>
    <n v="12.94"/>
    <n v="4.1399999999999997"/>
    <n v="0"/>
    <n v="0.48"/>
    <s v="No"/>
    <n v="0"/>
    <n v="6.07"/>
    <n v="17.559999999999999"/>
    <n v="-11.49"/>
    <n v="0"/>
  </r>
  <r>
    <s v="ORD-000546"/>
    <s v="C-0549"/>
    <d v="2025-04-08T00:00:00"/>
    <s v="Website"/>
    <s v="Credit Card"/>
    <s v="Midwest"/>
    <n v="4"/>
    <x v="2"/>
    <n v="348.67"/>
    <n v="0"/>
    <n v="0"/>
    <n v="103.9"/>
    <n v="178.12"/>
    <n v="0"/>
    <n v="10.41"/>
    <s v="No"/>
    <n v="0"/>
    <n v="348.67"/>
    <n v="292.43"/>
    <n v="56.24"/>
    <n v="0"/>
  </r>
  <r>
    <s v="ORD-000547"/>
    <s v="C-0105"/>
    <d v="2025-05-09T00:00:00"/>
    <s v="Mobile App"/>
    <s v="Credit Card"/>
    <s v="West Coast"/>
    <n v="1"/>
    <x v="4"/>
    <n v="21.55"/>
    <n v="0"/>
    <n v="0"/>
    <n v="15.1"/>
    <n v="12.4"/>
    <n v="0"/>
    <n v="0.92"/>
    <s v="No"/>
    <n v="0"/>
    <n v="21.55"/>
    <n v="28.42"/>
    <n v="-6.87"/>
    <n v="0"/>
  </r>
  <r>
    <s v="ORD-000548"/>
    <s v="C-0101"/>
    <d v="2024-11-09T00:00:00"/>
    <s v="Website"/>
    <s v="Debit Card"/>
    <s v="West Coast"/>
    <n v="3"/>
    <x v="4"/>
    <n v="233.4"/>
    <n v="10"/>
    <n v="23.34"/>
    <n v="50.24"/>
    <n v="100.83"/>
    <n v="0"/>
    <n v="6.39"/>
    <s v="No"/>
    <n v="0"/>
    <n v="210.06"/>
    <n v="157.46"/>
    <n v="52.6"/>
    <n v="0"/>
  </r>
  <r>
    <s v="ORD-000549"/>
    <s v="C-0222"/>
    <d v="2025-03-16T00:00:00"/>
    <s v="Website"/>
    <s v="Credit Card"/>
    <s v="Midwest"/>
    <n v="4"/>
    <x v="4"/>
    <n v="218.35"/>
    <n v="0"/>
    <n v="0"/>
    <n v="61.8"/>
    <n v="104.75"/>
    <n v="0"/>
    <n v="6.63"/>
    <s v="No"/>
    <n v="0"/>
    <n v="218.35"/>
    <n v="173.18"/>
    <n v="45.17"/>
    <n v="0"/>
  </r>
  <r>
    <s v="ORD-000550"/>
    <s v="C-0342"/>
    <d v="2024-09-24T00:00:00"/>
    <s v="Website"/>
    <s v="PayPal"/>
    <s v="Southeast"/>
    <n v="1"/>
    <x v="4"/>
    <n v="59.15"/>
    <n v="20"/>
    <n v="11.83"/>
    <n v="9.98"/>
    <n v="19.36"/>
    <n v="0"/>
    <n v="1.67"/>
    <s v="No"/>
    <n v="0"/>
    <n v="47.32"/>
    <n v="31.01"/>
    <n v="16.309999999999999"/>
    <n v="0"/>
  </r>
  <r>
    <s v="ORD-000551"/>
    <s v="C-0108"/>
    <d v="2024-05-25T00:00:00"/>
    <s v="Website"/>
    <s v="Gift Card"/>
    <s v="Southwest"/>
    <n v="3"/>
    <x v="7"/>
    <n v="308.26"/>
    <n v="15"/>
    <n v="46.24"/>
    <n v="57.5"/>
    <n v="132.96"/>
    <n v="0"/>
    <n v="7.9"/>
    <s v="No"/>
    <n v="0"/>
    <n v="262.02"/>
    <n v="198.36"/>
    <n v="63.66"/>
    <n v="0"/>
  </r>
  <r>
    <s v="ORD-000552"/>
    <s v="C-0693"/>
    <d v="2026-01-04T00:00:00"/>
    <s v="Mobile App"/>
    <s v="Credit Card"/>
    <s v="Southwest"/>
    <n v="1"/>
    <x v="2"/>
    <n v="69.12"/>
    <n v="10"/>
    <n v="6.91"/>
    <n v="9.1"/>
    <n v="20.88"/>
    <n v="0"/>
    <n v="2.1"/>
    <s v="No"/>
    <n v="0"/>
    <n v="62.21"/>
    <n v="32.08"/>
    <n v="30.13"/>
    <n v="0"/>
  </r>
  <r>
    <s v="ORD-000553"/>
    <s v="C-0251"/>
    <d v="2024-08-16T00:00:00"/>
    <s v="Mobile App"/>
    <s v="PayPal"/>
    <s v="West Coast"/>
    <n v="1"/>
    <x v="4"/>
    <n v="62.7"/>
    <n v="15"/>
    <n v="9.4"/>
    <n v="7.5"/>
    <n v="20.79"/>
    <n v="0"/>
    <n v="1.85"/>
    <s v="No"/>
    <n v="0"/>
    <n v="53.3"/>
    <n v="30.14"/>
    <n v="23.16"/>
    <n v="0"/>
  </r>
  <r>
    <s v="ORD-000554"/>
    <s v="C-0339"/>
    <d v="2024-09-04T00:00:00"/>
    <s v="Website"/>
    <s v="Credit Card"/>
    <s v="Southeast"/>
    <n v="1"/>
    <x v="4"/>
    <n v="95.89"/>
    <n v="0"/>
    <n v="0"/>
    <n v="9.34"/>
    <n v="27.4"/>
    <n v="0"/>
    <n v="3.08"/>
    <s v="No"/>
    <n v="0"/>
    <n v="95.89"/>
    <n v="39.82"/>
    <n v="56.07"/>
    <n v="0"/>
  </r>
  <r>
    <s v="ORD-000555"/>
    <s v="C-0312"/>
    <d v="2025-06-27T00:00:00"/>
    <s v="Social Commerce"/>
    <s v="Buy Now Pay Later"/>
    <s v="Midwest"/>
    <n v="1"/>
    <x v="0"/>
    <n v="78.790000000000006"/>
    <n v="20"/>
    <n v="15.76"/>
    <n v="13.5"/>
    <n v="31.36"/>
    <n v="5.04"/>
    <n v="2.13"/>
    <s v="No"/>
    <n v="0"/>
    <n v="63.03"/>
    <n v="52.03"/>
    <n v="11"/>
    <n v="0"/>
  </r>
  <r>
    <s v="ORD-000556"/>
    <s v="C-0796"/>
    <d v="2024-11-20T00:00:00"/>
    <s v="Website"/>
    <s v="Debit Card"/>
    <s v="Southwest"/>
    <n v="2"/>
    <x v="5"/>
    <n v="94.65"/>
    <n v="0"/>
    <n v="0"/>
    <n v="46.4"/>
    <n v="38.03"/>
    <n v="0"/>
    <n v="3.04"/>
    <s v="No"/>
    <n v="0"/>
    <n v="94.65"/>
    <n v="87.47"/>
    <n v="7.18"/>
    <n v="0"/>
  </r>
  <r>
    <s v="ORD-000557"/>
    <s v="C-0186"/>
    <d v="2025-10-17T00:00:00"/>
    <s v="Mobile App"/>
    <s v="Credit Card"/>
    <s v="Midwest"/>
    <n v="3"/>
    <x v="4"/>
    <n v="289.32"/>
    <n v="5"/>
    <n v="14.47"/>
    <n v="21.54"/>
    <n v="97.8"/>
    <n v="0"/>
    <n v="8.27"/>
    <s v="No"/>
    <n v="0"/>
    <n v="274.85000000000002"/>
    <n v="127.61"/>
    <n v="147.24"/>
    <n v="0"/>
  </r>
  <r>
    <s v="ORD-000558"/>
    <s v="C-0453"/>
    <d v="2025-08-04T00:00:00"/>
    <s v="Social Commerce"/>
    <s v="Credit Card"/>
    <s v="Southeast"/>
    <n v="2"/>
    <x v="7"/>
    <n v="134.68"/>
    <n v="5"/>
    <n v="6.73"/>
    <n v="39.46"/>
    <n v="50.89"/>
    <n v="10.24"/>
    <n v="4.01"/>
    <s v="Yes"/>
    <n v="127.95"/>
    <n v="0"/>
    <n v="104.6"/>
    <n v="-104.6"/>
    <n v="0"/>
  </r>
  <r>
    <s v="ORD-000559"/>
    <s v="C-0730"/>
    <d v="2024-09-16T00:00:00"/>
    <s v="Website"/>
    <s v="Debit Card"/>
    <s v="Northeast"/>
    <n v="2"/>
    <x v="0"/>
    <n v="234.42"/>
    <n v="10"/>
    <n v="23.44"/>
    <n v="15.72"/>
    <n v="70.05"/>
    <n v="0"/>
    <n v="6.42"/>
    <s v="No"/>
    <n v="0"/>
    <n v="210.98"/>
    <n v="92.19"/>
    <n v="118.79"/>
    <n v="0"/>
  </r>
  <r>
    <s v="ORD-000560"/>
    <s v="C-0529"/>
    <d v="2024-10-26T00:00:00"/>
    <s v="Social Commerce"/>
    <s v="PayPal"/>
    <s v="Southeast"/>
    <n v="2"/>
    <x v="7"/>
    <n v="68.3"/>
    <n v="0"/>
    <n v="0"/>
    <n v="26.12"/>
    <n v="27.85"/>
    <n v="5.46"/>
    <n v="2.2799999999999998"/>
    <s v="No"/>
    <n v="0"/>
    <n v="68.3"/>
    <n v="61.71"/>
    <n v="6.59"/>
    <n v="1"/>
  </r>
  <r>
    <s v="ORD-000561"/>
    <s v="C-0489"/>
    <d v="2025-09-25T00:00:00"/>
    <s v="Mobile App"/>
    <s v="Credit Card"/>
    <s v="Northeast"/>
    <n v="1"/>
    <x v="3"/>
    <n v="47.4"/>
    <n v="0"/>
    <n v="0"/>
    <n v="11.98"/>
    <n v="32.39"/>
    <n v="0"/>
    <n v="1.67"/>
    <s v="No"/>
    <n v="0"/>
    <n v="47.4"/>
    <n v="46.04"/>
    <n v="1.36"/>
    <n v="0"/>
  </r>
  <r>
    <s v="ORD-000562"/>
    <s v="C-0414"/>
    <d v="2024-06-08T00:00:00"/>
    <s v="Mobile App"/>
    <s v="Credit Card"/>
    <s v="Southwest"/>
    <n v="1"/>
    <x v="5"/>
    <n v="127.92"/>
    <n v="5"/>
    <n v="6.4"/>
    <n v="22.84"/>
    <n v="74.56"/>
    <n v="0"/>
    <n v="3.82"/>
    <s v="No"/>
    <n v="0"/>
    <n v="121.52"/>
    <n v="101.22"/>
    <n v="20.3"/>
    <n v="0"/>
  </r>
  <r>
    <s v="ORD-000563"/>
    <s v="C-0237"/>
    <d v="2024-05-04T00:00:00"/>
    <s v="Marketplace"/>
    <s v="Credit Card"/>
    <s v="Southeast"/>
    <n v="1"/>
    <x v="3"/>
    <n v="29.69"/>
    <n v="5"/>
    <n v="1.48"/>
    <n v="6.06"/>
    <n v="18.66"/>
    <n v="4.2300000000000004"/>
    <n v="1.1200000000000001"/>
    <s v="No"/>
    <n v="0"/>
    <n v="28.21"/>
    <n v="30.07"/>
    <n v="-1.86"/>
    <n v="0"/>
  </r>
  <r>
    <s v="ORD-000564"/>
    <s v="C-0106"/>
    <d v="2025-03-01T00:00:00"/>
    <s v="Website"/>
    <s v="Buy Now Pay Later"/>
    <s v="Northeast"/>
    <n v="3"/>
    <x v="3"/>
    <n v="195.48"/>
    <n v="15"/>
    <n v="29.32"/>
    <n v="42.38"/>
    <n v="81.52"/>
    <n v="0"/>
    <n v="5.12"/>
    <s v="No"/>
    <n v="0"/>
    <n v="166.16"/>
    <n v="129.02000000000001"/>
    <n v="37.14"/>
    <n v="0"/>
  </r>
  <r>
    <s v="ORD-000565"/>
    <s v="C-0364"/>
    <d v="2025-07-03T00:00:00"/>
    <s v="Website"/>
    <s v="Credit Card"/>
    <s v="Northeast"/>
    <n v="1"/>
    <x v="0"/>
    <n v="20.67"/>
    <n v="25"/>
    <n v="5.17"/>
    <n v="4.3"/>
    <n v="5.96"/>
    <n v="0"/>
    <n v="0.75"/>
    <s v="No"/>
    <n v="0"/>
    <n v="15.5"/>
    <n v="11.01"/>
    <n v="4.49"/>
    <n v="0"/>
  </r>
  <r>
    <s v="ORD-000566"/>
    <s v="C-0407"/>
    <d v="2025-09-03T00:00:00"/>
    <s v="Marketplace"/>
    <s v="PayPal"/>
    <s v="West Coast"/>
    <n v="2"/>
    <x v="6"/>
    <n v="54.19"/>
    <n v="15"/>
    <n v="8.1300000000000008"/>
    <n v="23.88"/>
    <n v="28.23"/>
    <n v="6.91"/>
    <n v="1.64"/>
    <s v="No"/>
    <n v="0"/>
    <n v="46.06"/>
    <n v="60.66"/>
    <n v="-14.6"/>
    <n v="0"/>
  </r>
  <r>
    <s v="ORD-000567"/>
    <s v="C-0305"/>
    <d v="2025-05-07T00:00:00"/>
    <s v="Mobile App"/>
    <s v="Credit Card"/>
    <s v="Southeast"/>
    <n v="1"/>
    <x v="4"/>
    <n v="56"/>
    <n v="0"/>
    <n v="0"/>
    <n v="12.86"/>
    <n v="19.82"/>
    <n v="0"/>
    <n v="1.92"/>
    <s v="No"/>
    <n v="0"/>
    <n v="56"/>
    <n v="34.6"/>
    <n v="21.4"/>
    <n v="0"/>
  </r>
  <r>
    <s v="ORD-000568"/>
    <s v="C-0475"/>
    <d v="2025-03-13T00:00:00"/>
    <s v="Website"/>
    <s v="Credit Card"/>
    <s v="Southwest"/>
    <n v="5"/>
    <x v="2"/>
    <n v="623.20000000000005"/>
    <n v="0"/>
    <n v="0"/>
    <n v="108.54"/>
    <n v="256.3"/>
    <n v="0"/>
    <n v="18.37"/>
    <s v="No"/>
    <n v="0"/>
    <n v="623.20000000000005"/>
    <n v="383.21"/>
    <n v="239.99"/>
    <n v="0"/>
  </r>
  <r>
    <s v="ORD-000569"/>
    <s v="C-0351"/>
    <d v="2024-08-28T00:00:00"/>
    <s v="Social Commerce"/>
    <s v="PayPal"/>
    <s v="Southwest"/>
    <n v="2"/>
    <x v="4"/>
    <n v="122.76"/>
    <n v="15"/>
    <n v="18.41"/>
    <n v="22.6"/>
    <n v="38.5"/>
    <n v="8.35"/>
    <n v="3.33"/>
    <s v="No"/>
    <n v="0"/>
    <n v="104.35"/>
    <n v="72.78"/>
    <n v="31.57"/>
    <n v="0"/>
  </r>
  <r>
    <s v="ORD-000570"/>
    <s v="C-0150"/>
    <d v="2025-04-01T00:00:00"/>
    <s v="Mobile App"/>
    <s v="PayPal"/>
    <s v="Northeast"/>
    <n v="2"/>
    <x v="1"/>
    <n v="67.27"/>
    <n v="15"/>
    <n v="10.09"/>
    <n v="13.56"/>
    <n v="27.77"/>
    <n v="0"/>
    <n v="1.96"/>
    <s v="No"/>
    <n v="0"/>
    <n v="57.18"/>
    <n v="43.29"/>
    <n v="13.89"/>
    <n v="0"/>
  </r>
  <r>
    <s v="ORD-000571"/>
    <s v="C-0033"/>
    <d v="2025-03-29T00:00:00"/>
    <s v="Website"/>
    <s v="PayPal"/>
    <s v="Midwest"/>
    <n v="1"/>
    <x v="4"/>
    <n v="93.89"/>
    <n v="20"/>
    <n v="18.78"/>
    <n v="6.14"/>
    <n v="32.81"/>
    <n v="0"/>
    <n v="2.48"/>
    <s v="No"/>
    <n v="0"/>
    <n v="75.11"/>
    <n v="41.43"/>
    <n v="33.68"/>
    <n v="0"/>
  </r>
  <r>
    <s v="ORD-000572"/>
    <s v="C-0759"/>
    <d v="2024-03-21T00:00:00"/>
    <s v="Marketplace"/>
    <s v="Credit Card"/>
    <s v="Southeast"/>
    <n v="3"/>
    <x v="6"/>
    <n v="371.3"/>
    <n v="0"/>
    <n v="0"/>
    <n v="29.36"/>
    <n v="114.95"/>
    <n v="55.7"/>
    <n v="11.07"/>
    <s v="No"/>
    <n v="0"/>
    <n v="371.3"/>
    <n v="211.08"/>
    <n v="160.22"/>
    <n v="0"/>
  </r>
  <r>
    <s v="ORD-000573"/>
    <s v="C-0028"/>
    <d v="2024-12-26T00:00:00"/>
    <s v="Website"/>
    <s v="PayPal"/>
    <s v="Southwest"/>
    <n v="1"/>
    <x v="3"/>
    <n v="45.69"/>
    <n v="5"/>
    <n v="2.2799999999999998"/>
    <n v="11.58"/>
    <n v="28.21"/>
    <n v="0"/>
    <n v="1.56"/>
    <s v="No"/>
    <n v="0"/>
    <n v="43.41"/>
    <n v="41.35"/>
    <n v="2.06"/>
    <n v="0"/>
  </r>
  <r>
    <s v="ORD-000574"/>
    <s v="C-0745"/>
    <d v="2025-07-06T00:00:00"/>
    <s v="Website"/>
    <s v="Credit Card"/>
    <s v="Southwest"/>
    <n v="2"/>
    <x v="1"/>
    <n v="49.54"/>
    <n v="10"/>
    <n v="4.95"/>
    <n v="16.12"/>
    <n v="17.11"/>
    <n v="0"/>
    <n v="1.59"/>
    <s v="No"/>
    <n v="0"/>
    <n v="44.59"/>
    <n v="34.82"/>
    <n v="9.77"/>
    <n v="0"/>
  </r>
  <r>
    <s v="ORD-000575"/>
    <s v="C-0760"/>
    <d v="2026-01-11T00:00:00"/>
    <s v="Website"/>
    <s v="Credit Card"/>
    <s v="Southwest"/>
    <n v="2"/>
    <x v="1"/>
    <n v="198.71"/>
    <n v="0"/>
    <n v="0"/>
    <n v="44.24"/>
    <n v="78.010000000000005"/>
    <n v="0"/>
    <n v="6.06"/>
    <s v="No"/>
    <n v="0"/>
    <n v="198.71"/>
    <n v="128.31"/>
    <n v="70.400000000000006"/>
    <n v="0"/>
  </r>
  <r>
    <s v="ORD-000576"/>
    <s v="C-0270"/>
    <d v="2025-09-05T00:00:00"/>
    <s v="Website"/>
    <s v="Debit Card"/>
    <s v="Midwest"/>
    <n v="1"/>
    <x v="0"/>
    <n v="182.6"/>
    <n v="0"/>
    <n v="0"/>
    <n v="8.7799999999999994"/>
    <n v="60.94"/>
    <n v="0"/>
    <n v="5.6"/>
    <s v="No"/>
    <n v="0"/>
    <n v="182.6"/>
    <n v="75.319999999999993"/>
    <n v="107.28"/>
    <n v="0"/>
  </r>
  <r>
    <s v="ORD-000577"/>
    <s v="C-0598"/>
    <d v="2025-05-08T00:00:00"/>
    <s v="Mobile App"/>
    <s v="PayPal"/>
    <s v="Southeast"/>
    <n v="1"/>
    <x v="6"/>
    <n v="95.61"/>
    <n v="0"/>
    <n v="0"/>
    <n v="28.74"/>
    <n v="30.9"/>
    <n v="0"/>
    <n v="3.07"/>
    <s v="No"/>
    <n v="0"/>
    <n v="95.61"/>
    <n v="62.71"/>
    <n v="32.9"/>
    <n v="0"/>
  </r>
  <r>
    <s v="ORD-000578"/>
    <s v="C-0227"/>
    <d v="2024-05-30T00:00:00"/>
    <s v="Social Commerce"/>
    <s v="PayPal"/>
    <s v="Midwest"/>
    <n v="3"/>
    <x v="2"/>
    <n v="154.85"/>
    <n v="0"/>
    <n v="0"/>
    <n v="31.14"/>
    <n v="74.010000000000005"/>
    <n v="12.39"/>
    <n v="4.79"/>
    <s v="No"/>
    <n v="0"/>
    <n v="154.85"/>
    <n v="122.33"/>
    <n v="32.520000000000003"/>
    <n v="0"/>
  </r>
  <r>
    <s v="ORD-000579"/>
    <s v="C-0399"/>
    <d v="2024-07-20T00:00:00"/>
    <s v="Mobile App"/>
    <s v="Buy Now Pay Later"/>
    <s v="Southwest"/>
    <n v="1"/>
    <x v="3"/>
    <n v="83.13"/>
    <n v="0"/>
    <n v="0"/>
    <n v="38.82"/>
    <n v="34.32"/>
    <n v="0"/>
    <n v="2.71"/>
    <s v="No"/>
    <n v="0"/>
    <n v="83.13"/>
    <n v="75.849999999999994"/>
    <n v="7.28"/>
    <n v="0"/>
  </r>
  <r>
    <s v="ORD-000580"/>
    <s v="C-0238"/>
    <d v="2024-11-06T00:00:00"/>
    <s v="Social Commerce"/>
    <s v="PayPal"/>
    <s v="Southwest"/>
    <n v="3"/>
    <x v="2"/>
    <n v="123.31"/>
    <n v="0"/>
    <n v="0"/>
    <n v="27.7"/>
    <n v="47.08"/>
    <n v="9.86"/>
    <n v="3.88"/>
    <s v="No"/>
    <n v="0"/>
    <n v="123.31"/>
    <n v="88.52"/>
    <n v="34.79"/>
    <n v="0"/>
  </r>
  <r>
    <s v="ORD-000581"/>
    <s v="C-0732"/>
    <d v="2024-11-30T00:00:00"/>
    <s v="Website"/>
    <s v="Gift Card"/>
    <s v="Northeast"/>
    <n v="2"/>
    <x v="4"/>
    <n v="223.74"/>
    <n v="15"/>
    <n v="33.56"/>
    <n v="28.9"/>
    <n v="80.790000000000006"/>
    <n v="0"/>
    <n v="5.82"/>
    <s v="No"/>
    <n v="0"/>
    <n v="190.18"/>
    <n v="115.51"/>
    <n v="74.67"/>
    <n v="0"/>
  </r>
  <r>
    <s v="ORD-000582"/>
    <s v="C-0007"/>
    <d v="2024-05-23T00:00:00"/>
    <s v="Website"/>
    <s v="Debit Card"/>
    <s v="Northeast"/>
    <n v="2"/>
    <x v="0"/>
    <n v="148.05000000000001"/>
    <n v="15"/>
    <n v="22.21"/>
    <n v="32.1"/>
    <n v="59.89"/>
    <n v="0"/>
    <n v="3.95"/>
    <s v="No"/>
    <n v="0"/>
    <n v="125.84"/>
    <n v="95.94"/>
    <n v="29.9"/>
    <n v="0"/>
  </r>
  <r>
    <s v="ORD-000583"/>
    <s v="C-0423"/>
    <d v="2025-05-26T00:00:00"/>
    <s v="Website"/>
    <s v="PayPal"/>
    <s v="Southwest"/>
    <n v="3"/>
    <x v="7"/>
    <n v="142.11000000000001"/>
    <n v="0"/>
    <n v="0"/>
    <n v="30.74"/>
    <n v="77.010000000000005"/>
    <n v="0"/>
    <n v="4.42"/>
    <s v="No"/>
    <n v="0"/>
    <n v="142.11000000000001"/>
    <n v="112.17"/>
    <n v="29.94"/>
    <n v="0"/>
  </r>
  <r>
    <s v="ORD-000584"/>
    <s v="C-0219"/>
    <d v="2025-11-30T00:00:00"/>
    <s v="Mobile App"/>
    <s v="Debit Card"/>
    <s v="Midwest"/>
    <n v="2"/>
    <x v="5"/>
    <n v="143.81"/>
    <n v="0"/>
    <n v="0"/>
    <n v="11"/>
    <n v="44.26"/>
    <n v="0"/>
    <n v="4.47"/>
    <s v="No"/>
    <n v="0"/>
    <n v="143.81"/>
    <n v="59.73"/>
    <n v="84.08"/>
    <n v="0"/>
  </r>
  <r>
    <s v="ORD-000585"/>
    <s v="C-0769"/>
    <d v="2024-08-25T00:00:00"/>
    <s v="Marketplace"/>
    <s v="PayPal"/>
    <s v="Southwest"/>
    <n v="1"/>
    <x v="5"/>
    <n v="19.41"/>
    <n v="0"/>
    <n v="0"/>
    <n v="12.7"/>
    <n v="8.4700000000000006"/>
    <n v="2.91"/>
    <n v="0.86"/>
    <s v="No"/>
    <n v="0"/>
    <n v="19.41"/>
    <n v="24.94"/>
    <n v="-5.53"/>
    <n v="0"/>
  </r>
  <r>
    <s v="ORD-000586"/>
    <s v="C-0170"/>
    <d v="2025-04-10T00:00:00"/>
    <s v="Social Commerce"/>
    <s v="Credit Card"/>
    <s v="Southeast"/>
    <n v="1"/>
    <x v="0"/>
    <n v="153.84"/>
    <n v="10"/>
    <n v="15.38"/>
    <n v="37.14"/>
    <n v="64.319999999999993"/>
    <n v="11.08"/>
    <n v="4.32"/>
    <s v="No"/>
    <n v="0"/>
    <n v="138.46"/>
    <n v="116.86"/>
    <n v="21.6"/>
    <n v="0"/>
  </r>
  <r>
    <s v="ORD-000587"/>
    <s v="C-0138"/>
    <d v="2025-04-27T00:00:00"/>
    <s v="Social Commerce"/>
    <s v="Debit Card"/>
    <s v="Southwest"/>
    <n v="1"/>
    <x v="5"/>
    <n v="9.48"/>
    <n v="10"/>
    <n v="0.95"/>
    <n v="13.1"/>
    <n v="3.49"/>
    <n v="0.68"/>
    <n v="0.55000000000000004"/>
    <s v="No"/>
    <n v="0"/>
    <n v="8.5299999999999994"/>
    <n v="17.82"/>
    <n v="-9.2899999999999991"/>
    <n v="0"/>
  </r>
  <r>
    <s v="ORD-000588"/>
    <s v="C-0256"/>
    <d v="2024-11-09T00:00:00"/>
    <s v="Website"/>
    <s v="PayPal"/>
    <s v="Southwest"/>
    <n v="1"/>
    <x v="7"/>
    <n v="124.36"/>
    <n v="0"/>
    <n v="0"/>
    <n v="12.12"/>
    <n v="53.92"/>
    <n v="0"/>
    <n v="3.91"/>
    <s v="No"/>
    <n v="0"/>
    <n v="124.36"/>
    <n v="69.95"/>
    <n v="54.41"/>
    <n v="0"/>
  </r>
  <r>
    <s v="ORD-000589"/>
    <s v="C-0329"/>
    <d v="2024-07-21T00:00:00"/>
    <s v="Mobile App"/>
    <s v="Credit Card"/>
    <s v="Southwest"/>
    <n v="1"/>
    <x v="3"/>
    <n v="17.399999999999999"/>
    <n v="15"/>
    <n v="2.61"/>
    <n v="12.3"/>
    <n v="7.23"/>
    <n v="0"/>
    <n v="0.73"/>
    <s v="No"/>
    <n v="0"/>
    <n v="14.79"/>
    <n v="20.260000000000002"/>
    <n v="-5.47"/>
    <n v="0"/>
  </r>
  <r>
    <s v="ORD-000590"/>
    <s v="C-0418"/>
    <d v="2025-05-11T00:00:00"/>
    <s v="Marketplace"/>
    <s v="Credit Card"/>
    <s v="Southwest"/>
    <n v="2"/>
    <x v="0"/>
    <n v="304.75"/>
    <n v="25"/>
    <n v="76.19"/>
    <n v="44.72"/>
    <n v="124.1"/>
    <n v="34.28"/>
    <n v="6.93"/>
    <s v="No"/>
    <n v="0"/>
    <n v="228.56"/>
    <n v="210.03"/>
    <n v="18.53"/>
    <n v="0"/>
  </r>
  <r>
    <s v="ORD-000591"/>
    <s v="C-0725"/>
    <d v="2025-08-16T00:00:00"/>
    <s v="Social Commerce"/>
    <s v="PayPal"/>
    <s v="West Coast"/>
    <n v="3"/>
    <x v="1"/>
    <n v="281.44"/>
    <n v="0"/>
    <n v="0"/>
    <n v="41.1"/>
    <n v="144.07"/>
    <n v="22.52"/>
    <n v="8.4600000000000009"/>
    <s v="No"/>
    <n v="0"/>
    <n v="281.44"/>
    <n v="216.15"/>
    <n v="65.290000000000006"/>
    <n v="0"/>
  </r>
  <r>
    <s v="ORD-000592"/>
    <s v="C-0079"/>
    <d v="2025-09-01T00:00:00"/>
    <s v="Marketplace"/>
    <s v="Credit Card"/>
    <s v="Midwest"/>
    <n v="1"/>
    <x v="4"/>
    <n v="24.88"/>
    <n v="0"/>
    <n v="0"/>
    <n v="7.02"/>
    <n v="13.77"/>
    <n v="3.73"/>
    <n v="1.02"/>
    <s v="No"/>
    <n v="0"/>
    <n v="24.88"/>
    <n v="25.54"/>
    <n v="-0.66"/>
    <n v="0"/>
  </r>
  <r>
    <s v="ORD-000593"/>
    <s v="C-0209"/>
    <d v="2025-06-16T00:00:00"/>
    <s v="Social Commerce"/>
    <s v="Buy Now Pay Later"/>
    <s v="West Coast"/>
    <n v="2"/>
    <x v="5"/>
    <n v="247.69"/>
    <n v="15"/>
    <n v="37.15"/>
    <n v="42.96"/>
    <n v="88.7"/>
    <n v="16.84"/>
    <n v="6.41"/>
    <s v="No"/>
    <n v="0"/>
    <n v="210.54"/>
    <n v="154.91"/>
    <n v="55.63"/>
    <n v="0"/>
  </r>
  <r>
    <s v="ORD-000594"/>
    <s v="C-0769"/>
    <d v="2025-01-19T00:00:00"/>
    <s v="Marketplace"/>
    <s v="Credit Card"/>
    <s v="Southwest"/>
    <n v="1"/>
    <x v="6"/>
    <n v="30.61"/>
    <n v="10"/>
    <n v="3.06"/>
    <n v="9.9"/>
    <n v="9.18"/>
    <n v="4.13"/>
    <n v="1.1000000000000001"/>
    <s v="No"/>
    <n v="0"/>
    <n v="27.55"/>
    <n v="24.31"/>
    <n v="3.24"/>
    <n v="0"/>
  </r>
  <r>
    <s v="ORD-000595"/>
    <s v="C-0173"/>
    <d v="2025-05-20T00:00:00"/>
    <s v="Website"/>
    <s v="Debit Card"/>
    <s v="West Coast"/>
    <n v="1"/>
    <x v="5"/>
    <n v="334.92"/>
    <n v="10"/>
    <n v="33.49"/>
    <n v="42.66"/>
    <n v="113.52"/>
    <n v="0"/>
    <n v="9.0399999999999991"/>
    <s v="Yes"/>
    <n v="301.43"/>
    <n v="0"/>
    <n v="165.22"/>
    <n v="-165.22"/>
    <n v="0"/>
  </r>
  <r>
    <s v="ORD-000596"/>
    <s v="C-0408"/>
    <d v="2025-09-28T00:00:00"/>
    <s v="Website"/>
    <s v="Credit Card"/>
    <s v="Southeast"/>
    <n v="1"/>
    <x v="6"/>
    <n v="10.41"/>
    <n v="5"/>
    <n v="0.52"/>
    <n v="9.58"/>
    <n v="4.5599999999999996"/>
    <n v="0"/>
    <n v="0.59"/>
    <s v="No"/>
    <n v="0"/>
    <n v="9.89"/>
    <n v="14.73"/>
    <n v="-4.84"/>
    <n v="0"/>
  </r>
  <r>
    <s v="ORD-000597"/>
    <s v="C-0396"/>
    <d v="2025-01-02T00:00:00"/>
    <s v="Marketplace"/>
    <s v="Gift Card"/>
    <s v="Southwest"/>
    <n v="2"/>
    <x v="5"/>
    <n v="182.51"/>
    <n v="0"/>
    <n v="0"/>
    <n v="16.920000000000002"/>
    <n v="65.19"/>
    <n v="27.38"/>
    <n v="5.59"/>
    <s v="No"/>
    <n v="0"/>
    <n v="182.51"/>
    <n v="115.08"/>
    <n v="67.430000000000007"/>
    <n v="1"/>
  </r>
  <r>
    <s v="ORD-000598"/>
    <s v="C-0391"/>
    <d v="2025-04-20T00:00:00"/>
    <s v="Mobile App"/>
    <s v="Buy Now Pay Later"/>
    <s v="Northeast"/>
    <n v="3"/>
    <x v="7"/>
    <n v="91.6"/>
    <n v="25"/>
    <n v="22.9"/>
    <n v="21.7"/>
    <n v="38.369999999999997"/>
    <n v="0"/>
    <n v="2.29"/>
    <s v="No"/>
    <n v="0"/>
    <n v="68.7"/>
    <n v="62.36"/>
    <n v="6.34"/>
    <n v="0"/>
  </r>
  <r>
    <s v="ORD-000599"/>
    <s v="C-0186"/>
    <d v="2024-07-08T00:00:00"/>
    <s v="Website"/>
    <s v="Credit Card"/>
    <s v="Southwest"/>
    <n v="1"/>
    <x v="1"/>
    <n v="11.11"/>
    <n v="10"/>
    <n v="1.1100000000000001"/>
    <n v="10.94"/>
    <n v="7.31"/>
    <n v="0"/>
    <n v="0.59"/>
    <s v="No"/>
    <n v="0"/>
    <n v="10"/>
    <n v="18.84"/>
    <n v="-8.84"/>
    <n v="0"/>
  </r>
  <r>
    <s v="ORD-000600"/>
    <s v="C-0208"/>
    <d v="2024-06-12T00:00:00"/>
    <s v="Website"/>
    <s v="Credit Card"/>
    <s v="Southwest"/>
    <n v="1"/>
    <x v="5"/>
    <n v="9.48"/>
    <n v="5"/>
    <n v="0.47"/>
    <n v="13.1"/>
    <n v="3.49"/>
    <n v="0"/>
    <n v="0.56000000000000005"/>
    <s v="No"/>
    <n v="0"/>
    <n v="9.01"/>
    <n v="17.149999999999999"/>
    <n v="-8.14"/>
    <n v="0"/>
  </r>
  <r>
    <s v="ORD-000601"/>
    <s v="C-0110"/>
    <d v="2024-08-16T00:00:00"/>
    <s v="Marketplace"/>
    <s v="Buy Now Pay Later"/>
    <s v="West Coast"/>
    <n v="1"/>
    <x v="1"/>
    <n v="23.64"/>
    <n v="0"/>
    <n v="0"/>
    <n v="23.8"/>
    <n v="11.62"/>
    <n v="3.55"/>
    <n v="0.99"/>
    <s v="No"/>
    <n v="0"/>
    <n v="23.64"/>
    <n v="39.96"/>
    <n v="-16.32"/>
    <n v="0"/>
  </r>
  <r>
    <s v="ORD-000602"/>
    <s v="C-0190"/>
    <d v="2025-05-27T00:00:00"/>
    <s v="Social Commerce"/>
    <s v="Buy Now Pay Later"/>
    <s v="Northeast"/>
    <n v="1"/>
    <x v="5"/>
    <n v="27.16"/>
    <n v="20"/>
    <n v="5.43"/>
    <n v="11.34"/>
    <n v="13.64"/>
    <n v="1.74"/>
    <n v="0.93"/>
    <s v="No"/>
    <n v="0"/>
    <n v="21.73"/>
    <n v="27.65"/>
    <n v="-5.92"/>
    <n v="0"/>
  </r>
  <r>
    <s v="ORD-000603"/>
    <s v="C-0441"/>
    <d v="2025-08-15T00:00:00"/>
    <s v="Mobile App"/>
    <s v="Debit Card"/>
    <s v="Southwest"/>
    <n v="1"/>
    <x v="4"/>
    <n v="50.13"/>
    <n v="0"/>
    <n v="0"/>
    <n v="4.22"/>
    <n v="31.64"/>
    <n v="0"/>
    <n v="1.75"/>
    <s v="No"/>
    <n v="0"/>
    <n v="50.13"/>
    <n v="37.61"/>
    <n v="12.52"/>
    <n v="0"/>
  </r>
  <r>
    <s v="ORD-000604"/>
    <s v="C-0582"/>
    <d v="2025-04-03T00:00:00"/>
    <s v="Mobile App"/>
    <s v="Credit Card"/>
    <s v="Southeast"/>
    <n v="1"/>
    <x v="5"/>
    <n v="50.95"/>
    <n v="0"/>
    <n v="0"/>
    <n v="14.38"/>
    <n v="18.739999999999998"/>
    <n v="0"/>
    <n v="1.78"/>
    <s v="No"/>
    <n v="0"/>
    <n v="50.95"/>
    <n v="34.9"/>
    <n v="16.05"/>
    <n v="0"/>
  </r>
  <r>
    <s v="ORD-000605"/>
    <s v="C-0377"/>
    <d v="2025-09-08T00:00:00"/>
    <s v="Website"/>
    <s v="Debit Card"/>
    <s v="West Coast"/>
    <n v="3"/>
    <x v="2"/>
    <n v="306.14"/>
    <n v="0"/>
    <n v="0"/>
    <n v="34.76"/>
    <n v="143.36000000000001"/>
    <n v="0"/>
    <n v="9.18"/>
    <s v="No"/>
    <n v="0"/>
    <n v="306.14"/>
    <n v="187.3"/>
    <n v="118.84"/>
    <n v="0"/>
  </r>
  <r>
    <s v="ORD-000606"/>
    <s v="C-0728"/>
    <d v="2024-12-27T00:00:00"/>
    <s v="Marketplace"/>
    <s v="Credit Card"/>
    <s v="Northeast"/>
    <n v="3"/>
    <x v="6"/>
    <n v="87.45"/>
    <n v="10"/>
    <n v="8.74"/>
    <n v="24.1"/>
    <n v="42.32"/>
    <n v="11.81"/>
    <n v="2.58"/>
    <s v="No"/>
    <n v="0"/>
    <n v="78.709999999999994"/>
    <n v="80.81"/>
    <n v="-2.1"/>
    <n v="0"/>
  </r>
  <r>
    <s v="ORD-000607"/>
    <s v="C-0220"/>
    <d v="2025-10-23T00:00:00"/>
    <s v="Website"/>
    <s v="Buy Now Pay Later"/>
    <s v="Northeast"/>
    <n v="1"/>
    <x v="1"/>
    <n v="39.11"/>
    <n v="10"/>
    <n v="3.91"/>
    <n v="9.82"/>
    <n v="15.9"/>
    <n v="0"/>
    <n v="1.32"/>
    <s v="No"/>
    <n v="0"/>
    <n v="35.200000000000003"/>
    <n v="27.04"/>
    <n v="8.16"/>
    <n v="0"/>
  </r>
  <r>
    <s v="ORD-000608"/>
    <s v="C-0372"/>
    <d v="2025-05-31T00:00:00"/>
    <s v="Website"/>
    <s v="Credit Card"/>
    <s v="Northeast"/>
    <n v="3"/>
    <x v="5"/>
    <n v="123.95"/>
    <n v="0"/>
    <n v="0"/>
    <n v="36.020000000000003"/>
    <n v="51.93"/>
    <n v="0"/>
    <n v="3.89"/>
    <s v="No"/>
    <n v="0"/>
    <n v="123.95"/>
    <n v="91.84"/>
    <n v="32.11"/>
    <n v="0"/>
  </r>
  <r>
    <s v="ORD-000609"/>
    <s v="C-0707"/>
    <d v="2025-01-04T00:00:00"/>
    <s v="Social Commerce"/>
    <s v="Credit Card"/>
    <s v="Midwest"/>
    <n v="2"/>
    <x v="6"/>
    <n v="80.31"/>
    <n v="5"/>
    <n v="4.0199999999999996"/>
    <n v="24.92"/>
    <n v="42.67"/>
    <n v="6.1"/>
    <n v="2.5099999999999998"/>
    <s v="No"/>
    <n v="0"/>
    <n v="76.290000000000006"/>
    <n v="76.2"/>
    <n v="0.09"/>
    <n v="0"/>
  </r>
  <r>
    <s v="ORD-000610"/>
    <s v="C-0021"/>
    <d v="2025-05-25T00:00:00"/>
    <s v="Website"/>
    <s v="Buy Now Pay Later"/>
    <s v="Midwest"/>
    <n v="2"/>
    <x v="1"/>
    <n v="140.91999999999999"/>
    <n v="20"/>
    <n v="28.18"/>
    <n v="27.14"/>
    <n v="52.59"/>
    <n v="0"/>
    <n v="3.57"/>
    <s v="No"/>
    <n v="0"/>
    <n v="112.74"/>
    <n v="83.3"/>
    <n v="29.44"/>
    <n v="0"/>
  </r>
  <r>
    <s v="ORD-000611"/>
    <s v="C-0034"/>
    <d v="2024-09-14T00:00:00"/>
    <s v="Website"/>
    <s v="Credit Card"/>
    <s v="West Coast"/>
    <n v="2"/>
    <x v="2"/>
    <n v="121.02"/>
    <n v="25"/>
    <n v="30.26"/>
    <n v="22.1"/>
    <n v="61.75"/>
    <n v="0"/>
    <n v="2.93"/>
    <s v="No"/>
    <n v="0"/>
    <n v="90.76"/>
    <n v="86.78"/>
    <n v="3.98"/>
    <n v="0"/>
  </r>
  <r>
    <s v="ORD-000612"/>
    <s v="C-0523"/>
    <d v="2025-05-26T00:00:00"/>
    <s v="Website"/>
    <s v="PayPal"/>
    <s v="West Coast"/>
    <n v="1"/>
    <x v="0"/>
    <n v="20.67"/>
    <n v="25"/>
    <n v="5.17"/>
    <n v="4.3"/>
    <n v="5.96"/>
    <n v="0"/>
    <n v="0.75"/>
    <s v="No"/>
    <n v="0"/>
    <n v="15.5"/>
    <n v="11.01"/>
    <n v="4.49"/>
    <n v="0"/>
  </r>
  <r>
    <s v="ORD-000613"/>
    <s v="C-0033"/>
    <d v="2025-06-08T00:00:00"/>
    <s v="Marketplace"/>
    <s v="Debit Card"/>
    <s v="Southwest"/>
    <n v="2"/>
    <x v="5"/>
    <n v="135.75"/>
    <n v="5"/>
    <n v="6.79"/>
    <n v="14.76"/>
    <n v="43.47"/>
    <n v="19.34"/>
    <n v="4.04"/>
    <s v="No"/>
    <n v="0"/>
    <n v="128.96"/>
    <n v="81.61"/>
    <n v="47.35"/>
    <n v="0"/>
  </r>
  <r>
    <s v="ORD-000614"/>
    <s v="C-0565"/>
    <d v="2024-11-07T00:00:00"/>
    <s v="Social Commerce"/>
    <s v="Buy Now Pay Later"/>
    <s v="Northeast"/>
    <n v="2"/>
    <x v="4"/>
    <n v="145.9"/>
    <n v="5"/>
    <n v="7.29"/>
    <n v="26.42"/>
    <n v="62.04"/>
    <n v="11.09"/>
    <n v="4.32"/>
    <s v="No"/>
    <n v="0"/>
    <n v="138.61000000000001"/>
    <n v="103.87"/>
    <n v="34.74"/>
    <n v="0"/>
  </r>
  <r>
    <s v="ORD-000615"/>
    <s v="C-0318"/>
    <d v="2025-04-04T00:00:00"/>
    <s v="Mobile App"/>
    <s v="Credit Card"/>
    <s v="Midwest"/>
    <n v="2"/>
    <x v="4"/>
    <n v="184.88"/>
    <n v="5"/>
    <n v="9.24"/>
    <n v="30.1"/>
    <n v="76.88"/>
    <n v="0"/>
    <n v="5.39"/>
    <s v="No"/>
    <n v="0"/>
    <n v="175.64"/>
    <n v="112.37"/>
    <n v="63.27"/>
    <n v="0"/>
  </r>
  <r>
    <s v="ORD-000616"/>
    <s v="C-0116"/>
    <d v="2024-11-08T00:00:00"/>
    <s v="Website"/>
    <s v="PayPal"/>
    <s v="Northeast"/>
    <n v="2"/>
    <x v="0"/>
    <n v="297.56"/>
    <n v="25"/>
    <n v="74.39"/>
    <n v="19.32"/>
    <n v="93.78"/>
    <n v="0"/>
    <n v="6.77"/>
    <s v="No"/>
    <n v="0"/>
    <n v="223.17"/>
    <n v="119.87"/>
    <n v="103.3"/>
    <n v="0"/>
  </r>
  <r>
    <s v="ORD-000617"/>
    <s v="C-0367"/>
    <d v="2025-06-25T00:00:00"/>
    <s v="Marketplace"/>
    <s v="Credit Card"/>
    <s v="Southeast"/>
    <n v="2"/>
    <x v="4"/>
    <n v="84.53"/>
    <n v="10"/>
    <n v="8.4499999999999993"/>
    <n v="18.440000000000001"/>
    <n v="44.64"/>
    <n v="11.41"/>
    <n v="2.5099999999999998"/>
    <s v="No"/>
    <n v="0"/>
    <n v="76.08"/>
    <n v="77"/>
    <n v="-0.92"/>
    <n v="0"/>
  </r>
  <r>
    <s v="ORD-000618"/>
    <s v="C-0570"/>
    <d v="2025-05-01T00:00:00"/>
    <s v="Mobile App"/>
    <s v="Credit Card"/>
    <s v="Southwest"/>
    <n v="1"/>
    <x v="1"/>
    <n v="11.11"/>
    <n v="0"/>
    <n v="0"/>
    <n v="10.94"/>
    <n v="7.31"/>
    <n v="0"/>
    <n v="0.62"/>
    <s v="No"/>
    <n v="0"/>
    <n v="11.11"/>
    <n v="18.87"/>
    <n v="-7.76"/>
    <n v="0"/>
  </r>
  <r>
    <s v="ORD-000619"/>
    <s v="C-0072"/>
    <d v="2025-02-01T00:00:00"/>
    <s v="Mobile App"/>
    <s v="Credit Card"/>
    <s v="Northeast"/>
    <n v="2"/>
    <x v="1"/>
    <n v="127.35"/>
    <n v="10"/>
    <n v="12.73"/>
    <n v="22.52"/>
    <n v="43.3"/>
    <n v="0"/>
    <n v="3.62"/>
    <s v="Yes"/>
    <n v="114.62"/>
    <n v="0"/>
    <n v="69.44"/>
    <n v="-69.44"/>
    <n v="0"/>
  </r>
  <r>
    <s v="ORD-000620"/>
    <s v="C-0289"/>
    <d v="2025-03-15T00:00:00"/>
    <s v="Website"/>
    <s v="Credit Card"/>
    <s v="Northeast"/>
    <n v="1"/>
    <x v="3"/>
    <n v="6.95"/>
    <n v="0"/>
    <n v="0"/>
    <n v="7.98"/>
    <n v="4.8499999999999996"/>
    <n v="0"/>
    <n v="0.5"/>
    <s v="No"/>
    <n v="0"/>
    <n v="6.95"/>
    <n v="13.33"/>
    <n v="-6.38"/>
    <n v="0"/>
  </r>
  <r>
    <s v="ORD-000621"/>
    <s v="C-0165"/>
    <d v="2025-03-06T00:00:00"/>
    <s v="Website"/>
    <s v="Credit Card"/>
    <s v="Northeast"/>
    <n v="1"/>
    <x v="5"/>
    <n v="59.14"/>
    <n v="10"/>
    <n v="5.91"/>
    <n v="24.28"/>
    <n v="41.32"/>
    <n v="0"/>
    <n v="1.84"/>
    <s v="No"/>
    <n v="0"/>
    <n v="53.23"/>
    <n v="67.44"/>
    <n v="-14.21"/>
    <n v="1"/>
  </r>
  <r>
    <s v="ORD-000622"/>
    <s v="C-0514"/>
    <d v="2025-03-27T00:00:00"/>
    <s v="Marketplace"/>
    <s v="Credit Card"/>
    <s v="Midwest"/>
    <n v="2"/>
    <x v="5"/>
    <n v="62.14"/>
    <n v="10"/>
    <n v="6.21"/>
    <n v="18.68"/>
    <n v="18.5"/>
    <n v="8.39"/>
    <n v="1.92"/>
    <s v="No"/>
    <n v="0"/>
    <n v="55.93"/>
    <n v="47.49"/>
    <n v="8.44"/>
    <n v="0"/>
  </r>
  <r>
    <s v="ORD-000623"/>
    <s v="C-0214"/>
    <d v="2025-03-19T00:00:00"/>
    <s v="Website"/>
    <s v="Credit Card"/>
    <s v="West Coast"/>
    <n v="1"/>
    <x v="5"/>
    <n v="110.36"/>
    <n v="0"/>
    <n v="0"/>
    <n v="5.0999999999999996"/>
    <n v="37.85"/>
    <n v="0"/>
    <n v="3.5"/>
    <s v="No"/>
    <n v="0"/>
    <n v="110.36"/>
    <n v="46.45"/>
    <n v="63.91"/>
    <n v="0"/>
  </r>
  <r>
    <s v="ORD-000624"/>
    <s v="C-0726"/>
    <d v="2024-07-26T00:00:00"/>
    <s v="Mobile App"/>
    <s v="PayPal"/>
    <s v="Northeast"/>
    <n v="4"/>
    <x v="6"/>
    <n v="268.52999999999997"/>
    <n v="0"/>
    <n v="0"/>
    <n v="51.18"/>
    <n v="89.18"/>
    <n v="0"/>
    <n v="8.09"/>
    <s v="No"/>
    <n v="0"/>
    <n v="268.52999999999997"/>
    <n v="148.44999999999999"/>
    <n v="120.08"/>
    <n v="0"/>
  </r>
  <r>
    <s v="ORD-000625"/>
    <s v="C-0356"/>
    <d v="2025-06-04T00:00:00"/>
    <s v="Website"/>
    <s v="PayPal"/>
    <s v="Midwest"/>
    <n v="3"/>
    <x v="6"/>
    <n v="180.42"/>
    <n v="10"/>
    <n v="18.04"/>
    <n v="47.68"/>
    <n v="84.5"/>
    <n v="0"/>
    <n v="5.01"/>
    <s v="No"/>
    <n v="0"/>
    <n v="162.38"/>
    <n v="137.19"/>
    <n v="25.19"/>
    <n v="0"/>
  </r>
  <r>
    <s v="ORD-000626"/>
    <s v="C-0404"/>
    <d v="2024-10-25T00:00:00"/>
    <s v="Website"/>
    <s v="Credit Card"/>
    <s v="Midwest"/>
    <n v="3"/>
    <x v="4"/>
    <n v="27.05"/>
    <n v="0"/>
    <n v="0"/>
    <n v="35.92"/>
    <n v="17.61"/>
    <n v="0"/>
    <n v="1.08"/>
    <s v="No"/>
    <n v="0"/>
    <n v="27.05"/>
    <n v="54.61"/>
    <n v="-27.56"/>
    <n v="0"/>
  </r>
  <r>
    <s v="ORD-000627"/>
    <s v="C-0022"/>
    <d v="2025-06-15T00:00:00"/>
    <s v="Mobile App"/>
    <s v="PayPal"/>
    <s v="Northeast"/>
    <n v="4"/>
    <x v="5"/>
    <n v="144.44999999999999"/>
    <n v="20"/>
    <n v="28.89"/>
    <n v="72.12"/>
    <n v="69.16"/>
    <n v="0"/>
    <n v="3.65"/>
    <s v="No"/>
    <n v="0"/>
    <n v="115.56"/>
    <n v="144.93"/>
    <n v="-29.37"/>
    <n v="0"/>
  </r>
  <r>
    <s v="ORD-000628"/>
    <s v="C-0054"/>
    <d v="2025-04-19T00:00:00"/>
    <s v="Website"/>
    <s v="Gift Card"/>
    <s v="West Coast"/>
    <n v="2"/>
    <x v="7"/>
    <n v="151.35"/>
    <n v="0"/>
    <n v="0"/>
    <n v="19.239999999999998"/>
    <n v="63.85"/>
    <n v="0"/>
    <n v="4.6900000000000004"/>
    <s v="No"/>
    <n v="0"/>
    <n v="151.35"/>
    <n v="87.78"/>
    <n v="63.57"/>
    <n v="0"/>
  </r>
  <r>
    <s v="ORD-000629"/>
    <s v="C-0588"/>
    <d v="2025-02-23T00:00:00"/>
    <s v="Website"/>
    <s v="Credit Card"/>
    <s v="Southeast"/>
    <n v="1"/>
    <x v="4"/>
    <n v="60.28"/>
    <n v="0"/>
    <n v="0"/>
    <n v="14.3"/>
    <n v="30.21"/>
    <n v="0"/>
    <n v="2.0499999999999998"/>
    <s v="No"/>
    <n v="0"/>
    <n v="60.28"/>
    <n v="46.56"/>
    <n v="13.72"/>
    <n v="0"/>
  </r>
  <r>
    <s v="ORD-000630"/>
    <s v="C-0539"/>
    <d v="2025-01-02T00:00:00"/>
    <s v="Mobile App"/>
    <s v="Debit Card"/>
    <s v="Northeast"/>
    <n v="1"/>
    <x v="3"/>
    <n v="38.81"/>
    <n v="25"/>
    <n v="9.6999999999999993"/>
    <n v="11.42"/>
    <n v="16.55"/>
    <n v="0"/>
    <n v="1.1399999999999999"/>
    <s v="No"/>
    <n v="0"/>
    <n v="29.11"/>
    <n v="29.11"/>
    <n v="0"/>
    <n v="0"/>
  </r>
  <r>
    <s v="ORD-000631"/>
    <s v="C-0403"/>
    <d v="2025-03-23T00:00:00"/>
    <s v="Website"/>
    <s v="Credit Card"/>
    <s v="West Coast"/>
    <n v="1"/>
    <x v="5"/>
    <n v="52.69"/>
    <n v="0"/>
    <n v="0"/>
    <n v="5.82"/>
    <n v="23.14"/>
    <n v="0"/>
    <n v="1.83"/>
    <s v="No"/>
    <n v="0"/>
    <n v="52.69"/>
    <n v="30.79"/>
    <n v="21.9"/>
    <n v="0"/>
  </r>
  <r>
    <s v="ORD-000632"/>
    <s v="C-0510"/>
    <d v="2025-05-22T00:00:00"/>
    <s v="Website"/>
    <s v="Debit Card"/>
    <s v="West Coast"/>
    <n v="1"/>
    <x v="1"/>
    <n v="155.06"/>
    <n v="10"/>
    <n v="15.51"/>
    <n v="9.56"/>
    <n v="49.66"/>
    <n v="0"/>
    <n v="4.3499999999999996"/>
    <s v="No"/>
    <n v="0"/>
    <n v="139.55000000000001"/>
    <n v="63.57"/>
    <n v="75.98"/>
    <n v="0"/>
  </r>
  <r>
    <s v="ORD-000633"/>
    <s v="C-0099"/>
    <d v="2024-06-30T00:00:00"/>
    <s v="Mobile App"/>
    <s v="Credit Card"/>
    <s v="Midwest"/>
    <n v="1"/>
    <x v="3"/>
    <n v="27.92"/>
    <n v="0"/>
    <n v="0"/>
    <n v="10.36"/>
    <n v="14.12"/>
    <n v="0"/>
    <n v="1.1100000000000001"/>
    <s v="No"/>
    <n v="0"/>
    <n v="27.92"/>
    <n v="25.59"/>
    <n v="2.33"/>
    <n v="0"/>
  </r>
  <r>
    <s v="ORD-000634"/>
    <s v="C-0651"/>
    <d v="2025-07-16T00:00:00"/>
    <s v="Social Commerce"/>
    <s v="Buy Now Pay Later"/>
    <s v="Southwest"/>
    <n v="2"/>
    <x v="2"/>
    <n v="115.52"/>
    <n v="0"/>
    <n v="0"/>
    <n v="20.399999999999999"/>
    <n v="36.76"/>
    <n v="9.24"/>
    <n v="3.65"/>
    <s v="No"/>
    <n v="0"/>
    <n v="115.52"/>
    <n v="70.05"/>
    <n v="45.47"/>
    <n v="0"/>
  </r>
  <r>
    <s v="ORD-000635"/>
    <s v="C-0009"/>
    <d v="2025-01-06T00:00:00"/>
    <s v="Social Commerce"/>
    <s v="Credit Card"/>
    <s v="West Coast"/>
    <n v="1"/>
    <x v="0"/>
    <n v="102"/>
    <n v="10"/>
    <n v="10.199999999999999"/>
    <n v="40.98"/>
    <n v="65.760000000000005"/>
    <n v="7.34"/>
    <n v="2.96"/>
    <s v="No"/>
    <n v="0"/>
    <n v="91.8"/>
    <n v="117.04"/>
    <n v="-25.24"/>
    <n v="0"/>
  </r>
  <r>
    <s v="ORD-000636"/>
    <s v="C-0326"/>
    <d v="2025-07-16T00:00:00"/>
    <s v="Mobile App"/>
    <s v="Debit Card"/>
    <s v="Southwest"/>
    <n v="3"/>
    <x v="5"/>
    <n v="144.63"/>
    <n v="0"/>
    <n v="0"/>
    <n v="29.86"/>
    <n v="58.27"/>
    <n v="0"/>
    <n v="4.49"/>
    <s v="No"/>
    <n v="0"/>
    <n v="144.63"/>
    <n v="92.62"/>
    <n v="52.01"/>
    <n v="0"/>
  </r>
  <r>
    <s v="ORD-000637"/>
    <s v="C-0519"/>
    <d v="2024-10-11T00:00:00"/>
    <s v="Marketplace"/>
    <s v="Credit Card"/>
    <s v="Southwest"/>
    <n v="1"/>
    <x v="6"/>
    <n v="32.380000000000003"/>
    <n v="25"/>
    <n v="8.1"/>
    <n v="29.4"/>
    <n v="11.78"/>
    <n v="3.64"/>
    <n v="1"/>
    <s v="No"/>
    <n v="0"/>
    <n v="24.28"/>
    <n v="45.82"/>
    <n v="-21.54"/>
    <n v="0"/>
  </r>
  <r>
    <s v="ORD-000638"/>
    <s v="C-0212"/>
    <d v="2025-07-27T00:00:00"/>
    <s v="Website"/>
    <s v="Gift Card"/>
    <s v="Southwest"/>
    <n v="3"/>
    <x v="2"/>
    <n v="122.27"/>
    <n v="0"/>
    <n v="0"/>
    <n v="29.14"/>
    <n v="74.72"/>
    <n v="0"/>
    <n v="3.85"/>
    <s v="No"/>
    <n v="0"/>
    <n v="122.27"/>
    <n v="107.71"/>
    <n v="14.56"/>
    <n v="0"/>
  </r>
  <r>
    <s v="ORD-000639"/>
    <s v="C-0116"/>
    <d v="2025-04-29T00:00:00"/>
    <s v="Website"/>
    <s v="Buy Now Pay Later"/>
    <s v="Northeast"/>
    <n v="3"/>
    <x v="5"/>
    <n v="589.08000000000004"/>
    <n v="15"/>
    <n v="88.36"/>
    <n v="50.2"/>
    <n v="192.97"/>
    <n v="0"/>
    <n v="14.82"/>
    <s v="No"/>
    <n v="0"/>
    <n v="500.72"/>
    <n v="257.99"/>
    <n v="242.73"/>
    <n v="0"/>
  </r>
  <r>
    <s v="ORD-000640"/>
    <s v="C-0374"/>
    <d v="2025-08-18T00:00:00"/>
    <s v="Website"/>
    <s v="Credit Card"/>
    <s v="West Coast"/>
    <n v="1"/>
    <x v="7"/>
    <n v="15.69"/>
    <n v="10"/>
    <n v="1.57"/>
    <n v="9.34"/>
    <n v="4.67"/>
    <n v="0"/>
    <n v="0.71"/>
    <s v="No"/>
    <n v="0"/>
    <n v="14.12"/>
    <n v="14.72"/>
    <n v="-0.6"/>
    <n v="0"/>
  </r>
  <r>
    <s v="ORD-000641"/>
    <s v="C-0314"/>
    <d v="2025-07-01T00:00:00"/>
    <s v="Mobile App"/>
    <s v="Credit Card"/>
    <s v="Northeast"/>
    <n v="2"/>
    <x v="1"/>
    <n v="51.67"/>
    <n v="0"/>
    <n v="0"/>
    <n v="52.56"/>
    <n v="20.190000000000001"/>
    <n v="0"/>
    <n v="1.8"/>
    <s v="No"/>
    <n v="0"/>
    <n v="51.67"/>
    <n v="74.55"/>
    <n v="-22.88"/>
    <n v="0"/>
  </r>
  <r>
    <s v="ORD-000642"/>
    <s v="C-0095"/>
    <d v="2025-08-23T00:00:00"/>
    <s v="Marketplace"/>
    <s v="Buy Now Pay Later"/>
    <s v="Southwest"/>
    <n v="2"/>
    <x v="3"/>
    <n v="62.83"/>
    <n v="0"/>
    <n v="0"/>
    <n v="10.52"/>
    <n v="25.66"/>
    <n v="9.42"/>
    <n v="2.12"/>
    <s v="No"/>
    <n v="0"/>
    <n v="62.83"/>
    <n v="47.72"/>
    <n v="15.11"/>
    <n v="0"/>
  </r>
  <r>
    <s v="ORD-000643"/>
    <s v="C-0783"/>
    <d v="2024-12-13T00:00:00"/>
    <s v="Mobile App"/>
    <s v="PayPal"/>
    <s v="West Coast"/>
    <n v="2"/>
    <x v="5"/>
    <n v="207.65"/>
    <n v="10"/>
    <n v="20.77"/>
    <n v="47.68"/>
    <n v="100.21"/>
    <n v="0"/>
    <n v="5.72"/>
    <s v="No"/>
    <n v="0"/>
    <n v="186.88"/>
    <n v="153.61000000000001"/>
    <n v="33.270000000000003"/>
    <n v="0"/>
  </r>
  <r>
    <s v="ORD-000644"/>
    <s v="C-0083"/>
    <d v="2024-11-30T00:00:00"/>
    <s v="Website"/>
    <s v="Credit Card"/>
    <s v="Northeast"/>
    <n v="1"/>
    <x v="0"/>
    <n v="24.38"/>
    <n v="0"/>
    <n v="0"/>
    <n v="13.9"/>
    <n v="16.190000000000001"/>
    <n v="0"/>
    <n v="1.01"/>
    <s v="No"/>
    <n v="0"/>
    <n v="24.38"/>
    <n v="31.1"/>
    <n v="-6.72"/>
    <n v="0"/>
  </r>
  <r>
    <s v="ORD-000645"/>
    <s v="C-0266"/>
    <d v="2025-04-10T00:00:00"/>
    <s v="Website"/>
    <s v="PayPal"/>
    <s v="West Coast"/>
    <n v="2"/>
    <x v="2"/>
    <n v="36.450000000000003"/>
    <n v="0"/>
    <n v="0"/>
    <n v="19.72"/>
    <n v="21.47"/>
    <n v="0"/>
    <n v="1.36"/>
    <s v="No"/>
    <n v="0"/>
    <n v="36.450000000000003"/>
    <n v="42.55"/>
    <n v="-6.1"/>
    <n v="0"/>
  </r>
  <r>
    <s v="ORD-000646"/>
    <s v="C-0156"/>
    <d v="2025-02-28T00:00:00"/>
    <s v="Social Commerce"/>
    <s v="PayPal"/>
    <s v="Southwest"/>
    <n v="1"/>
    <x v="0"/>
    <n v="182.6"/>
    <n v="0"/>
    <n v="0"/>
    <n v="8.7799999999999994"/>
    <n v="60.94"/>
    <n v="14.61"/>
    <n v="5.6"/>
    <s v="No"/>
    <n v="0"/>
    <n v="182.6"/>
    <n v="89.93"/>
    <n v="92.67"/>
    <n v="0"/>
  </r>
  <r>
    <s v="ORD-000647"/>
    <s v="C-0488"/>
    <d v="2025-05-19T00:00:00"/>
    <s v="Mobile App"/>
    <s v="PayPal"/>
    <s v="Southeast"/>
    <n v="3"/>
    <x v="2"/>
    <n v="192.61"/>
    <n v="5"/>
    <n v="9.6300000000000008"/>
    <n v="29.78"/>
    <n v="68.13"/>
    <n v="0"/>
    <n v="5.61"/>
    <s v="No"/>
    <n v="0"/>
    <n v="182.98"/>
    <n v="103.52"/>
    <n v="79.459999999999994"/>
    <n v="0"/>
  </r>
  <r>
    <s v="ORD-000648"/>
    <s v="C-0520"/>
    <d v="2025-08-05T00:00:00"/>
    <s v="Website"/>
    <s v="Credit Card"/>
    <s v="Southeast"/>
    <n v="2"/>
    <x v="1"/>
    <n v="80.7"/>
    <n v="15"/>
    <n v="12.11"/>
    <n v="17.32"/>
    <n v="27.13"/>
    <n v="0"/>
    <n v="2.29"/>
    <s v="No"/>
    <n v="0"/>
    <n v="68.59"/>
    <n v="46.74"/>
    <n v="21.85"/>
    <n v="0"/>
  </r>
  <r>
    <s v="ORD-000649"/>
    <s v="C-0349"/>
    <d v="2024-12-19T00:00:00"/>
    <s v="Mobile App"/>
    <s v="Credit Card"/>
    <s v="Southwest"/>
    <n v="3"/>
    <x v="2"/>
    <n v="359.98"/>
    <n v="0"/>
    <n v="0"/>
    <n v="59.28"/>
    <n v="107.14"/>
    <n v="0"/>
    <n v="10.74"/>
    <s v="No"/>
    <n v="0"/>
    <n v="359.98"/>
    <n v="177.16"/>
    <n v="182.82"/>
    <n v="0"/>
  </r>
  <r>
    <s v="ORD-000650"/>
    <s v="C-0411"/>
    <d v="2025-09-20T00:00:00"/>
    <s v="Website"/>
    <s v="Credit Card"/>
    <s v="Southwest"/>
    <n v="2"/>
    <x v="7"/>
    <n v="71.760000000000005"/>
    <n v="0"/>
    <n v="0"/>
    <n v="20.28"/>
    <n v="33.32"/>
    <n v="0"/>
    <n v="2.38"/>
    <s v="No"/>
    <n v="0"/>
    <n v="71.760000000000005"/>
    <n v="55.98"/>
    <n v="15.78"/>
    <n v="0"/>
  </r>
  <r>
    <s v="ORD-000651"/>
    <s v="C-0328"/>
    <d v="2025-09-14T00:00:00"/>
    <s v="Mobile App"/>
    <s v="Buy Now Pay Later"/>
    <s v="Southeast"/>
    <n v="2"/>
    <x v="3"/>
    <n v="166.46"/>
    <n v="15"/>
    <n v="24.97"/>
    <n v="31.12"/>
    <n v="65.08"/>
    <n v="0"/>
    <n v="4.4000000000000004"/>
    <s v="No"/>
    <n v="0"/>
    <n v="141.49"/>
    <n v="100.6"/>
    <n v="40.89"/>
    <n v="0"/>
  </r>
  <r>
    <s v="ORD-000652"/>
    <s v="C-0678"/>
    <d v="2025-08-11T00:00:00"/>
    <s v="Marketplace"/>
    <s v="PayPal"/>
    <s v="Southwest"/>
    <n v="1"/>
    <x v="2"/>
    <n v="63.63"/>
    <n v="0"/>
    <n v="0"/>
    <n v="8.3800000000000008"/>
    <n v="31.76"/>
    <n v="9.5399999999999991"/>
    <n v="2.15"/>
    <s v="No"/>
    <n v="0"/>
    <n v="63.63"/>
    <n v="51.83"/>
    <n v="11.8"/>
    <n v="0"/>
  </r>
  <r>
    <s v="ORD-000653"/>
    <s v="C-0296"/>
    <d v="2025-09-15T00:00:00"/>
    <s v="Social Commerce"/>
    <s v="Debit Card"/>
    <s v="Southwest"/>
    <n v="1"/>
    <x v="3"/>
    <n v="188.82"/>
    <n v="0"/>
    <n v="0"/>
    <n v="19.86"/>
    <n v="79.44"/>
    <n v="15.11"/>
    <n v="5.78"/>
    <s v="No"/>
    <n v="0"/>
    <n v="188.82"/>
    <n v="120.19"/>
    <n v="68.63"/>
    <n v="0"/>
  </r>
  <r>
    <s v="ORD-000654"/>
    <s v="C-0793"/>
    <d v="2025-04-10T00:00:00"/>
    <s v="Mobile App"/>
    <s v="Buy Now Pay Later"/>
    <s v="Southwest"/>
    <n v="1"/>
    <x v="2"/>
    <n v="124.51"/>
    <n v="0"/>
    <n v="0"/>
    <n v="5.98"/>
    <n v="38.53"/>
    <n v="0"/>
    <n v="3.91"/>
    <s v="No"/>
    <n v="0"/>
    <n v="124.51"/>
    <n v="48.42"/>
    <n v="76.09"/>
    <n v="0"/>
  </r>
  <r>
    <s v="ORD-000655"/>
    <s v="C-0748"/>
    <d v="2024-10-03T00:00:00"/>
    <s v="Website"/>
    <s v="PayPal"/>
    <s v="Northeast"/>
    <n v="2"/>
    <x v="7"/>
    <n v="125.96"/>
    <n v="0"/>
    <n v="0"/>
    <n v="12.28"/>
    <n v="52.22"/>
    <n v="0"/>
    <n v="3.95"/>
    <s v="No"/>
    <n v="0"/>
    <n v="125.96"/>
    <n v="68.45"/>
    <n v="57.51"/>
    <n v="0"/>
  </r>
  <r>
    <s v="ORD-000656"/>
    <s v="C-0428"/>
    <d v="2024-10-07T00:00:00"/>
    <s v="Website"/>
    <s v="Credit Card"/>
    <s v="Northeast"/>
    <n v="3"/>
    <x v="5"/>
    <n v="207.09"/>
    <n v="0"/>
    <n v="0"/>
    <n v="43.44"/>
    <n v="111.11"/>
    <n v="0"/>
    <n v="6.31"/>
    <s v="No"/>
    <n v="0"/>
    <n v="207.09"/>
    <n v="160.86000000000001"/>
    <n v="46.23"/>
    <n v="0"/>
  </r>
  <r>
    <s v="ORD-000657"/>
    <s v="C-0167"/>
    <d v="2025-07-13T00:00:00"/>
    <s v="Social Commerce"/>
    <s v="Buy Now Pay Later"/>
    <s v="Southwest"/>
    <n v="2"/>
    <x v="4"/>
    <n v="128.5"/>
    <n v="5"/>
    <n v="6.42"/>
    <n v="23.64"/>
    <n v="56.31"/>
    <n v="9.77"/>
    <n v="3.84"/>
    <s v="No"/>
    <n v="0"/>
    <n v="122.08"/>
    <n v="93.56"/>
    <n v="28.52"/>
    <n v="0"/>
  </r>
  <r>
    <s v="ORD-000658"/>
    <s v="C-0735"/>
    <d v="2025-02-11T00:00:00"/>
    <s v="Mobile App"/>
    <s v="Credit Card"/>
    <s v="Southeast"/>
    <n v="5"/>
    <x v="5"/>
    <n v="243.42"/>
    <n v="5"/>
    <n v="12.17"/>
    <n v="43.9"/>
    <n v="106.4"/>
    <n v="0"/>
    <n v="7.01"/>
    <s v="No"/>
    <n v="0"/>
    <n v="231.25"/>
    <n v="157.31"/>
    <n v="73.94"/>
    <n v="0"/>
  </r>
  <r>
    <s v="ORD-000659"/>
    <s v="C-0328"/>
    <d v="2024-09-16T00:00:00"/>
    <s v="Marketplace"/>
    <s v="Debit Card"/>
    <s v="Midwest"/>
    <n v="2"/>
    <x v="1"/>
    <n v="79.08"/>
    <n v="15"/>
    <n v="11.86"/>
    <n v="14.92"/>
    <n v="34.04"/>
    <n v="10.08"/>
    <n v="2.25"/>
    <s v="No"/>
    <n v="0"/>
    <n v="67.22"/>
    <n v="61.29"/>
    <n v="5.93"/>
    <n v="0"/>
  </r>
  <r>
    <s v="ORD-000660"/>
    <s v="C-0178"/>
    <d v="2025-09-14T00:00:00"/>
    <s v="Website"/>
    <s v="Debit Card"/>
    <s v="Northeast"/>
    <n v="1"/>
    <x v="2"/>
    <n v="10.050000000000001"/>
    <n v="0"/>
    <n v="0"/>
    <n v="9.18"/>
    <n v="6.91"/>
    <n v="0"/>
    <n v="0.59"/>
    <s v="No"/>
    <n v="0"/>
    <n v="10.050000000000001"/>
    <n v="16.68"/>
    <n v="-6.63"/>
    <n v="0"/>
  </r>
  <r>
    <s v="ORD-000661"/>
    <s v="C-0233"/>
    <d v="2024-07-26T00:00:00"/>
    <s v="Website"/>
    <s v="Credit Card"/>
    <s v="Southwest"/>
    <n v="2"/>
    <x v="0"/>
    <n v="252.63"/>
    <n v="15"/>
    <n v="37.89"/>
    <n v="53.98"/>
    <n v="121.81"/>
    <n v="0"/>
    <n v="6.53"/>
    <s v="No"/>
    <n v="0"/>
    <n v="214.74"/>
    <n v="182.32"/>
    <n v="32.42"/>
    <n v="0"/>
  </r>
  <r>
    <s v="ORD-000662"/>
    <s v="C-0709"/>
    <d v="2024-06-20T00:00:00"/>
    <s v="Marketplace"/>
    <s v="Gift Card"/>
    <s v="Southeast"/>
    <n v="2"/>
    <x v="0"/>
    <n v="223.18"/>
    <n v="0"/>
    <n v="0"/>
    <n v="25.78"/>
    <n v="105.58"/>
    <n v="33.479999999999997"/>
    <n v="6.77"/>
    <s v="No"/>
    <n v="0"/>
    <n v="223.18"/>
    <n v="171.61"/>
    <n v="51.57"/>
    <n v="0"/>
  </r>
  <r>
    <s v="ORD-000663"/>
    <s v="C-0194"/>
    <d v="2025-03-06T00:00:00"/>
    <s v="Website"/>
    <s v="Debit Card"/>
    <s v="Midwest"/>
    <n v="1"/>
    <x v="1"/>
    <n v="17.62"/>
    <n v="15"/>
    <n v="2.64"/>
    <n v="11.66"/>
    <n v="8.5299999999999994"/>
    <n v="0"/>
    <n v="0.73"/>
    <s v="No"/>
    <n v="0"/>
    <n v="14.98"/>
    <n v="20.92"/>
    <n v="-5.94"/>
    <n v="0"/>
  </r>
  <r>
    <s v="ORD-000664"/>
    <s v="C-0236"/>
    <d v="2025-02-11T00:00:00"/>
    <s v="Website"/>
    <s v="Credit Card"/>
    <s v="Southwest"/>
    <n v="4"/>
    <x v="2"/>
    <n v="500.39"/>
    <n v="0"/>
    <n v="0"/>
    <n v="51.02"/>
    <n v="178.29"/>
    <n v="0"/>
    <n v="14.81"/>
    <s v="No"/>
    <n v="0"/>
    <n v="500.39"/>
    <n v="244.12"/>
    <n v="256.27"/>
    <n v="0"/>
  </r>
  <r>
    <s v="ORD-000665"/>
    <s v="C-0779"/>
    <d v="2024-09-29T00:00:00"/>
    <s v="Mobile App"/>
    <s v="Credit Card"/>
    <s v="West Coast"/>
    <n v="4"/>
    <x v="1"/>
    <n v="185.25"/>
    <n v="5"/>
    <n v="9.26"/>
    <n v="39.36"/>
    <n v="86.57"/>
    <n v="0"/>
    <n v="5.4"/>
    <s v="No"/>
    <n v="0"/>
    <n v="175.99"/>
    <n v="131.33000000000001"/>
    <n v="44.66"/>
    <n v="0"/>
  </r>
  <r>
    <s v="ORD-000666"/>
    <s v="C-0602"/>
    <d v="2025-08-08T00:00:00"/>
    <s v="Website"/>
    <s v="Credit Card"/>
    <s v="Northeast"/>
    <n v="2"/>
    <x v="3"/>
    <n v="118.3"/>
    <n v="0"/>
    <n v="0"/>
    <n v="25.24"/>
    <n v="48.78"/>
    <n v="0"/>
    <n v="3.73"/>
    <s v="No"/>
    <n v="0"/>
    <n v="118.3"/>
    <n v="77.75"/>
    <n v="40.549999999999997"/>
    <n v="0"/>
  </r>
  <r>
    <s v="ORD-000667"/>
    <s v="C-0187"/>
    <d v="2024-09-25T00:00:00"/>
    <s v="Social Commerce"/>
    <s v="Credit Card"/>
    <s v="Northeast"/>
    <n v="1"/>
    <x v="2"/>
    <n v="90.83"/>
    <n v="10"/>
    <n v="9.08"/>
    <n v="15.42"/>
    <n v="26.68"/>
    <n v="6.54"/>
    <n v="2.67"/>
    <s v="No"/>
    <n v="0"/>
    <n v="81.75"/>
    <n v="51.31"/>
    <n v="30.44"/>
    <n v="0"/>
  </r>
  <r>
    <s v="ORD-000668"/>
    <s v="C-0203"/>
    <d v="2024-12-30T00:00:00"/>
    <s v="Marketplace"/>
    <s v="Credit Card"/>
    <s v="Northeast"/>
    <n v="1"/>
    <x v="4"/>
    <n v="63.94"/>
    <n v="0"/>
    <n v="0"/>
    <n v="8.4600000000000009"/>
    <n v="20.51"/>
    <n v="9.59"/>
    <n v="2.15"/>
    <s v="No"/>
    <n v="0"/>
    <n v="63.94"/>
    <n v="40.71"/>
    <n v="23.23"/>
    <n v="0"/>
  </r>
  <r>
    <s v="ORD-000669"/>
    <s v="C-0100"/>
    <d v="2024-05-22T00:00:00"/>
    <s v="Website"/>
    <s v="PayPal"/>
    <s v="Southwest"/>
    <n v="3"/>
    <x v="5"/>
    <n v="209.23"/>
    <n v="5"/>
    <n v="10.46"/>
    <n v="27.52"/>
    <n v="102.73"/>
    <n v="0"/>
    <n v="6.06"/>
    <s v="No"/>
    <n v="0"/>
    <n v="198.77"/>
    <n v="136.31"/>
    <n v="62.46"/>
    <n v="0"/>
  </r>
  <r>
    <s v="ORD-000670"/>
    <s v="C-0122"/>
    <d v="2025-06-13T00:00:00"/>
    <s v="Website"/>
    <s v="Credit Card"/>
    <s v="Southwest"/>
    <n v="2"/>
    <x v="7"/>
    <n v="252.62"/>
    <n v="20"/>
    <n v="50.52"/>
    <n v="42.16"/>
    <n v="137.62"/>
    <n v="0"/>
    <n v="6.16"/>
    <s v="No"/>
    <n v="0"/>
    <n v="202.1"/>
    <n v="185.94"/>
    <n v="16.16"/>
    <n v="0"/>
  </r>
  <r>
    <s v="ORD-000671"/>
    <s v="C-0252"/>
    <d v="2024-08-11T00:00:00"/>
    <s v="Mobile App"/>
    <s v="Credit Card"/>
    <s v="Northeast"/>
    <n v="5"/>
    <x v="0"/>
    <n v="218.51"/>
    <n v="20"/>
    <n v="43.7"/>
    <n v="71.540000000000006"/>
    <n v="88.53"/>
    <n v="0"/>
    <n v="5.37"/>
    <s v="No"/>
    <n v="0"/>
    <n v="174.81"/>
    <n v="165.44"/>
    <n v="9.3699999999999992"/>
    <n v="0"/>
  </r>
  <r>
    <s v="ORD-000672"/>
    <s v="C-0782"/>
    <d v="2025-09-14T00:00:00"/>
    <s v="Mobile App"/>
    <s v="Credit Card"/>
    <s v="Southwest"/>
    <n v="3"/>
    <x v="6"/>
    <n v="160.08000000000001"/>
    <n v="20"/>
    <n v="32.020000000000003"/>
    <n v="87.7"/>
    <n v="84.31"/>
    <n v="0"/>
    <n v="4.01"/>
    <s v="No"/>
    <n v="0"/>
    <n v="128.06"/>
    <n v="176.02"/>
    <n v="-47.96"/>
    <n v="0"/>
  </r>
  <r>
    <s v="ORD-000673"/>
    <s v="C-0152"/>
    <d v="2025-09-08T00:00:00"/>
    <s v="Mobile App"/>
    <s v="Gift Card"/>
    <s v="West Coast"/>
    <n v="1"/>
    <x v="1"/>
    <n v="109.8"/>
    <n v="0"/>
    <n v="0"/>
    <n v="31.86"/>
    <n v="43.92"/>
    <n v="0"/>
    <n v="3.48"/>
    <s v="No"/>
    <n v="0"/>
    <n v="109.8"/>
    <n v="79.260000000000005"/>
    <n v="30.54"/>
    <n v="0"/>
  </r>
  <r>
    <s v="ORD-000674"/>
    <s v="C-0258"/>
    <d v="2025-06-21T00:00:00"/>
    <s v="Marketplace"/>
    <s v="PayPal"/>
    <s v="West Coast"/>
    <n v="4"/>
    <x v="2"/>
    <n v="884.48"/>
    <n v="0"/>
    <n v="0"/>
    <n v="64.739999999999995"/>
    <n v="287.45999999999998"/>
    <n v="132.66999999999999"/>
    <n v="25.95"/>
    <s v="No"/>
    <n v="0"/>
    <n v="884.48"/>
    <n v="510.82"/>
    <n v="373.66"/>
    <n v="0"/>
  </r>
  <r>
    <s v="ORD-000675"/>
    <s v="C-0610"/>
    <d v="2025-10-24T00:00:00"/>
    <s v="Website"/>
    <s v="PayPal"/>
    <s v="Midwest"/>
    <n v="1"/>
    <x v="3"/>
    <n v="312.42"/>
    <n v="0"/>
    <n v="0"/>
    <n v="43.62"/>
    <n v="99.12"/>
    <n v="0"/>
    <n v="9.36"/>
    <s v="No"/>
    <n v="0"/>
    <n v="312.42"/>
    <n v="152.1"/>
    <n v="160.32"/>
    <n v="0"/>
  </r>
  <r>
    <s v="ORD-000676"/>
    <s v="C-0767"/>
    <d v="2024-11-27T00:00:00"/>
    <s v="Website"/>
    <s v="Buy Now Pay Later"/>
    <s v="Midwest"/>
    <n v="1"/>
    <x v="4"/>
    <n v="86.75"/>
    <n v="20"/>
    <n v="17.350000000000001"/>
    <n v="12.94"/>
    <n v="26.86"/>
    <n v="0"/>
    <n v="2.31"/>
    <s v="No"/>
    <n v="0"/>
    <n v="69.400000000000006"/>
    <n v="42.11"/>
    <n v="27.29"/>
    <n v="0"/>
  </r>
  <r>
    <s v="ORD-000677"/>
    <s v="C-0124"/>
    <d v="2024-09-27T00:00:00"/>
    <s v="Website"/>
    <s v="Buy Now Pay Later"/>
    <s v="Northeast"/>
    <n v="2"/>
    <x v="2"/>
    <n v="91.34"/>
    <n v="0"/>
    <n v="0"/>
    <n v="21.32"/>
    <n v="43.2"/>
    <n v="0"/>
    <n v="2.95"/>
    <s v="No"/>
    <n v="0"/>
    <n v="91.34"/>
    <n v="67.47"/>
    <n v="23.87"/>
    <n v="0"/>
  </r>
  <r>
    <s v="ORD-000678"/>
    <s v="C-0691"/>
    <d v="2025-09-09T00:00:00"/>
    <s v="Website"/>
    <s v="PayPal"/>
    <s v="Midwest"/>
    <n v="1"/>
    <x v="3"/>
    <n v="165.18"/>
    <n v="0"/>
    <n v="0"/>
    <n v="17.46"/>
    <n v="63.24"/>
    <n v="0"/>
    <n v="5.09"/>
    <s v="No"/>
    <n v="0"/>
    <n v="165.18"/>
    <n v="85.79"/>
    <n v="79.39"/>
    <n v="0"/>
  </r>
  <r>
    <s v="ORD-000679"/>
    <s v="C-0273"/>
    <d v="2025-08-21T00:00:00"/>
    <s v="Website"/>
    <s v="PayPal"/>
    <s v="West Coast"/>
    <n v="1"/>
    <x v="2"/>
    <n v="76.83"/>
    <n v="20"/>
    <n v="15.37"/>
    <n v="9.02"/>
    <n v="27.31"/>
    <n v="0"/>
    <n v="2.08"/>
    <s v="No"/>
    <n v="0"/>
    <n v="61.46"/>
    <n v="38.409999999999997"/>
    <n v="23.05"/>
    <n v="0"/>
  </r>
  <r>
    <s v="ORD-000680"/>
    <s v="C-0261"/>
    <d v="2024-12-25T00:00:00"/>
    <s v="Mobile App"/>
    <s v="Credit Card"/>
    <s v="Southwest"/>
    <n v="3"/>
    <x v="0"/>
    <n v="133.80000000000001"/>
    <n v="20"/>
    <n v="26.76"/>
    <n v="39.76"/>
    <n v="50.77"/>
    <n v="0"/>
    <n v="3.4"/>
    <s v="No"/>
    <n v="0"/>
    <n v="107.04"/>
    <n v="93.93"/>
    <n v="13.11"/>
    <n v="0"/>
  </r>
  <r>
    <s v="ORD-000681"/>
    <s v="C-0360"/>
    <d v="2025-10-06T00:00:00"/>
    <s v="Mobile App"/>
    <s v="PayPal"/>
    <s v="Southwest"/>
    <n v="3"/>
    <x v="4"/>
    <n v="188.85"/>
    <n v="0"/>
    <n v="0"/>
    <n v="28"/>
    <n v="60.02"/>
    <n v="0"/>
    <n v="5.78"/>
    <s v="Yes"/>
    <n v="188.85"/>
    <n v="0"/>
    <n v="93.8"/>
    <n v="-93.8"/>
    <n v="0"/>
  </r>
  <r>
    <s v="ORD-000682"/>
    <s v="C-0668"/>
    <d v="2025-08-28T00:00:00"/>
    <s v="Website"/>
    <s v="Credit Card"/>
    <s v="West Coast"/>
    <n v="2"/>
    <x v="6"/>
    <n v="78.55"/>
    <n v="0"/>
    <n v="0"/>
    <n v="19.88"/>
    <n v="26.03"/>
    <n v="0"/>
    <n v="2.58"/>
    <s v="No"/>
    <n v="0"/>
    <n v="78.55"/>
    <n v="48.49"/>
    <n v="30.06"/>
    <n v="0"/>
  </r>
  <r>
    <s v="ORD-000683"/>
    <s v="C-0076"/>
    <d v="2024-10-28T00:00:00"/>
    <s v="Website"/>
    <s v="Credit Card"/>
    <s v="Northeast"/>
    <n v="1"/>
    <x v="1"/>
    <n v="24.02"/>
    <n v="20"/>
    <n v="4.8"/>
    <n v="3.98"/>
    <n v="10.75"/>
    <n v="0"/>
    <n v="0.86"/>
    <s v="No"/>
    <n v="0"/>
    <n v="19.22"/>
    <n v="15.59"/>
    <n v="3.63"/>
    <n v="1"/>
  </r>
  <r>
    <s v="ORD-000684"/>
    <s v="C-0257"/>
    <d v="2025-05-02T00:00:00"/>
    <s v="Social Commerce"/>
    <s v="Credit Card"/>
    <s v="Southeast"/>
    <n v="2"/>
    <x v="3"/>
    <n v="172.36"/>
    <n v="0"/>
    <n v="0"/>
    <n v="30.88"/>
    <n v="87.44"/>
    <n v="13.79"/>
    <n v="5.3"/>
    <s v="No"/>
    <n v="0"/>
    <n v="172.36"/>
    <n v="137.41"/>
    <n v="34.950000000000003"/>
    <n v="0"/>
  </r>
  <r>
    <s v="ORD-000685"/>
    <s v="C-0207"/>
    <d v="2025-01-13T00:00:00"/>
    <s v="Website"/>
    <s v="PayPal"/>
    <s v="West Coast"/>
    <n v="2"/>
    <x v="3"/>
    <n v="130.99"/>
    <n v="10"/>
    <n v="13.1"/>
    <n v="35.380000000000003"/>
    <n v="44.15"/>
    <n v="0"/>
    <n v="3.72"/>
    <s v="No"/>
    <n v="0"/>
    <n v="117.89"/>
    <n v="83.25"/>
    <n v="34.64"/>
    <n v="0"/>
  </r>
  <r>
    <s v="ORD-000686"/>
    <s v="C-0173"/>
    <d v="2025-07-23T00:00:00"/>
    <s v="Social Commerce"/>
    <s v="PayPal"/>
    <s v="Southeast"/>
    <n v="1"/>
    <x v="3"/>
    <n v="88.77"/>
    <n v="0"/>
    <n v="0"/>
    <n v="14.1"/>
    <n v="37.26"/>
    <n v="7.1"/>
    <n v="2.87"/>
    <s v="No"/>
    <n v="0"/>
    <n v="88.77"/>
    <n v="61.33"/>
    <n v="27.44"/>
    <n v="0"/>
  </r>
  <r>
    <s v="ORD-000687"/>
    <s v="C-0170"/>
    <d v="2024-12-18T00:00:00"/>
    <s v="Website"/>
    <s v="Debit Card"/>
    <s v="Midwest"/>
    <n v="1"/>
    <x v="3"/>
    <n v="137.07"/>
    <n v="15"/>
    <n v="20.56"/>
    <n v="34.74"/>
    <n v="84.63"/>
    <n v="0"/>
    <n v="3.68"/>
    <s v="No"/>
    <n v="0"/>
    <n v="116.51"/>
    <n v="123.05"/>
    <n v="-6.54"/>
    <n v="0"/>
  </r>
  <r>
    <s v="ORD-000688"/>
    <s v="C-0285"/>
    <d v="2025-06-10T00:00:00"/>
    <s v="Website"/>
    <s v="Buy Now Pay Later"/>
    <s v="West Coast"/>
    <n v="3"/>
    <x v="3"/>
    <n v="278.64"/>
    <n v="25"/>
    <n v="69.66"/>
    <n v="68.7"/>
    <n v="157.18"/>
    <n v="0"/>
    <n v="6.36"/>
    <s v="No"/>
    <n v="0"/>
    <n v="208.98"/>
    <n v="232.24"/>
    <n v="-23.26"/>
    <n v="0"/>
  </r>
  <r>
    <s v="ORD-000689"/>
    <s v="C-0681"/>
    <d v="2025-10-26T00:00:00"/>
    <s v="Website"/>
    <s v="Gift Card"/>
    <s v="Northeast"/>
    <n v="1"/>
    <x v="4"/>
    <n v="124.56"/>
    <n v="20"/>
    <n v="24.91"/>
    <n v="21.08"/>
    <n v="46.64"/>
    <n v="0"/>
    <n v="3.19"/>
    <s v="No"/>
    <n v="0"/>
    <n v="99.65"/>
    <n v="70.91"/>
    <n v="28.74"/>
    <n v="0"/>
  </r>
  <r>
    <s v="ORD-000690"/>
    <s v="C-0607"/>
    <d v="2025-02-23T00:00:00"/>
    <s v="Website"/>
    <s v="PayPal"/>
    <s v="Northeast"/>
    <n v="3"/>
    <x v="0"/>
    <n v="298.94"/>
    <n v="5"/>
    <n v="14.95"/>
    <n v="31.94"/>
    <n v="108.58"/>
    <n v="0"/>
    <n v="8.5399999999999991"/>
    <s v="No"/>
    <n v="0"/>
    <n v="283.99"/>
    <n v="149.06"/>
    <n v="134.93"/>
    <n v="0"/>
  </r>
  <r>
    <s v="ORD-000691"/>
    <s v="C-0187"/>
    <d v="2024-03-24T00:00:00"/>
    <s v="Website"/>
    <s v="Buy Now Pay Later"/>
    <s v="Southwest"/>
    <n v="1"/>
    <x v="2"/>
    <n v="11.84"/>
    <n v="10"/>
    <n v="1.18"/>
    <n v="11.5"/>
    <n v="5.71"/>
    <n v="0"/>
    <n v="0.61"/>
    <s v="No"/>
    <n v="0"/>
    <n v="10.66"/>
    <n v="17.82"/>
    <n v="-7.16"/>
    <n v="0"/>
  </r>
  <r>
    <s v="ORD-000692"/>
    <s v="C-0017"/>
    <d v="2025-10-02T00:00:00"/>
    <s v="Website"/>
    <s v="Buy Now Pay Later"/>
    <s v="Southeast"/>
    <n v="4"/>
    <x v="6"/>
    <n v="109.71"/>
    <n v="0"/>
    <n v="0"/>
    <n v="44.7"/>
    <n v="48.13"/>
    <n v="0"/>
    <n v="3.48"/>
    <s v="No"/>
    <n v="0"/>
    <n v="109.71"/>
    <n v="96.31"/>
    <n v="13.4"/>
    <n v="0"/>
  </r>
  <r>
    <s v="ORD-000693"/>
    <s v="C-0379"/>
    <d v="2025-06-14T00:00:00"/>
    <s v="Marketplace"/>
    <s v="Buy Now Pay Later"/>
    <s v="West Coast"/>
    <n v="2"/>
    <x v="5"/>
    <n v="137.4"/>
    <n v="0"/>
    <n v="0"/>
    <n v="35.94"/>
    <n v="78.05"/>
    <n v="20.61"/>
    <n v="4.28"/>
    <s v="No"/>
    <n v="0"/>
    <n v="137.4"/>
    <n v="138.88"/>
    <n v="-1.48"/>
    <n v="0"/>
  </r>
  <r>
    <s v="ORD-000694"/>
    <s v="C-0473"/>
    <d v="2024-07-03T00:00:00"/>
    <s v="Website"/>
    <s v="PayPal"/>
    <s v="Southeast"/>
    <n v="4"/>
    <x v="4"/>
    <n v="121.96"/>
    <n v="0"/>
    <n v="0"/>
    <n v="28.56"/>
    <n v="48.3"/>
    <n v="0"/>
    <n v="3.84"/>
    <s v="No"/>
    <n v="0"/>
    <n v="121.96"/>
    <n v="80.7"/>
    <n v="41.26"/>
    <n v="0"/>
  </r>
  <r>
    <s v="ORD-000695"/>
    <s v="C-0113"/>
    <d v="2025-10-02T00:00:00"/>
    <s v="Website"/>
    <s v="Credit Card"/>
    <s v="Southwest"/>
    <n v="3"/>
    <x v="7"/>
    <n v="196.51"/>
    <n v="0"/>
    <n v="0"/>
    <n v="39.28"/>
    <n v="92.73"/>
    <n v="0"/>
    <n v="6"/>
    <s v="No"/>
    <n v="0"/>
    <n v="196.51"/>
    <n v="138.01"/>
    <n v="58.5"/>
    <n v="0"/>
  </r>
  <r>
    <s v="ORD-000696"/>
    <s v="C-0628"/>
    <d v="2025-06-14T00:00:00"/>
    <s v="Mobile App"/>
    <s v="PayPal"/>
    <s v="Southeast"/>
    <n v="1"/>
    <x v="6"/>
    <n v="3.49"/>
    <n v="20"/>
    <n v="0.7"/>
    <n v="10.38"/>
    <n v="2.17"/>
    <n v="0"/>
    <n v="0.38"/>
    <s v="No"/>
    <n v="0"/>
    <n v="2.79"/>
    <n v="12.93"/>
    <n v="-10.14"/>
    <n v="0"/>
  </r>
  <r>
    <s v="ORD-000697"/>
    <s v="C-0643"/>
    <d v="2025-07-21T00:00:00"/>
    <s v="Marketplace"/>
    <s v="Credit Card"/>
    <s v="West Coast"/>
    <n v="1"/>
    <x v="4"/>
    <n v="40.89"/>
    <n v="10"/>
    <n v="4.09"/>
    <n v="15.1"/>
    <n v="16.21"/>
    <n v="5.52"/>
    <n v="1.37"/>
    <s v="Yes"/>
    <n v="36.799999999999997"/>
    <n v="0"/>
    <n v="38.200000000000003"/>
    <n v="-38.200000000000003"/>
    <n v="0"/>
  </r>
  <r>
    <s v="ORD-000698"/>
    <s v="C-0298"/>
    <d v="2025-01-02T00:00:00"/>
    <s v="Marketplace"/>
    <s v="Buy Now Pay Later"/>
    <s v="Southeast"/>
    <n v="2"/>
    <x v="7"/>
    <n v="230.28"/>
    <n v="0"/>
    <n v="0"/>
    <n v="10.28"/>
    <n v="80.41"/>
    <n v="34.54"/>
    <n v="6.98"/>
    <s v="No"/>
    <n v="0"/>
    <n v="230.28"/>
    <n v="132.21"/>
    <n v="98.07"/>
    <n v="0"/>
  </r>
  <r>
    <s v="ORD-000699"/>
    <s v="C-0052"/>
    <d v="2025-05-25T00:00:00"/>
    <s v="Marketplace"/>
    <s v="Credit Card"/>
    <s v="Midwest"/>
    <n v="2"/>
    <x v="5"/>
    <n v="284.27999999999997"/>
    <n v="0"/>
    <n v="0"/>
    <n v="46.16"/>
    <n v="126.74"/>
    <n v="42.64"/>
    <n v="8.5399999999999991"/>
    <s v="No"/>
    <n v="0"/>
    <n v="284.27999999999997"/>
    <n v="224.08"/>
    <n v="60.2"/>
    <n v="1"/>
  </r>
  <r>
    <s v="ORD-000700"/>
    <s v="C-0273"/>
    <d v="2024-09-13T00:00:00"/>
    <s v="Mobile App"/>
    <s v="PayPal"/>
    <s v="Midwest"/>
    <n v="4"/>
    <x v="4"/>
    <n v="285.27999999999997"/>
    <n v="10"/>
    <n v="28.53"/>
    <n v="59.38"/>
    <n v="135.65"/>
    <n v="0"/>
    <n v="7.75"/>
    <s v="No"/>
    <n v="0"/>
    <n v="256.75"/>
    <n v="202.78"/>
    <n v="53.97"/>
    <n v="0"/>
  </r>
  <r>
    <s v="ORD-000701"/>
    <s v="C-0080"/>
    <d v="2025-05-31T00:00:00"/>
    <s v="Website"/>
    <s v="Credit Card"/>
    <s v="Southeast"/>
    <n v="2"/>
    <x v="3"/>
    <n v="66.53"/>
    <n v="10"/>
    <n v="6.65"/>
    <n v="38.340000000000003"/>
    <n v="28.38"/>
    <n v="0"/>
    <n v="2.04"/>
    <s v="No"/>
    <n v="0"/>
    <n v="59.88"/>
    <n v="68.760000000000005"/>
    <n v="-8.8800000000000008"/>
    <n v="0"/>
  </r>
  <r>
    <s v="ORD-000702"/>
    <s v="C-0214"/>
    <d v="2024-05-23T00:00:00"/>
    <s v="Website"/>
    <s v="Gift Card"/>
    <s v="Midwest"/>
    <n v="1"/>
    <x v="1"/>
    <n v="47.32"/>
    <n v="15"/>
    <n v="7.1"/>
    <n v="9.1"/>
    <n v="20.94"/>
    <n v="0"/>
    <n v="1.47"/>
    <s v="Yes"/>
    <n v="40.22"/>
    <n v="0"/>
    <n v="31.51"/>
    <n v="-31.51"/>
    <n v="0"/>
  </r>
  <r>
    <s v="ORD-000703"/>
    <s v="C-0651"/>
    <d v="2024-11-14T00:00:00"/>
    <s v="Website"/>
    <s v="Credit Card"/>
    <s v="Southwest"/>
    <n v="3"/>
    <x v="0"/>
    <n v="145.41"/>
    <n v="0"/>
    <n v="0"/>
    <n v="33.82"/>
    <n v="58.73"/>
    <n v="0"/>
    <n v="4.5199999999999996"/>
    <s v="No"/>
    <n v="0"/>
    <n v="145.41"/>
    <n v="97.07"/>
    <n v="48.34"/>
    <n v="0"/>
  </r>
  <r>
    <s v="ORD-000704"/>
    <s v="C-0098"/>
    <d v="2025-03-26T00:00:00"/>
    <s v="Website"/>
    <s v="PayPal"/>
    <s v="Northeast"/>
    <n v="4"/>
    <x v="4"/>
    <n v="174.7"/>
    <n v="20"/>
    <n v="34.94"/>
    <n v="40.880000000000003"/>
    <n v="76.52"/>
    <n v="0"/>
    <n v="4.3499999999999996"/>
    <s v="No"/>
    <n v="0"/>
    <n v="139.76"/>
    <n v="121.75"/>
    <n v="18.010000000000002"/>
    <n v="1"/>
  </r>
  <r>
    <s v="ORD-000705"/>
    <s v="C-0024"/>
    <d v="2025-03-03T00:00:00"/>
    <s v="Mobile App"/>
    <s v="Credit Card"/>
    <s v="West Coast"/>
    <n v="2"/>
    <x v="1"/>
    <n v="19.82"/>
    <n v="10"/>
    <n v="1.98"/>
    <n v="20.76"/>
    <n v="7.36"/>
    <n v="0"/>
    <n v="0.82"/>
    <s v="No"/>
    <n v="0"/>
    <n v="17.84"/>
    <n v="28.94"/>
    <n v="-11.1"/>
    <n v="0"/>
  </r>
  <r>
    <s v="ORD-000706"/>
    <s v="C-0304"/>
    <d v="2024-05-02T00:00:00"/>
    <s v="Website"/>
    <s v="PayPal"/>
    <s v="West Coast"/>
    <n v="2"/>
    <x v="3"/>
    <n v="146.83000000000001"/>
    <n v="0"/>
    <n v="0"/>
    <n v="19.239999999999998"/>
    <n v="49.55"/>
    <n v="0"/>
    <n v="4.5599999999999996"/>
    <s v="No"/>
    <n v="0"/>
    <n v="146.83000000000001"/>
    <n v="73.349999999999994"/>
    <n v="73.48"/>
    <n v="0"/>
  </r>
  <r>
    <s v="ORD-000707"/>
    <s v="C-0448"/>
    <d v="2025-08-28T00:00:00"/>
    <s v="Mobile App"/>
    <s v="Buy Now Pay Later"/>
    <s v="Northeast"/>
    <n v="1"/>
    <x v="0"/>
    <n v="35.03"/>
    <n v="10"/>
    <n v="3.5"/>
    <n v="9.98"/>
    <n v="11.54"/>
    <n v="0"/>
    <n v="1.21"/>
    <s v="No"/>
    <n v="0"/>
    <n v="31.53"/>
    <n v="22.73"/>
    <n v="8.8000000000000007"/>
    <n v="0"/>
  </r>
  <r>
    <s v="ORD-000708"/>
    <s v="C-0497"/>
    <d v="2025-05-14T00:00:00"/>
    <s v="Website"/>
    <s v="Buy Now Pay Later"/>
    <s v="Northeast"/>
    <n v="1"/>
    <x v="3"/>
    <n v="55.06"/>
    <n v="0"/>
    <n v="0"/>
    <n v="5.82"/>
    <n v="21.08"/>
    <n v="0"/>
    <n v="1.9"/>
    <s v="Yes"/>
    <n v="55.06"/>
    <n v="0"/>
    <n v="28.8"/>
    <n v="-28.8"/>
    <n v="0"/>
  </r>
  <r>
    <s v="ORD-000709"/>
    <s v="C-0152"/>
    <d v="2025-03-29T00:00:00"/>
    <s v="Website"/>
    <s v="Credit Card"/>
    <s v="Northeast"/>
    <n v="2"/>
    <x v="3"/>
    <n v="94.66"/>
    <n v="0"/>
    <n v="0"/>
    <n v="19.239999999999998"/>
    <n v="35.380000000000003"/>
    <n v="0"/>
    <n v="3.05"/>
    <s v="No"/>
    <n v="0"/>
    <n v="94.66"/>
    <n v="57.67"/>
    <n v="36.99"/>
    <n v="0"/>
  </r>
  <r>
    <s v="ORD-000710"/>
    <s v="C-0161"/>
    <d v="2025-12-09T00:00:00"/>
    <s v="Website"/>
    <s v="Buy Now Pay Later"/>
    <s v="Southwest"/>
    <n v="3"/>
    <x v="6"/>
    <n v="274.61"/>
    <n v="15"/>
    <n v="41.19"/>
    <n v="52.56"/>
    <n v="90.09"/>
    <n v="0"/>
    <n v="7.07"/>
    <s v="No"/>
    <n v="0"/>
    <n v="233.42"/>
    <n v="149.72"/>
    <n v="83.7"/>
    <n v="1"/>
  </r>
  <r>
    <s v="ORD-000711"/>
    <s v="C-0254"/>
    <d v="2025-11-01T00:00:00"/>
    <s v="Website"/>
    <s v="Gift Card"/>
    <s v="West Coast"/>
    <n v="2"/>
    <x v="5"/>
    <n v="221.77"/>
    <n v="0"/>
    <n v="0"/>
    <n v="50.56"/>
    <n v="127.04"/>
    <n v="0"/>
    <n v="6.73"/>
    <s v="No"/>
    <n v="0"/>
    <n v="221.77"/>
    <n v="184.33"/>
    <n v="37.44"/>
    <n v="0"/>
  </r>
  <r>
    <s v="ORD-000712"/>
    <s v="C-0776"/>
    <d v="2024-10-08T00:00:00"/>
    <s v="Mobile App"/>
    <s v="Debit Card"/>
    <s v="Midwest"/>
    <n v="4"/>
    <x v="6"/>
    <n v="241.39"/>
    <n v="0"/>
    <n v="0"/>
    <n v="100.48"/>
    <n v="111.31"/>
    <n v="0"/>
    <n v="7.3"/>
    <s v="Yes"/>
    <n v="241.39"/>
    <n v="0"/>
    <n v="219.09"/>
    <n v="-219.09"/>
    <n v="0"/>
  </r>
  <r>
    <s v="ORD-000713"/>
    <s v="C-0038"/>
    <d v="2025-03-29T00:00:00"/>
    <s v="Marketplace"/>
    <s v="Credit Card"/>
    <s v="Midwest"/>
    <n v="1"/>
    <x v="7"/>
    <n v="104.73"/>
    <n v="10"/>
    <n v="10.47"/>
    <n v="14.94"/>
    <n v="34.15"/>
    <n v="14.14"/>
    <n v="3.03"/>
    <s v="No"/>
    <n v="0"/>
    <n v="94.26"/>
    <n v="66.260000000000005"/>
    <n v="28"/>
    <n v="0"/>
  </r>
  <r>
    <s v="ORD-000714"/>
    <s v="C-0239"/>
    <d v="2025-05-12T00:00:00"/>
    <s v="Social Commerce"/>
    <s v="Buy Now Pay Later"/>
    <s v="Southwest"/>
    <n v="2"/>
    <x v="1"/>
    <n v="112.34"/>
    <n v="0"/>
    <n v="0"/>
    <n v="36.659999999999997"/>
    <n v="36.729999999999997"/>
    <n v="8.99"/>
    <n v="3.56"/>
    <s v="No"/>
    <n v="0"/>
    <n v="112.34"/>
    <n v="85.94"/>
    <n v="26.4"/>
    <n v="1"/>
  </r>
  <r>
    <s v="ORD-000715"/>
    <s v="C-0309"/>
    <d v="2025-03-18T00:00:00"/>
    <s v="Mobile App"/>
    <s v="Credit Card"/>
    <s v="Southeast"/>
    <n v="2"/>
    <x v="4"/>
    <n v="56.39"/>
    <n v="0"/>
    <n v="0"/>
    <n v="16.18"/>
    <n v="18.84"/>
    <n v="0"/>
    <n v="1.94"/>
    <s v="No"/>
    <n v="0"/>
    <n v="56.39"/>
    <n v="36.96"/>
    <n v="19.43"/>
    <n v="0"/>
  </r>
  <r>
    <s v="ORD-000716"/>
    <s v="C-0342"/>
    <d v="2025-08-21T00:00:00"/>
    <s v="Marketplace"/>
    <s v="Debit Card"/>
    <s v="West Coast"/>
    <n v="1"/>
    <x v="5"/>
    <n v="230.18"/>
    <n v="20"/>
    <n v="46.04"/>
    <n v="16.440000000000001"/>
    <n v="67.900000000000006"/>
    <n v="27.62"/>
    <n v="5.64"/>
    <s v="No"/>
    <n v="0"/>
    <n v="184.14"/>
    <n v="117.6"/>
    <n v="66.540000000000006"/>
    <n v="0"/>
  </r>
  <r>
    <s v="ORD-000717"/>
    <s v="C-0417"/>
    <d v="2025-05-24T00:00:00"/>
    <s v="Website"/>
    <s v="Debit Card"/>
    <s v="Southwest"/>
    <n v="3"/>
    <x v="3"/>
    <n v="261.82"/>
    <n v="15"/>
    <n v="39.270000000000003"/>
    <n v="30.8"/>
    <n v="97.43"/>
    <n v="0"/>
    <n v="6.75"/>
    <s v="No"/>
    <n v="0"/>
    <n v="222.55"/>
    <n v="134.97999999999999"/>
    <n v="87.57"/>
    <n v="0"/>
  </r>
  <r>
    <s v="ORD-000718"/>
    <s v="C-0489"/>
    <d v="2025-02-15T00:00:00"/>
    <s v="Mobile App"/>
    <s v="PayPal"/>
    <s v="West Coast"/>
    <n v="2"/>
    <x v="4"/>
    <n v="104.67"/>
    <n v="15"/>
    <n v="15.7"/>
    <n v="20.92"/>
    <n v="33.03"/>
    <n v="0"/>
    <n v="2.88"/>
    <s v="No"/>
    <n v="0"/>
    <n v="88.97"/>
    <n v="56.83"/>
    <n v="32.14"/>
    <n v="0"/>
  </r>
  <r>
    <s v="ORD-000719"/>
    <s v="C-0577"/>
    <d v="2025-07-06T00:00:00"/>
    <s v="Website"/>
    <s v="PayPal"/>
    <s v="Northeast"/>
    <n v="1"/>
    <x v="4"/>
    <n v="125.4"/>
    <n v="10"/>
    <n v="12.54"/>
    <n v="15"/>
    <n v="41.58"/>
    <n v="0"/>
    <n v="3.57"/>
    <s v="No"/>
    <n v="0"/>
    <n v="112.86"/>
    <n v="60.15"/>
    <n v="52.71"/>
    <n v="0"/>
  </r>
  <r>
    <s v="ORD-000720"/>
    <s v="C-0077"/>
    <d v="2025-07-08T00:00:00"/>
    <s v="Mobile App"/>
    <s v="Debit Card"/>
    <s v="Southeast"/>
    <n v="1"/>
    <x v="7"/>
    <n v="62.92"/>
    <n v="15"/>
    <n v="9.44"/>
    <n v="10.38"/>
    <n v="27.03"/>
    <n v="0"/>
    <n v="1.85"/>
    <s v="No"/>
    <n v="0"/>
    <n v="53.48"/>
    <n v="39.26"/>
    <n v="14.22"/>
    <n v="0"/>
  </r>
  <r>
    <s v="ORD-000721"/>
    <s v="C-0417"/>
    <d v="2024-10-03T00:00:00"/>
    <s v="Website"/>
    <s v="Credit Card"/>
    <s v="Southwest"/>
    <n v="2"/>
    <x v="6"/>
    <n v="35.58"/>
    <n v="10"/>
    <n v="3.56"/>
    <n v="26.52"/>
    <n v="14.19"/>
    <n v="0"/>
    <n v="1.23"/>
    <s v="No"/>
    <n v="0"/>
    <n v="32.020000000000003"/>
    <n v="41.94"/>
    <n v="-9.92"/>
    <n v="0"/>
  </r>
  <r>
    <s v="ORD-000722"/>
    <s v="C-0159"/>
    <d v="2025-07-04T00:00:00"/>
    <s v="Marketplace"/>
    <s v="Credit Card"/>
    <s v="Southeast"/>
    <n v="2"/>
    <x v="5"/>
    <n v="88.66"/>
    <n v="5"/>
    <n v="4.43"/>
    <n v="28.84"/>
    <n v="30.63"/>
    <n v="12.63"/>
    <n v="2.74"/>
    <s v="No"/>
    <n v="0"/>
    <n v="84.23"/>
    <n v="74.84"/>
    <n v="9.39"/>
    <n v="0"/>
  </r>
  <r>
    <s v="ORD-000723"/>
    <s v="C-0404"/>
    <d v="2024-06-26T00:00:00"/>
    <s v="Website"/>
    <s v="Gift Card"/>
    <s v="Northeast"/>
    <n v="1"/>
    <x v="3"/>
    <n v="36.01"/>
    <n v="25"/>
    <n v="9"/>
    <n v="9.66"/>
    <n v="11.64"/>
    <n v="0"/>
    <n v="1.08"/>
    <s v="No"/>
    <n v="0"/>
    <n v="27.01"/>
    <n v="22.38"/>
    <n v="4.63"/>
    <n v="0"/>
  </r>
  <r>
    <s v="ORD-000724"/>
    <s v="C-0084"/>
    <d v="2025-05-28T00:00:00"/>
    <s v="Mobile App"/>
    <s v="Buy Now Pay Later"/>
    <s v="West Coast"/>
    <n v="2"/>
    <x v="7"/>
    <n v="327.7"/>
    <n v="0"/>
    <n v="0"/>
    <n v="27.88"/>
    <n v="101.2"/>
    <n v="0"/>
    <n v="9.8000000000000007"/>
    <s v="No"/>
    <n v="0"/>
    <n v="327.7"/>
    <n v="138.88"/>
    <n v="188.82"/>
    <n v="0"/>
  </r>
  <r>
    <s v="ORD-000725"/>
    <s v="C-0109"/>
    <d v="2025-01-29T00:00:00"/>
    <s v="Website"/>
    <s v="Credit Card"/>
    <s v="Northeast"/>
    <n v="1"/>
    <x v="6"/>
    <n v="10.62"/>
    <n v="0"/>
    <n v="0"/>
    <n v="9.18"/>
    <n v="5.38"/>
    <n v="0"/>
    <n v="0.61"/>
    <s v="No"/>
    <n v="0"/>
    <n v="10.62"/>
    <n v="15.17"/>
    <n v="-4.55"/>
    <n v="0"/>
  </r>
  <r>
    <s v="ORD-000726"/>
    <s v="C-0424"/>
    <d v="2025-06-25T00:00:00"/>
    <s v="Website"/>
    <s v="Credit Card"/>
    <s v="Midwest"/>
    <n v="3"/>
    <x v="2"/>
    <n v="207.51"/>
    <n v="0"/>
    <n v="0"/>
    <n v="29.46"/>
    <n v="74.11"/>
    <n v="0"/>
    <n v="6.32"/>
    <s v="No"/>
    <n v="0"/>
    <n v="207.51"/>
    <n v="109.89"/>
    <n v="97.62"/>
    <n v="0"/>
  </r>
  <r>
    <s v="ORD-000727"/>
    <s v="C-0327"/>
    <d v="2025-08-20T00:00:00"/>
    <s v="Mobile App"/>
    <s v="Debit Card"/>
    <s v="Southwest"/>
    <n v="1"/>
    <x v="5"/>
    <n v="52.69"/>
    <n v="0"/>
    <n v="0"/>
    <n v="5.82"/>
    <n v="23.14"/>
    <n v="0"/>
    <n v="1.83"/>
    <s v="No"/>
    <n v="0"/>
    <n v="52.69"/>
    <n v="30.79"/>
    <n v="21.9"/>
    <n v="0"/>
  </r>
  <r>
    <s v="ORD-000728"/>
    <s v="C-0419"/>
    <d v="2024-08-07T00:00:00"/>
    <s v="Mobile App"/>
    <s v="PayPal"/>
    <s v="Southeast"/>
    <n v="5"/>
    <x v="0"/>
    <n v="302.41000000000003"/>
    <n v="5"/>
    <n v="15.12"/>
    <n v="60.98"/>
    <n v="118.5"/>
    <n v="0"/>
    <n v="8.6300000000000008"/>
    <s v="No"/>
    <n v="0"/>
    <n v="287.29000000000002"/>
    <n v="188.11"/>
    <n v="99.18"/>
    <n v="0"/>
  </r>
  <r>
    <s v="ORD-000729"/>
    <s v="C-0010"/>
    <d v="2025-06-30T00:00:00"/>
    <s v="Website"/>
    <s v="Debit Card"/>
    <s v="Southwest"/>
    <n v="2"/>
    <x v="4"/>
    <n v="123.51"/>
    <n v="0"/>
    <n v="0"/>
    <n v="19.32"/>
    <n v="43.04"/>
    <n v="0"/>
    <n v="3.88"/>
    <s v="No"/>
    <n v="0"/>
    <n v="123.51"/>
    <n v="66.239999999999995"/>
    <n v="57.27"/>
    <n v="0"/>
  </r>
  <r>
    <s v="ORD-000730"/>
    <s v="C-0475"/>
    <d v="2024-11-06T00:00:00"/>
    <s v="Social Commerce"/>
    <s v="PayPal"/>
    <s v="West Coast"/>
    <n v="2"/>
    <x v="5"/>
    <n v="178.01"/>
    <n v="5"/>
    <n v="8.9"/>
    <n v="19.72"/>
    <n v="51.92"/>
    <n v="13.53"/>
    <n v="5.2"/>
    <s v="No"/>
    <n v="0"/>
    <n v="169.11"/>
    <n v="90.37"/>
    <n v="78.739999999999995"/>
    <n v="0"/>
  </r>
  <r>
    <s v="ORD-000731"/>
    <s v="C-0035"/>
    <d v="2025-04-19T00:00:00"/>
    <s v="Website"/>
    <s v="Gift Card"/>
    <s v="Midwest"/>
    <n v="1"/>
    <x v="6"/>
    <n v="26.5"/>
    <n v="25"/>
    <n v="6.62"/>
    <n v="5.5"/>
    <n v="8.06"/>
    <n v="0"/>
    <n v="0.88"/>
    <s v="No"/>
    <n v="0"/>
    <n v="19.88"/>
    <n v="14.44"/>
    <n v="5.44"/>
    <n v="0"/>
  </r>
  <r>
    <s v="ORD-000732"/>
    <s v="C-0433"/>
    <d v="2024-06-09T00:00:00"/>
    <s v="Marketplace"/>
    <s v="Credit Card"/>
    <s v="West Coast"/>
    <n v="2"/>
    <x v="2"/>
    <n v="170.72"/>
    <n v="5"/>
    <n v="8.5399999999999991"/>
    <n v="30.42"/>
    <n v="59.56"/>
    <n v="24.33"/>
    <n v="5"/>
    <s v="No"/>
    <n v="0"/>
    <n v="162.18"/>
    <n v="119.31"/>
    <n v="42.87"/>
    <n v="0"/>
  </r>
  <r>
    <s v="ORD-000733"/>
    <s v="C-0056"/>
    <d v="2025-05-13T00:00:00"/>
    <s v="Website"/>
    <s v="Credit Card"/>
    <s v="West Coast"/>
    <n v="1"/>
    <x v="0"/>
    <n v="20.67"/>
    <n v="10"/>
    <n v="2.0699999999999998"/>
    <n v="4.3"/>
    <n v="5.96"/>
    <n v="0"/>
    <n v="0.84"/>
    <s v="No"/>
    <n v="0"/>
    <n v="18.600000000000001"/>
    <n v="11.1"/>
    <n v="7.5"/>
    <n v="0"/>
  </r>
  <r>
    <s v="ORD-000734"/>
    <s v="C-0777"/>
    <d v="2024-11-21T00:00:00"/>
    <s v="Website"/>
    <s v="Credit Card"/>
    <s v="Northeast"/>
    <n v="3"/>
    <x v="4"/>
    <n v="354.93"/>
    <n v="10"/>
    <n v="35.49"/>
    <n v="31.26"/>
    <n v="128.93"/>
    <n v="0"/>
    <n v="9.56"/>
    <s v="Yes"/>
    <n v="319.44"/>
    <n v="0"/>
    <n v="169.75"/>
    <n v="-169.75"/>
    <n v="0"/>
  </r>
  <r>
    <s v="ORD-000735"/>
    <s v="C-0685"/>
    <d v="2025-06-12T00:00:00"/>
    <s v="Marketplace"/>
    <s v="Credit Card"/>
    <s v="Southwest"/>
    <n v="1"/>
    <x v="5"/>
    <n v="111.44"/>
    <n v="0"/>
    <n v="0"/>
    <n v="9.02"/>
    <n v="36.340000000000003"/>
    <n v="16.72"/>
    <n v="3.53"/>
    <s v="No"/>
    <n v="0"/>
    <n v="111.44"/>
    <n v="65.61"/>
    <n v="45.83"/>
    <n v="0"/>
  </r>
  <r>
    <s v="ORD-000736"/>
    <s v="C-0116"/>
    <d v="2025-03-23T00:00:00"/>
    <s v="Website"/>
    <s v="Gift Card"/>
    <s v="Northeast"/>
    <n v="2"/>
    <x v="2"/>
    <n v="345.5"/>
    <n v="10"/>
    <n v="34.549999999999997"/>
    <n v="40.24"/>
    <n v="117.42"/>
    <n v="0"/>
    <n v="9.32"/>
    <s v="No"/>
    <n v="0"/>
    <n v="310.95"/>
    <n v="166.98"/>
    <n v="143.97"/>
    <n v="1"/>
  </r>
  <r>
    <s v="ORD-000737"/>
    <s v="C-0076"/>
    <d v="2025-01-23T00:00:00"/>
    <s v="Mobile App"/>
    <s v="Credit Card"/>
    <s v="Southeast"/>
    <n v="4"/>
    <x v="1"/>
    <n v="199.62"/>
    <n v="5"/>
    <n v="9.98"/>
    <n v="37.119999999999997"/>
    <n v="88.42"/>
    <n v="0"/>
    <n v="5.8"/>
    <s v="No"/>
    <n v="0"/>
    <n v="189.64"/>
    <n v="131.34"/>
    <n v="58.3"/>
    <n v="0"/>
  </r>
  <r>
    <s v="ORD-000738"/>
    <s v="C-0742"/>
    <d v="2025-07-03T00:00:00"/>
    <s v="Website"/>
    <s v="PayPal"/>
    <s v="Midwest"/>
    <n v="2"/>
    <x v="3"/>
    <n v="224.27"/>
    <n v="15"/>
    <n v="33.64"/>
    <n v="26.66"/>
    <n v="113.17"/>
    <n v="0"/>
    <n v="5.83"/>
    <s v="No"/>
    <n v="0"/>
    <n v="190.63"/>
    <n v="145.66"/>
    <n v="44.97"/>
    <n v="0"/>
  </r>
  <r>
    <s v="ORD-000739"/>
    <s v="C-0126"/>
    <d v="2024-07-02T00:00:00"/>
    <s v="Marketplace"/>
    <s v="Credit Card"/>
    <s v="West Coast"/>
    <n v="2"/>
    <x v="1"/>
    <n v="65.989999999999995"/>
    <n v="0"/>
    <n v="0"/>
    <n v="17.399999999999999"/>
    <n v="22.99"/>
    <n v="9.9"/>
    <n v="2.21"/>
    <s v="No"/>
    <n v="0"/>
    <n v="65.989999999999995"/>
    <n v="52.5"/>
    <n v="13.49"/>
    <n v="0"/>
  </r>
  <r>
    <s v="ORD-000740"/>
    <s v="C-0018"/>
    <d v="2024-12-13T00:00:00"/>
    <s v="Marketplace"/>
    <s v="Credit Card"/>
    <s v="Midwest"/>
    <n v="2"/>
    <x v="6"/>
    <n v="98.84"/>
    <n v="10"/>
    <n v="9.8800000000000008"/>
    <n v="29.92"/>
    <n v="60.47"/>
    <n v="13.34"/>
    <n v="2.88"/>
    <s v="Yes"/>
    <n v="88.96"/>
    <n v="0"/>
    <n v="106.61"/>
    <n v="-106.61"/>
    <n v="0"/>
  </r>
  <r>
    <s v="ORD-000741"/>
    <s v="C-0319"/>
    <d v="2025-07-22T00:00:00"/>
    <s v="Website"/>
    <s v="Credit Card"/>
    <s v="Northeast"/>
    <n v="1"/>
    <x v="7"/>
    <n v="33.22"/>
    <n v="0"/>
    <n v="0"/>
    <n v="8.94"/>
    <n v="19.46"/>
    <n v="0"/>
    <n v="1.26"/>
    <s v="No"/>
    <n v="0"/>
    <n v="33.22"/>
    <n v="29.66"/>
    <n v="3.56"/>
    <n v="0"/>
  </r>
  <r>
    <s v="ORD-000742"/>
    <s v="C-0781"/>
    <d v="2025-08-08T00:00:00"/>
    <s v="Website"/>
    <s v="Gift Card"/>
    <s v="Southwest"/>
    <n v="1"/>
    <x v="6"/>
    <n v="17.64"/>
    <n v="15"/>
    <n v="2.65"/>
    <n v="15.42"/>
    <n v="10.55"/>
    <n v="0"/>
    <n v="0.73"/>
    <s v="No"/>
    <n v="0"/>
    <n v="14.99"/>
    <n v="26.7"/>
    <n v="-11.71"/>
    <n v="1"/>
  </r>
  <r>
    <s v="ORD-000743"/>
    <s v="C-0171"/>
    <d v="2025-10-04T00:00:00"/>
    <s v="Website"/>
    <s v="PayPal"/>
    <s v="West Coast"/>
    <n v="2"/>
    <x v="0"/>
    <n v="83.18"/>
    <n v="0"/>
    <n v="0"/>
    <n v="26.34"/>
    <n v="39.01"/>
    <n v="0"/>
    <n v="2.71"/>
    <s v="No"/>
    <n v="0"/>
    <n v="83.18"/>
    <n v="68.06"/>
    <n v="15.12"/>
    <n v="0"/>
  </r>
  <r>
    <s v="ORD-000744"/>
    <s v="C-0303"/>
    <d v="2024-08-15T00:00:00"/>
    <s v="Social Commerce"/>
    <s v="Credit Card"/>
    <s v="Midwest"/>
    <n v="2"/>
    <x v="5"/>
    <n v="119.9"/>
    <n v="0"/>
    <n v="0"/>
    <n v="37.840000000000003"/>
    <n v="35.14"/>
    <n v="9.59"/>
    <n v="3.78"/>
    <s v="Yes"/>
    <n v="119.9"/>
    <n v="0"/>
    <n v="86.35"/>
    <n v="-86.35"/>
    <n v="0"/>
  </r>
  <r>
    <s v="ORD-000745"/>
    <s v="C-0510"/>
    <d v="2025-05-03T00:00:00"/>
    <s v="Mobile App"/>
    <s v="Buy Now Pay Later"/>
    <s v="Northeast"/>
    <n v="3"/>
    <x v="4"/>
    <n v="153.30000000000001"/>
    <n v="0"/>
    <n v="0"/>
    <n v="21.94"/>
    <n v="66.739999999999995"/>
    <n v="0"/>
    <n v="4.75"/>
    <s v="Yes"/>
    <n v="153.30000000000001"/>
    <n v="0"/>
    <n v="93.43"/>
    <n v="-93.43"/>
    <n v="0"/>
  </r>
  <r>
    <s v="ORD-000746"/>
    <s v="C-0120"/>
    <d v="2024-09-16T00:00:00"/>
    <s v="Mobile App"/>
    <s v="Credit Card"/>
    <s v="Southeast"/>
    <n v="1"/>
    <x v="5"/>
    <n v="48.08"/>
    <n v="5"/>
    <n v="2.4"/>
    <n v="15.26"/>
    <n v="34.07"/>
    <n v="0"/>
    <n v="1.62"/>
    <s v="No"/>
    <n v="0"/>
    <n v="45.68"/>
    <n v="50.95"/>
    <n v="-5.27"/>
    <n v="1"/>
  </r>
  <r>
    <s v="ORD-000747"/>
    <s v="C-0703"/>
    <d v="2025-05-31T00:00:00"/>
    <s v="Website"/>
    <s v="Credit Card"/>
    <s v="Southwest"/>
    <n v="2"/>
    <x v="3"/>
    <n v="78.2"/>
    <n v="25"/>
    <n v="19.55"/>
    <n v="41.92"/>
    <n v="36.61"/>
    <n v="0"/>
    <n v="2"/>
    <s v="No"/>
    <n v="0"/>
    <n v="58.65"/>
    <n v="80.53"/>
    <n v="-21.88"/>
    <n v="1"/>
  </r>
  <r>
    <s v="ORD-000748"/>
    <s v="C-0036"/>
    <d v="2025-07-26T00:00:00"/>
    <s v="Mobile App"/>
    <s v="Buy Now Pay Later"/>
    <s v="West Coast"/>
    <n v="2"/>
    <x v="2"/>
    <n v="634.42999999999995"/>
    <n v="15"/>
    <n v="95.16"/>
    <n v="43.36"/>
    <n v="238.49"/>
    <n v="0"/>
    <n v="15.94"/>
    <s v="Yes"/>
    <n v="539.27"/>
    <n v="0"/>
    <n v="297.79000000000002"/>
    <n v="-297.79000000000002"/>
    <n v="0"/>
  </r>
  <r>
    <s v="ORD-000749"/>
    <s v="C-0300"/>
    <d v="2025-02-09T00:00:00"/>
    <s v="Website"/>
    <s v="PayPal"/>
    <s v="Southwest"/>
    <n v="3"/>
    <x v="4"/>
    <n v="403.66"/>
    <n v="0"/>
    <n v="0"/>
    <n v="56.06"/>
    <n v="155.36000000000001"/>
    <n v="0"/>
    <n v="12.01"/>
    <s v="No"/>
    <n v="0"/>
    <n v="403.66"/>
    <n v="223.43"/>
    <n v="180.23"/>
    <n v="0"/>
  </r>
  <r>
    <s v="ORD-000750"/>
    <s v="C-0102"/>
    <d v="2025-07-04T00:00:00"/>
    <s v="Marketplace"/>
    <s v="PayPal"/>
    <s v="Northeast"/>
    <n v="5"/>
    <x v="7"/>
    <n v="474.6"/>
    <n v="10"/>
    <n v="47.46"/>
    <n v="43.38"/>
    <n v="171.04"/>
    <n v="64.069999999999993"/>
    <n v="12.69"/>
    <s v="No"/>
    <n v="0"/>
    <n v="427.14"/>
    <n v="291.18"/>
    <n v="135.96"/>
    <n v="1"/>
  </r>
  <r>
    <s v="ORD-000751"/>
    <s v="C-0114"/>
    <d v="2024-11-01T00:00:00"/>
    <s v="Marketplace"/>
    <s v="PayPal"/>
    <s v="Northeast"/>
    <n v="1"/>
    <x v="0"/>
    <n v="384.76"/>
    <n v="0"/>
    <n v="0"/>
    <n v="20.12"/>
    <n v="145.18"/>
    <n v="57.71"/>
    <n v="11.46"/>
    <s v="No"/>
    <n v="0"/>
    <n v="384.76"/>
    <n v="234.47"/>
    <n v="150.29"/>
    <n v="0"/>
  </r>
  <r>
    <s v="ORD-000752"/>
    <s v="C-0545"/>
    <d v="2024-08-06T00:00:00"/>
    <s v="Mobile App"/>
    <s v="PayPal"/>
    <s v="Southeast"/>
    <n v="4"/>
    <x v="3"/>
    <n v="110.6"/>
    <n v="0"/>
    <n v="0"/>
    <n v="32.56"/>
    <n v="51.22"/>
    <n v="0"/>
    <n v="3.51"/>
    <s v="No"/>
    <n v="0"/>
    <n v="110.6"/>
    <n v="87.29"/>
    <n v="23.31"/>
    <n v="0"/>
  </r>
  <r>
    <s v="ORD-000753"/>
    <s v="C-0200"/>
    <d v="2025-06-18T00:00:00"/>
    <s v="Marketplace"/>
    <s v="Credit Card"/>
    <s v="Southeast"/>
    <n v="2"/>
    <x v="0"/>
    <n v="138.72999999999999"/>
    <n v="0"/>
    <n v="0"/>
    <n v="28.6"/>
    <n v="56.07"/>
    <n v="20.81"/>
    <n v="4.32"/>
    <s v="No"/>
    <n v="0"/>
    <n v="138.72999999999999"/>
    <n v="109.8"/>
    <n v="28.93"/>
    <n v="0"/>
  </r>
  <r>
    <s v="ORD-000754"/>
    <s v="C-0447"/>
    <d v="2024-12-04T00:00:00"/>
    <s v="Website"/>
    <s v="PayPal"/>
    <s v="Southwest"/>
    <n v="1"/>
    <x v="5"/>
    <n v="191.88"/>
    <n v="15"/>
    <n v="28.78"/>
    <n v="34.26"/>
    <n v="111.84"/>
    <n v="0"/>
    <n v="5.03"/>
    <s v="No"/>
    <n v="0"/>
    <n v="163.1"/>
    <n v="151.13"/>
    <n v="11.97"/>
    <n v="0"/>
  </r>
  <r>
    <s v="ORD-000755"/>
    <s v="C-0719"/>
    <d v="2025-05-27T00:00:00"/>
    <s v="Marketplace"/>
    <s v="Credit Card"/>
    <s v="Southwest"/>
    <n v="3"/>
    <x v="0"/>
    <n v="181.39"/>
    <n v="20"/>
    <n v="36.28"/>
    <n v="38.020000000000003"/>
    <n v="66.010000000000005"/>
    <n v="21.77"/>
    <n v="4.51"/>
    <s v="No"/>
    <n v="0"/>
    <n v="145.11000000000001"/>
    <n v="130.31"/>
    <n v="14.8"/>
    <n v="0"/>
  </r>
  <r>
    <s v="ORD-000756"/>
    <s v="C-0682"/>
    <d v="2025-05-12T00:00:00"/>
    <s v="Website"/>
    <s v="Debit Card"/>
    <s v="Southeast"/>
    <n v="2"/>
    <x v="6"/>
    <n v="210.19"/>
    <n v="10"/>
    <n v="21.02"/>
    <n v="20.420000000000002"/>
    <n v="64.069999999999993"/>
    <n v="0"/>
    <n v="5.79"/>
    <s v="No"/>
    <n v="0"/>
    <n v="189.17"/>
    <n v="90.28"/>
    <n v="98.89"/>
    <n v="0"/>
  </r>
  <r>
    <s v="ORD-000757"/>
    <s v="C-0096"/>
    <d v="2024-11-25T00:00:00"/>
    <s v="Website"/>
    <s v="Credit Card"/>
    <s v="Southeast"/>
    <n v="3"/>
    <x v="3"/>
    <n v="190.64"/>
    <n v="0"/>
    <n v="0"/>
    <n v="27.78"/>
    <n v="73.260000000000005"/>
    <n v="0"/>
    <n v="5.83"/>
    <s v="No"/>
    <n v="0"/>
    <n v="190.64"/>
    <n v="106.87"/>
    <n v="83.77"/>
    <n v="0"/>
  </r>
  <r>
    <s v="ORD-000758"/>
    <s v="C-0055"/>
    <d v="2025-05-12T00:00:00"/>
    <s v="Mobile App"/>
    <s v="Credit Card"/>
    <s v="West Coast"/>
    <n v="4"/>
    <x v="6"/>
    <n v="131.94999999999999"/>
    <n v="10"/>
    <n v="13.2"/>
    <n v="74.2"/>
    <n v="63.17"/>
    <n v="0"/>
    <n v="3.74"/>
    <s v="No"/>
    <n v="0"/>
    <n v="118.75"/>
    <n v="141.11000000000001"/>
    <n v="-22.36"/>
    <n v="0"/>
  </r>
  <r>
    <s v="ORD-000759"/>
    <s v="C-0390"/>
    <d v="2024-11-06T00:00:00"/>
    <s v="Mobile App"/>
    <s v="Debit Card"/>
    <s v="West Coast"/>
    <n v="1"/>
    <x v="3"/>
    <n v="70.38"/>
    <n v="20"/>
    <n v="14.08"/>
    <n v="10.039999999999999"/>
    <n v="23.42"/>
    <n v="0"/>
    <n v="1.93"/>
    <s v="No"/>
    <n v="0"/>
    <n v="56.3"/>
    <n v="35.39"/>
    <n v="20.91"/>
    <n v="0"/>
  </r>
  <r>
    <s v="ORD-000760"/>
    <s v="C-0645"/>
    <d v="2024-03-05T00:00:00"/>
    <s v="Website"/>
    <s v="PayPal"/>
    <s v="Midwest"/>
    <n v="4"/>
    <x v="2"/>
    <n v="239.84"/>
    <n v="0"/>
    <n v="0"/>
    <n v="63.72"/>
    <n v="111.39"/>
    <n v="0"/>
    <n v="7.26"/>
    <s v="No"/>
    <n v="0"/>
    <n v="239.84"/>
    <n v="182.37"/>
    <n v="57.47"/>
    <n v="0"/>
  </r>
  <r>
    <s v="ORD-000761"/>
    <s v="C-0238"/>
    <d v="2025-08-06T00:00:00"/>
    <s v="Marketplace"/>
    <s v="Credit Card"/>
    <s v="Southwest"/>
    <n v="2"/>
    <x v="6"/>
    <n v="48.33"/>
    <n v="10"/>
    <n v="4.83"/>
    <n v="40.159999999999997"/>
    <n v="33.35"/>
    <n v="6.52"/>
    <n v="1.56"/>
    <s v="No"/>
    <n v="0"/>
    <n v="43.5"/>
    <n v="81.59"/>
    <n v="-38.090000000000003"/>
    <n v="0"/>
  </r>
  <r>
    <s v="ORD-000762"/>
    <s v="C-0736"/>
    <d v="2024-08-07T00:00:00"/>
    <s v="Website"/>
    <s v="Debit Card"/>
    <s v="Northeast"/>
    <n v="1"/>
    <x v="2"/>
    <n v="72.56"/>
    <n v="15"/>
    <n v="10.88"/>
    <n v="8.6999999999999993"/>
    <n v="35.81"/>
    <n v="0"/>
    <n v="2.09"/>
    <s v="No"/>
    <n v="0"/>
    <n v="61.68"/>
    <n v="46.6"/>
    <n v="15.08"/>
    <n v="0"/>
  </r>
  <r>
    <s v="ORD-000763"/>
    <s v="C-0505"/>
    <d v="2025-10-13T00:00:00"/>
    <s v="Mobile App"/>
    <s v="Credit Card"/>
    <s v="Midwest"/>
    <n v="1"/>
    <x v="0"/>
    <n v="43.34"/>
    <n v="5"/>
    <n v="2.17"/>
    <n v="9.58"/>
    <n v="15.91"/>
    <n v="0"/>
    <n v="1.49"/>
    <s v="No"/>
    <n v="0"/>
    <n v="41.17"/>
    <n v="26.98"/>
    <n v="14.19"/>
    <n v="0"/>
  </r>
  <r>
    <s v="ORD-000764"/>
    <s v="C-0436"/>
    <d v="2025-09-19T00:00:00"/>
    <s v="Mobile App"/>
    <s v="Buy Now Pay Later"/>
    <s v="Southeast"/>
    <n v="4"/>
    <x v="6"/>
    <n v="268.14999999999998"/>
    <n v="15"/>
    <n v="40.22"/>
    <n v="52.84"/>
    <n v="131.22"/>
    <n v="0"/>
    <n v="6.91"/>
    <s v="No"/>
    <n v="0"/>
    <n v="227.93"/>
    <n v="190.97"/>
    <n v="36.96"/>
    <n v="0"/>
  </r>
  <r>
    <s v="ORD-000765"/>
    <s v="C-0747"/>
    <d v="2024-04-27T00:00:00"/>
    <s v="Website"/>
    <s v="Credit Card"/>
    <s v="West Coast"/>
    <n v="2"/>
    <x v="0"/>
    <n v="105.99"/>
    <n v="0"/>
    <n v="0"/>
    <n v="25.06"/>
    <n v="38.049999999999997"/>
    <n v="0"/>
    <n v="3.37"/>
    <s v="No"/>
    <n v="0"/>
    <n v="105.99"/>
    <n v="66.48"/>
    <n v="39.51"/>
    <n v="0"/>
  </r>
  <r>
    <s v="ORD-000766"/>
    <s v="C-0364"/>
    <d v="2024-06-11T00:00:00"/>
    <s v="Website"/>
    <s v="Credit Card"/>
    <s v="Southwest"/>
    <n v="1"/>
    <x v="0"/>
    <n v="365.2"/>
    <n v="0"/>
    <n v="0"/>
    <n v="17.559999999999999"/>
    <n v="121.88"/>
    <n v="0"/>
    <n v="10.89"/>
    <s v="No"/>
    <n v="0"/>
    <n v="365.2"/>
    <n v="150.33000000000001"/>
    <n v="214.87"/>
    <n v="0"/>
  </r>
  <r>
    <s v="ORD-000767"/>
    <s v="C-0332"/>
    <d v="2025-01-25T00:00:00"/>
    <s v="Website"/>
    <s v="Credit Card"/>
    <s v="West Coast"/>
    <n v="2"/>
    <x v="3"/>
    <n v="110.5"/>
    <n v="0"/>
    <n v="0"/>
    <n v="17.16"/>
    <n v="57.11"/>
    <n v="0"/>
    <n v="3.5"/>
    <s v="No"/>
    <n v="0"/>
    <n v="110.5"/>
    <n v="77.77"/>
    <n v="32.729999999999997"/>
    <n v="0"/>
  </r>
  <r>
    <s v="ORD-000768"/>
    <s v="C-0436"/>
    <d v="2025-01-17T00:00:00"/>
    <s v="Mobile App"/>
    <s v="Credit Card"/>
    <s v="Southeast"/>
    <n v="2"/>
    <x v="0"/>
    <n v="209.58"/>
    <n v="0"/>
    <n v="0"/>
    <n v="54"/>
    <n v="74.05"/>
    <n v="0"/>
    <n v="6.38"/>
    <s v="No"/>
    <n v="0"/>
    <n v="209.58"/>
    <n v="134.43"/>
    <n v="75.150000000000006"/>
    <n v="0"/>
  </r>
  <r>
    <s v="ORD-000769"/>
    <s v="C-0451"/>
    <d v="2025-08-20T00:00:00"/>
    <s v="Marketplace"/>
    <s v="Credit Card"/>
    <s v="Southwest"/>
    <n v="2"/>
    <x v="2"/>
    <n v="73.569999999999993"/>
    <n v="0"/>
    <n v="0"/>
    <n v="22.76"/>
    <n v="40.340000000000003"/>
    <n v="11.04"/>
    <n v="2.4300000000000002"/>
    <s v="No"/>
    <n v="0"/>
    <n v="73.569999999999993"/>
    <n v="76.569999999999993"/>
    <n v="-3"/>
    <n v="0"/>
  </r>
  <r>
    <s v="ORD-000770"/>
    <s v="C-0223"/>
    <d v="2025-05-23T00:00:00"/>
    <s v="Marketplace"/>
    <s v="Credit Card"/>
    <s v="West Coast"/>
    <n v="1"/>
    <x v="2"/>
    <n v="117.94"/>
    <n v="20"/>
    <n v="23.59"/>
    <n v="12.44"/>
    <n v="47.02"/>
    <n v="14.15"/>
    <n v="3.04"/>
    <s v="No"/>
    <n v="0"/>
    <n v="94.35"/>
    <n v="76.650000000000006"/>
    <n v="17.7"/>
    <n v="0"/>
  </r>
  <r>
    <s v="ORD-000771"/>
    <s v="C-0208"/>
    <d v="2024-09-08T00:00:00"/>
    <s v="Website"/>
    <s v="Debit Card"/>
    <s v="Northeast"/>
    <n v="4"/>
    <x v="1"/>
    <n v="290.26"/>
    <n v="0"/>
    <n v="0"/>
    <n v="65.540000000000006"/>
    <n v="133.02000000000001"/>
    <n v="0"/>
    <n v="8.7200000000000006"/>
    <s v="No"/>
    <n v="0"/>
    <n v="290.26"/>
    <n v="207.28"/>
    <n v="82.98"/>
    <n v="0"/>
  </r>
  <r>
    <s v="ORD-000772"/>
    <s v="C-0243"/>
    <d v="2024-08-29T00:00:00"/>
    <s v="Marketplace"/>
    <s v="Credit Card"/>
    <s v="West Coast"/>
    <n v="3"/>
    <x v="2"/>
    <n v="160.21"/>
    <n v="15"/>
    <n v="24.03"/>
    <n v="28.58"/>
    <n v="59.77"/>
    <n v="20.43"/>
    <n v="4.25"/>
    <s v="No"/>
    <n v="0"/>
    <n v="136.18"/>
    <n v="113.03"/>
    <n v="23.15"/>
    <n v="0"/>
  </r>
  <r>
    <s v="ORD-000773"/>
    <s v="C-0328"/>
    <d v="2024-12-13T00:00:00"/>
    <s v="Website"/>
    <s v="PayPal"/>
    <s v="Midwest"/>
    <n v="2"/>
    <x v="1"/>
    <n v="318.08999999999997"/>
    <n v="25"/>
    <n v="79.52"/>
    <n v="36.159999999999997"/>
    <n v="135.79"/>
    <n v="0"/>
    <n v="7.22"/>
    <s v="No"/>
    <n v="0"/>
    <n v="238.57"/>
    <n v="179.17"/>
    <n v="59.4"/>
    <n v="0"/>
  </r>
  <r>
    <s v="ORD-000774"/>
    <s v="C-0227"/>
    <d v="2024-05-02T00:00:00"/>
    <s v="Website"/>
    <s v="Buy Now Pay Later"/>
    <s v="West Coast"/>
    <n v="1"/>
    <x v="7"/>
    <n v="57.08"/>
    <n v="15"/>
    <n v="8.56"/>
    <n v="11.26"/>
    <n v="26.65"/>
    <n v="0"/>
    <n v="1.71"/>
    <s v="No"/>
    <n v="0"/>
    <n v="48.52"/>
    <n v="39.619999999999997"/>
    <n v="8.9"/>
    <n v="0"/>
  </r>
  <r>
    <s v="ORD-000775"/>
    <s v="C-0443"/>
    <d v="2025-04-14T00:00:00"/>
    <s v="Website"/>
    <s v="Gift Card"/>
    <s v="Southwest"/>
    <n v="5"/>
    <x v="3"/>
    <n v="365.74"/>
    <n v="0"/>
    <n v="0"/>
    <n v="78.900000000000006"/>
    <n v="160.12"/>
    <n v="0"/>
    <n v="10.91"/>
    <s v="No"/>
    <n v="0"/>
    <n v="365.74"/>
    <n v="249.93"/>
    <n v="115.81"/>
    <n v="0"/>
  </r>
  <r>
    <s v="ORD-000776"/>
    <s v="C-0042"/>
    <d v="2025-05-24T00:00:00"/>
    <s v="Social Commerce"/>
    <s v="PayPal"/>
    <s v="Southeast"/>
    <n v="1"/>
    <x v="7"/>
    <n v="31.38"/>
    <n v="20"/>
    <n v="6.28"/>
    <n v="18.68"/>
    <n v="9.34"/>
    <n v="2.0099999999999998"/>
    <n v="1.03"/>
    <s v="No"/>
    <n v="0"/>
    <n v="25.1"/>
    <n v="31.06"/>
    <n v="-5.96"/>
    <n v="0"/>
  </r>
  <r>
    <s v="ORD-000777"/>
    <s v="C-0642"/>
    <d v="2025-01-07T00:00:00"/>
    <s v="Website"/>
    <s v="Credit Card"/>
    <s v="West Coast"/>
    <n v="5"/>
    <x v="4"/>
    <n v="357.46"/>
    <n v="15"/>
    <n v="53.62"/>
    <n v="98.54"/>
    <n v="223.94"/>
    <n v="0"/>
    <n v="9.11"/>
    <s v="No"/>
    <n v="0"/>
    <n v="303.83999999999997"/>
    <n v="331.59"/>
    <n v="-27.75"/>
    <n v="0"/>
  </r>
  <r>
    <s v="ORD-000778"/>
    <s v="C-0262"/>
    <d v="2024-11-14T00:00:00"/>
    <s v="Website"/>
    <s v="Buy Now Pay Later"/>
    <s v="Southeast"/>
    <n v="1"/>
    <x v="6"/>
    <n v="20"/>
    <n v="20"/>
    <n v="4"/>
    <n v="12.28"/>
    <n v="6.7"/>
    <n v="0"/>
    <n v="0.76"/>
    <s v="Yes"/>
    <n v="16"/>
    <n v="0"/>
    <n v="19.739999999999998"/>
    <n v="-19.739999999999998"/>
    <n v="0"/>
  </r>
  <r>
    <s v="ORD-000779"/>
    <s v="C-0672"/>
    <d v="2025-04-25T00:00:00"/>
    <s v="Website"/>
    <s v="Credit Card"/>
    <s v="West Coast"/>
    <n v="1"/>
    <x v="3"/>
    <n v="125.88"/>
    <n v="15"/>
    <n v="18.88"/>
    <n v="13.24"/>
    <n v="52.96"/>
    <n v="0"/>
    <n v="3.4"/>
    <s v="Yes"/>
    <n v="107"/>
    <n v="0"/>
    <n v="69.599999999999994"/>
    <n v="-69.599999999999994"/>
    <n v="0"/>
  </r>
  <r>
    <s v="ORD-000780"/>
    <s v="C-0765"/>
    <d v="2025-06-03T00:00:00"/>
    <s v="Mobile App"/>
    <s v="Gift Card"/>
    <s v="West Coast"/>
    <n v="4"/>
    <x v="1"/>
    <n v="166.17"/>
    <n v="0"/>
    <n v="0"/>
    <n v="34.64"/>
    <n v="69.459999999999994"/>
    <n v="0"/>
    <n v="5.12"/>
    <s v="No"/>
    <n v="0"/>
    <n v="166.17"/>
    <n v="109.22"/>
    <n v="56.95"/>
    <n v="1"/>
  </r>
  <r>
    <s v="ORD-000781"/>
    <s v="C-0251"/>
    <d v="2025-03-07T00:00:00"/>
    <s v="Marketplace"/>
    <s v="Debit Card"/>
    <s v="West Coast"/>
    <n v="3"/>
    <x v="1"/>
    <n v="295.87"/>
    <n v="25"/>
    <n v="73.97"/>
    <n v="47.42"/>
    <n v="117.84"/>
    <n v="33.28"/>
    <n v="6.74"/>
    <s v="No"/>
    <n v="0"/>
    <n v="221.9"/>
    <n v="205.28"/>
    <n v="16.62"/>
    <n v="1"/>
  </r>
  <r>
    <s v="ORD-000782"/>
    <s v="C-0193"/>
    <d v="2025-03-25T00:00:00"/>
    <s v="Website"/>
    <s v="PayPal"/>
    <s v="Southwest"/>
    <n v="2"/>
    <x v="2"/>
    <n v="331.21"/>
    <n v="20"/>
    <n v="66.239999999999995"/>
    <n v="16.02"/>
    <n v="100.43"/>
    <n v="0"/>
    <n v="7.98"/>
    <s v="No"/>
    <n v="0"/>
    <n v="264.97000000000003"/>
    <n v="124.43"/>
    <n v="140.54"/>
    <n v="0"/>
  </r>
  <r>
    <s v="ORD-000783"/>
    <s v="C-0186"/>
    <d v="2025-01-14T00:00:00"/>
    <s v="Mobile App"/>
    <s v="Credit Card"/>
    <s v="Southeast"/>
    <n v="4"/>
    <x v="0"/>
    <n v="275.06"/>
    <n v="10"/>
    <n v="27.51"/>
    <n v="56.52"/>
    <n v="101.38"/>
    <n v="0"/>
    <n v="7.48"/>
    <s v="No"/>
    <n v="0"/>
    <n v="247.55"/>
    <n v="165.38"/>
    <n v="82.17"/>
    <n v="0"/>
  </r>
  <r>
    <s v="ORD-000784"/>
    <s v="C-0161"/>
    <d v="2024-08-11T00:00:00"/>
    <s v="Website"/>
    <s v="Debit Card"/>
    <s v="Southeast"/>
    <n v="2"/>
    <x v="5"/>
    <n v="48.37"/>
    <n v="15"/>
    <n v="7.26"/>
    <n v="25.88"/>
    <n v="30.68"/>
    <n v="0"/>
    <n v="1.49"/>
    <s v="No"/>
    <n v="0"/>
    <n v="41.11"/>
    <n v="58.05"/>
    <n v="-16.940000000000001"/>
    <n v="0"/>
  </r>
  <r>
    <s v="ORD-000785"/>
    <s v="C-0268"/>
    <d v="2024-08-02T00:00:00"/>
    <s v="Marketplace"/>
    <s v="Debit Card"/>
    <s v="Midwest"/>
    <n v="1"/>
    <x v="1"/>
    <n v="77.53"/>
    <n v="10"/>
    <n v="7.75"/>
    <n v="4.78"/>
    <n v="24.83"/>
    <n v="10.47"/>
    <n v="2.3199999999999998"/>
    <s v="No"/>
    <n v="0"/>
    <n v="69.78"/>
    <n v="42.4"/>
    <n v="27.38"/>
    <n v="0"/>
  </r>
  <r>
    <s v="ORD-000786"/>
    <s v="C-0143"/>
    <d v="2025-09-01T00:00:00"/>
    <s v="Website"/>
    <s v="Buy Now Pay Later"/>
    <s v="Southwest"/>
    <n v="2"/>
    <x v="7"/>
    <n v="122.59"/>
    <n v="0"/>
    <n v="0"/>
    <n v="25.64"/>
    <n v="41.77"/>
    <n v="0"/>
    <n v="3.86"/>
    <s v="No"/>
    <n v="0"/>
    <n v="122.59"/>
    <n v="71.27"/>
    <n v="51.32"/>
    <n v="0"/>
  </r>
  <r>
    <s v="ORD-000787"/>
    <s v="C-0584"/>
    <d v="2025-03-04T00:00:00"/>
    <s v="Mobile App"/>
    <s v="Debit Card"/>
    <s v="West Coast"/>
    <n v="1"/>
    <x v="7"/>
    <n v="104.73"/>
    <n v="10"/>
    <n v="10.47"/>
    <n v="14.94"/>
    <n v="34.15"/>
    <n v="0"/>
    <n v="3.03"/>
    <s v="No"/>
    <n v="0"/>
    <n v="94.26"/>
    <n v="52.12"/>
    <n v="42.14"/>
    <n v="0"/>
  </r>
  <r>
    <s v="ORD-000788"/>
    <s v="C-0572"/>
    <d v="2024-05-22T00:00:00"/>
    <s v="Mobile App"/>
    <s v="Credit Card"/>
    <s v="Southwest"/>
    <n v="2"/>
    <x v="1"/>
    <n v="110.98"/>
    <n v="5"/>
    <n v="5.55"/>
    <n v="32.26"/>
    <n v="39.99"/>
    <n v="0"/>
    <n v="3.36"/>
    <s v="No"/>
    <n v="0"/>
    <n v="105.43"/>
    <n v="75.61"/>
    <n v="29.82"/>
    <n v="0"/>
  </r>
  <r>
    <s v="ORD-000789"/>
    <s v="C-0533"/>
    <d v="2025-06-25T00:00:00"/>
    <s v="Marketplace"/>
    <s v="Credit Card"/>
    <s v="Midwest"/>
    <n v="1"/>
    <x v="6"/>
    <n v="11.04"/>
    <n v="10"/>
    <n v="1.1000000000000001"/>
    <n v="15.64"/>
    <n v="6.76"/>
    <n v="1.49"/>
    <n v="0.59"/>
    <s v="No"/>
    <n v="0"/>
    <n v="9.94"/>
    <n v="24.48"/>
    <n v="-14.54"/>
    <n v="0"/>
  </r>
  <r>
    <s v="ORD-000790"/>
    <s v="C-0108"/>
    <d v="2024-10-15T00:00:00"/>
    <s v="Website"/>
    <s v="Debit Card"/>
    <s v="Southeast"/>
    <n v="1"/>
    <x v="1"/>
    <n v="65.790000000000006"/>
    <n v="25"/>
    <n v="16.45"/>
    <n v="42.18"/>
    <n v="46.08"/>
    <n v="0"/>
    <n v="1.73"/>
    <s v="No"/>
    <n v="0"/>
    <n v="49.34"/>
    <n v="89.99"/>
    <n v="-40.65"/>
    <n v="0"/>
  </r>
  <r>
    <s v="ORD-000791"/>
    <s v="C-0569"/>
    <d v="2024-12-31T00:00:00"/>
    <s v="Website"/>
    <s v="PayPal"/>
    <s v="Northeast"/>
    <n v="2"/>
    <x v="5"/>
    <n v="270.07"/>
    <n v="15"/>
    <n v="40.51"/>
    <n v="18.579999999999998"/>
    <n v="102.47"/>
    <n v="0"/>
    <n v="6.96"/>
    <s v="No"/>
    <n v="0"/>
    <n v="229.56"/>
    <n v="128.01"/>
    <n v="101.55"/>
    <n v="0"/>
  </r>
  <r>
    <s v="ORD-000792"/>
    <s v="C-0605"/>
    <d v="2024-09-06T00:00:00"/>
    <s v="Mobile App"/>
    <s v="PayPal"/>
    <s v="Midwest"/>
    <n v="3"/>
    <x v="2"/>
    <n v="286.08999999999997"/>
    <n v="0"/>
    <n v="0"/>
    <n v="55.42"/>
    <n v="151.88999999999999"/>
    <n v="0"/>
    <n v="8.6"/>
    <s v="No"/>
    <n v="0"/>
    <n v="286.08999999999997"/>
    <n v="215.91"/>
    <n v="70.180000000000007"/>
    <n v="0"/>
  </r>
  <r>
    <s v="ORD-000793"/>
    <s v="C-0642"/>
    <d v="2024-11-07T00:00:00"/>
    <s v="Mobile App"/>
    <s v="Buy Now Pay Later"/>
    <s v="Southeast"/>
    <n v="2"/>
    <x v="7"/>
    <n v="182.93"/>
    <n v="10"/>
    <n v="18.29"/>
    <n v="34.479999999999997"/>
    <n v="68.38"/>
    <n v="0"/>
    <n v="5.07"/>
    <s v="No"/>
    <n v="0"/>
    <n v="164.64"/>
    <n v="107.93"/>
    <n v="56.71"/>
    <n v="0"/>
  </r>
  <r>
    <s v="ORD-000794"/>
    <s v="C-0506"/>
    <d v="2025-05-10T00:00:00"/>
    <s v="Social Commerce"/>
    <s v="Gift Card"/>
    <s v="Southeast"/>
    <n v="2"/>
    <x v="2"/>
    <n v="90.63"/>
    <n v="10"/>
    <n v="9.06"/>
    <n v="25"/>
    <n v="37.07"/>
    <n v="6.53"/>
    <n v="2.67"/>
    <s v="No"/>
    <n v="0"/>
    <n v="81.569999999999993"/>
    <n v="71.27"/>
    <n v="10.3"/>
    <n v="0"/>
  </r>
  <r>
    <s v="ORD-000795"/>
    <s v="C-0202"/>
    <d v="2024-08-27T00:00:00"/>
    <s v="Website"/>
    <s v="Credit Card"/>
    <s v="West Coast"/>
    <n v="1"/>
    <x v="4"/>
    <n v="112"/>
    <n v="0"/>
    <n v="0"/>
    <n v="25.72"/>
    <n v="39.64"/>
    <n v="0"/>
    <n v="3.55"/>
    <s v="No"/>
    <n v="0"/>
    <n v="112"/>
    <n v="68.91"/>
    <n v="43.09"/>
    <n v="0"/>
  </r>
  <r>
    <s v="ORD-000796"/>
    <s v="C-0428"/>
    <d v="2025-07-22T00:00:00"/>
    <s v="Mobile App"/>
    <s v="Credit Card"/>
    <s v="West Coast"/>
    <n v="1"/>
    <x v="4"/>
    <n v="6.07"/>
    <n v="10"/>
    <n v="0.61"/>
    <n v="12.94"/>
    <n v="4.1399999999999997"/>
    <n v="0"/>
    <n v="0.46"/>
    <s v="No"/>
    <n v="0"/>
    <n v="5.46"/>
    <n v="17.54"/>
    <n v="-12.08"/>
    <n v="0"/>
  </r>
  <r>
    <s v="ORD-000797"/>
    <s v="C-0492"/>
    <d v="2024-11-21T00:00:00"/>
    <s v="Marketplace"/>
    <s v="Credit Card"/>
    <s v="Northeast"/>
    <n v="5"/>
    <x v="0"/>
    <n v="273.64999999999998"/>
    <n v="20"/>
    <n v="54.73"/>
    <n v="42.46"/>
    <n v="92.93"/>
    <n v="32.840000000000003"/>
    <n v="6.65"/>
    <s v="No"/>
    <n v="0"/>
    <n v="218.92"/>
    <n v="174.88"/>
    <n v="44.04"/>
    <n v="0"/>
  </r>
  <r>
    <s v="ORD-000798"/>
    <s v="C-0117"/>
    <d v="2025-06-22T00:00:00"/>
    <s v="Marketplace"/>
    <s v="PayPal"/>
    <s v="Northeast"/>
    <n v="1"/>
    <x v="7"/>
    <n v="149.66"/>
    <n v="20"/>
    <n v="29.93"/>
    <n v="9.56"/>
    <n v="52.3"/>
    <n v="17.96"/>
    <n v="3.77"/>
    <s v="No"/>
    <n v="0"/>
    <n v="119.73"/>
    <n v="83.59"/>
    <n v="36.14"/>
    <n v="0"/>
  </r>
  <r>
    <s v="ORD-000799"/>
    <s v="C-0068"/>
    <d v="2025-05-26T00:00:00"/>
    <s v="Marketplace"/>
    <s v="Buy Now Pay Later"/>
    <s v="West Coast"/>
    <n v="1"/>
    <x v="2"/>
    <n v="45.16"/>
    <n v="0"/>
    <n v="0"/>
    <n v="9.9"/>
    <n v="21.86"/>
    <n v="6.77"/>
    <n v="1.61"/>
    <s v="No"/>
    <n v="0"/>
    <n v="45.16"/>
    <n v="40.14"/>
    <n v="5.0199999999999996"/>
    <n v="0"/>
  </r>
  <r>
    <s v="ORD-000800"/>
    <s v="C-0591"/>
    <d v="2024-11-22T00:00:00"/>
    <s v="Website"/>
    <s v="Buy Now Pay Later"/>
    <s v="Midwest"/>
    <n v="3"/>
    <x v="4"/>
    <n v="175.83"/>
    <n v="15"/>
    <n v="26.37"/>
    <n v="44.96"/>
    <n v="63.23"/>
    <n v="0"/>
    <n v="4.63"/>
    <s v="No"/>
    <n v="0"/>
    <n v="149.46"/>
    <n v="112.82"/>
    <n v="36.64"/>
    <n v="0"/>
  </r>
  <r>
    <s v="ORD-000801"/>
    <s v="C-0787"/>
    <d v="2025-04-10T00:00:00"/>
    <s v="Mobile App"/>
    <s v="Credit Card"/>
    <s v="Southwest"/>
    <n v="1"/>
    <x v="6"/>
    <n v="8.92"/>
    <n v="0"/>
    <n v="0"/>
    <n v="10.220000000000001"/>
    <n v="5.33"/>
    <n v="0"/>
    <n v="0.56000000000000005"/>
    <s v="No"/>
    <n v="0"/>
    <n v="8.92"/>
    <n v="16.11"/>
    <n v="-7.19"/>
    <n v="0"/>
  </r>
  <r>
    <s v="ORD-000802"/>
    <s v="C-0741"/>
    <d v="2024-07-08T00:00:00"/>
    <s v="Mobile App"/>
    <s v="Credit Card"/>
    <s v="West Coast"/>
    <n v="2"/>
    <x v="2"/>
    <n v="106.71"/>
    <n v="15"/>
    <n v="16.010000000000002"/>
    <n v="36.74"/>
    <n v="43"/>
    <n v="0"/>
    <n v="2.93"/>
    <s v="No"/>
    <n v="0"/>
    <n v="90.7"/>
    <n v="82.67"/>
    <n v="8.0299999999999994"/>
    <n v="0"/>
  </r>
  <r>
    <s v="ORD-000803"/>
    <s v="C-0232"/>
    <d v="2025-03-10T00:00:00"/>
    <s v="Website"/>
    <s v="Credit Card"/>
    <s v="Northeast"/>
    <n v="1"/>
    <x v="4"/>
    <n v="100.26"/>
    <n v="5"/>
    <n v="5.01"/>
    <n v="8.44"/>
    <n v="63.28"/>
    <n v="0"/>
    <n v="3.06"/>
    <s v="No"/>
    <n v="0"/>
    <n v="95.25"/>
    <n v="74.78"/>
    <n v="20.47"/>
    <n v="0"/>
  </r>
  <r>
    <s v="ORD-000804"/>
    <s v="C-0129"/>
    <d v="2024-12-02T00:00:00"/>
    <s v="Mobile App"/>
    <s v="Buy Now Pay Later"/>
    <s v="Southwest"/>
    <n v="1"/>
    <x v="4"/>
    <n v="63.51"/>
    <n v="0"/>
    <n v="0"/>
    <n v="7.9"/>
    <n v="31.27"/>
    <n v="0"/>
    <n v="2.14"/>
    <s v="No"/>
    <n v="0"/>
    <n v="63.51"/>
    <n v="41.31"/>
    <n v="22.2"/>
    <n v="0"/>
  </r>
  <r>
    <s v="ORD-000805"/>
    <s v="C-0426"/>
    <d v="2025-04-14T00:00:00"/>
    <s v="Website"/>
    <s v="Credit Card"/>
    <s v="Southeast"/>
    <n v="1"/>
    <x v="3"/>
    <n v="27.71"/>
    <n v="0"/>
    <n v="0"/>
    <n v="12.94"/>
    <n v="11.44"/>
    <n v="0"/>
    <n v="1.1000000000000001"/>
    <s v="No"/>
    <n v="0"/>
    <n v="27.71"/>
    <n v="25.48"/>
    <n v="2.23"/>
    <n v="0"/>
  </r>
  <r>
    <s v="ORD-000806"/>
    <s v="C-0004"/>
    <d v="2025-07-21T00:00:00"/>
    <s v="Mobile App"/>
    <s v="Credit Card"/>
    <s v="Southwest"/>
    <n v="1"/>
    <x v="3"/>
    <n v="47.22"/>
    <n v="0"/>
    <n v="0"/>
    <n v="5.9"/>
    <n v="20.9"/>
    <n v="0"/>
    <n v="1.67"/>
    <s v="No"/>
    <n v="0"/>
    <n v="47.22"/>
    <n v="28.47"/>
    <n v="18.75"/>
    <n v="0"/>
  </r>
  <r>
    <s v="ORD-000807"/>
    <s v="C-0568"/>
    <d v="2025-09-23T00:00:00"/>
    <s v="Mobile App"/>
    <s v="PayPal"/>
    <s v="Southwest"/>
    <n v="3"/>
    <x v="2"/>
    <n v="614.1"/>
    <n v="0"/>
    <n v="0"/>
    <n v="56.84"/>
    <n v="190.85"/>
    <n v="0"/>
    <n v="18.11"/>
    <s v="No"/>
    <n v="0"/>
    <n v="614.1"/>
    <n v="265.8"/>
    <n v="348.3"/>
    <n v="0"/>
  </r>
  <r>
    <s v="ORD-000808"/>
    <s v="C-0683"/>
    <d v="2024-08-07T00:00:00"/>
    <s v="Mobile App"/>
    <s v="PayPal"/>
    <s v="Southeast"/>
    <n v="2"/>
    <x v="7"/>
    <n v="121.44"/>
    <n v="5"/>
    <n v="6.07"/>
    <n v="34.020000000000003"/>
    <n v="47.3"/>
    <n v="0"/>
    <n v="3.65"/>
    <s v="No"/>
    <n v="0"/>
    <n v="115.37"/>
    <n v="84.97"/>
    <n v="30.4"/>
    <n v="0"/>
  </r>
  <r>
    <s v="ORD-000809"/>
    <s v="C-0391"/>
    <d v="2025-08-15T00:00:00"/>
    <s v="Website"/>
    <s v="PayPal"/>
    <s v="West Coast"/>
    <n v="1"/>
    <x v="3"/>
    <n v="19.260000000000002"/>
    <n v="0"/>
    <n v="0"/>
    <n v="5.26"/>
    <n v="7.33"/>
    <n v="0"/>
    <n v="0.86"/>
    <s v="No"/>
    <n v="0"/>
    <n v="19.260000000000002"/>
    <n v="13.45"/>
    <n v="5.81"/>
    <n v="0"/>
  </r>
  <r>
    <s v="ORD-000810"/>
    <s v="C-0700"/>
    <d v="2024-05-24T00:00:00"/>
    <s v="Website"/>
    <s v="Credit Card"/>
    <s v="West Coast"/>
    <n v="2"/>
    <x v="2"/>
    <n v="131.97999999999999"/>
    <n v="5"/>
    <n v="6.6"/>
    <n v="22.44"/>
    <n v="49.09"/>
    <n v="0"/>
    <n v="3.94"/>
    <s v="No"/>
    <n v="0"/>
    <n v="125.38"/>
    <n v="75.47"/>
    <n v="49.91"/>
    <n v="0"/>
  </r>
  <r>
    <s v="ORD-000811"/>
    <s v="C-0644"/>
    <d v="2025-10-19T00:00:00"/>
    <s v="Website"/>
    <s v="Buy Now Pay Later"/>
    <s v="West Coast"/>
    <n v="1"/>
    <x v="2"/>
    <n v="11.84"/>
    <n v="10"/>
    <n v="1.18"/>
    <n v="11.5"/>
    <n v="5.71"/>
    <n v="0"/>
    <n v="0.61"/>
    <s v="No"/>
    <n v="0"/>
    <n v="10.66"/>
    <n v="17.82"/>
    <n v="-7.16"/>
    <n v="0"/>
  </r>
  <r>
    <s v="ORD-000812"/>
    <s v="C-0133"/>
    <d v="2025-01-24T00:00:00"/>
    <s v="Social Commerce"/>
    <s v="Credit Card"/>
    <s v="Northeast"/>
    <n v="1"/>
    <x v="3"/>
    <n v="103.35"/>
    <n v="10"/>
    <n v="10.34"/>
    <n v="5.0199999999999996"/>
    <n v="30.95"/>
    <n v="7.44"/>
    <n v="3"/>
    <s v="No"/>
    <n v="0"/>
    <n v="93.01"/>
    <n v="46.41"/>
    <n v="46.6"/>
    <n v="0"/>
  </r>
  <r>
    <s v="ORD-000813"/>
    <s v="C-0126"/>
    <d v="2025-01-09T00:00:00"/>
    <s v="Marketplace"/>
    <s v="Credit Card"/>
    <s v="Southeast"/>
    <n v="1"/>
    <x v="5"/>
    <n v="50.95"/>
    <n v="15"/>
    <n v="7.64"/>
    <n v="14.38"/>
    <n v="18.739999999999998"/>
    <n v="6.5"/>
    <n v="1.56"/>
    <s v="No"/>
    <n v="0"/>
    <n v="43.31"/>
    <n v="41.18"/>
    <n v="2.13"/>
    <n v="0"/>
  </r>
  <r>
    <s v="ORD-000814"/>
    <s v="C-0439"/>
    <d v="2025-03-19T00:00:00"/>
    <s v="Website"/>
    <s v="Debit Card"/>
    <s v="West Coast"/>
    <n v="1"/>
    <x v="3"/>
    <n v="45.69"/>
    <n v="15"/>
    <n v="6.85"/>
    <n v="11.58"/>
    <n v="28.21"/>
    <n v="0"/>
    <n v="1.43"/>
    <s v="No"/>
    <n v="0"/>
    <n v="38.840000000000003"/>
    <n v="41.22"/>
    <n v="-2.38"/>
    <n v="0"/>
  </r>
  <r>
    <s v="ORD-000815"/>
    <s v="C-0263"/>
    <d v="2025-07-10T00:00:00"/>
    <s v="Website"/>
    <s v="Credit Card"/>
    <s v="Southwest"/>
    <n v="2"/>
    <x v="6"/>
    <n v="47.49"/>
    <n v="0"/>
    <n v="0"/>
    <n v="15"/>
    <n v="16.68"/>
    <n v="0"/>
    <n v="1.68"/>
    <s v="No"/>
    <n v="0"/>
    <n v="47.49"/>
    <n v="33.36"/>
    <n v="14.13"/>
    <n v="0"/>
  </r>
  <r>
    <s v="ORD-000816"/>
    <s v="C-0665"/>
    <d v="2025-02-04T00:00:00"/>
    <s v="Mobile App"/>
    <s v="Gift Card"/>
    <s v="Midwest"/>
    <n v="1"/>
    <x v="6"/>
    <n v="35.979999999999997"/>
    <n v="10"/>
    <n v="3.6"/>
    <n v="23.48"/>
    <n v="15.76"/>
    <n v="0"/>
    <n v="1.24"/>
    <s v="No"/>
    <n v="0"/>
    <n v="32.380000000000003"/>
    <n v="40.479999999999997"/>
    <n v="-8.1"/>
    <n v="0"/>
  </r>
  <r>
    <s v="ORD-000817"/>
    <s v="C-0658"/>
    <d v="2025-02-22T00:00:00"/>
    <s v="Mobile App"/>
    <s v="Credit Card"/>
    <s v="West Coast"/>
    <n v="1"/>
    <x v="0"/>
    <n v="135.82"/>
    <n v="15"/>
    <n v="20.37"/>
    <n v="5.82"/>
    <n v="43.05"/>
    <n v="0"/>
    <n v="3.65"/>
    <s v="No"/>
    <n v="0"/>
    <n v="115.45"/>
    <n v="52.52"/>
    <n v="62.93"/>
    <n v="0"/>
  </r>
  <r>
    <s v="ORD-000818"/>
    <s v="C-0202"/>
    <d v="2025-06-12T00:00:00"/>
    <s v="Social Commerce"/>
    <s v="Credit Card"/>
    <s v="West Coast"/>
    <n v="2"/>
    <x v="5"/>
    <n v="78"/>
    <n v="0"/>
    <n v="0"/>
    <n v="22.52"/>
    <n v="32.19"/>
    <n v="6.24"/>
    <n v="2.56"/>
    <s v="No"/>
    <n v="0"/>
    <n v="78"/>
    <n v="63.51"/>
    <n v="14.49"/>
    <n v="0"/>
  </r>
  <r>
    <s v="ORD-000819"/>
    <s v="C-0066"/>
    <d v="2025-07-23T00:00:00"/>
    <s v="Marketplace"/>
    <s v="Credit Card"/>
    <s v="Northeast"/>
    <n v="1"/>
    <x v="2"/>
    <n v="73.680000000000007"/>
    <n v="0"/>
    <n v="0"/>
    <n v="8.86"/>
    <n v="22.41"/>
    <n v="11.05"/>
    <n v="2.44"/>
    <s v="Yes"/>
    <n v="73.680000000000007"/>
    <n v="0"/>
    <n v="44.76"/>
    <n v="-44.76"/>
    <n v="0"/>
  </r>
  <r>
    <s v="ORD-000820"/>
    <s v="C-0714"/>
    <d v="2025-10-24T00:00:00"/>
    <s v="Website"/>
    <s v="Credit Card"/>
    <s v="West Coast"/>
    <n v="1"/>
    <x v="1"/>
    <n v="20.45"/>
    <n v="0"/>
    <n v="0"/>
    <n v="10.220000000000001"/>
    <n v="7.45"/>
    <n v="0"/>
    <n v="0.89"/>
    <s v="No"/>
    <n v="0"/>
    <n v="20.45"/>
    <n v="18.559999999999999"/>
    <n v="1.89"/>
    <n v="0"/>
  </r>
  <r>
    <s v="ORD-000821"/>
    <s v="C-0653"/>
    <d v="2024-07-28T00:00:00"/>
    <s v="Website"/>
    <s v="Credit Card"/>
    <s v="West Coast"/>
    <n v="1"/>
    <x v="2"/>
    <n v="10.050000000000001"/>
    <n v="20"/>
    <n v="2.0099999999999998"/>
    <n v="9.18"/>
    <n v="6.91"/>
    <n v="0"/>
    <n v="0.53"/>
    <s v="No"/>
    <n v="0"/>
    <n v="8.0399999999999991"/>
    <n v="16.62"/>
    <n v="-8.58"/>
    <n v="1"/>
  </r>
  <r>
    <s v="ORD-000822"/>
    <s v="C-0004"/>
    <d v="2025-02-19T00:00:00"/>
    <s v="Website"/>
    <s v="Buy Now Pay Later"/>
    <s v="Northeast"/>
    <n v="2"/>
    <x v="0"/>
    <n v="276.41000000000003"/>
    <n v="0"/>
    <n v="0"/>
    <n v="28.58"/>
    <n v="123.11"/>
    <n v="0"/>
    <n v="8.32"/>
    <s v="No"/>
    <n v="0"/>
    <n v="276.41000000000003"/>
    <n v="160.01"/>
    <n v="116.4"/>
    <n v="0"/>
  </r>
  <r>
    <s v="ORD-000823"/>
    <s v="C-0080"/>
    <d v="2025-11-29T00:00:00"/>
    <s v="Website"/>
    <s v="Credit Card"/>
    <s v="Southeast"/>
    <n v="4"/>
    <x v="6"/>
    <n v="266.52999999999997"/>
    <n v="10"/>
    <n v="26.65"/>
    <n v="40"/>
    <n v="99.48"/>
    <n v="0"/>
    <n v="7.26"/>
    <s v="Yes"/>
    <n v="239.88"/>
    <n v="0"/>
    <n v="146.74"/>
    <n v="-146.74"/>
    <n v="0"/>
  </r>
  <r>
    <s v="ORD-000824"/>
    <s v="C-0682"/>
    <d v="2025-01-29T00:00:00"/>
    <s v="Website"/>
    <s v="Debit Card"/>
    <s v="Southwest"/>
    <n v="1"/>
    <x v="4"/>
    <n v="13.66"/>
    <n v="5"/>
    <n v="0.68"/>
    <n v="10.62"/>
    <n v="4.6900000000000004"/>
    <n v="0"/>
    <n v="0.68"/>
    <s v="No"/>
    <n v="0"/>
    <n v="12.98"/>
    <n v="15.99"/>
    <n v="-3.01"/>
    <n v="0"/>
  </r>
  <r>
    <s v="ORD-000825"/>
    <s v="C-0767"/>
    <d v="2025-11-03T00:00:00"/>
    <s v="Mobile App"/>
    <s v="Debit Card"/>
    <s v="Northeast"/>
    <n v="4"/>
    <x v="2"/>
    <n v="244.09"/>
    <n v="15"/>
    <n v="36.61"/>
    <n v="29.18"/>
    <n v="120"/>
    <n v="0"/>
    <n v="6.32"/>
    <s v="No"/>
    <n v="0"/>
    <n v="207.48"/>
    <n v="155.5"/>
    <n v="51.98"/>
    <n v="1"/>
  </r>
  <r>
    <s v="ORD-000826"/>
    <s v="C-0462"/>
    <d v="2024-09-28T00:00:00"/>
    <s v="Website"/>
    <s v="Credit Card"/>
    <s v="Midwest"/>
    <n v="2"/>
    <x v="7"/>
    <n v="41.94"/>
    <n v="10"/>
    <n v="4.1900000000000004"/>
    <n v="16.52"/>
    <n v="15.45"/>
    <n v="0"/>
    <n v="1.39"/>
    <s v="No"/>
    <n v="0"/>
    <n v="37.75"/>
    <n v="33.36"/>
    <n v="4.3899999999999997"/>
    <n v="0"/>
  </r>
  <r>
    <s v="ORD-000827"/>
    <s v="C-0771"/>
    <d v="2025-04-28T00:00:00"/>
    <s v="Marketplace"/>
    <s v="Gift Card"/>
    <s v="Northeast"/>
    <n v="1"/>
    <x v="4"/>
    <n v="127.88"/>
    <n v="0"/>
    <n v="0"/>
    <n v="16.920000000000002"/>
    <n v="41.02"/>
    <n v="19.18"/>
    <n v="4.01"/>
    <s v="No"/>
    <n v="0"/>
    <n v="127.88"/>
    <n v="81.13"/>
    <n v="46.75"/>
    <n v="0"/>
  </r>
  <r>
    <s v="ORD-000828"/>
    <s v="C-0482"/>
    <d v="2025-07-22T00:00:00"/>
    <s v="Mobile App"/>
    <s v="Credit Card"/>
    <s v="Southeast"/>
    <n v="3"/>
    <x v="2"/>
    <n v="70.94"/>
    <n v="10"/>
    <n v="7.09"/>
    <n v="51.98"/>
    <n v="30.7"/>
    <n v="0"/>
    <n v="2.15"/>
    <s v="No"/>
    <n v="0"/>
    <n v="63.85"/>
    <n v="84.83"/>
    <n v="-20.98"/>
    <n v="0"/>
  </r>
  <r>
    <s v="ORD-000829"/>
    <s v="C-0214"/>
    <d v="2024-10-24T00:00:00"/>
    <s v="Mobile App"/>
    <s v="PayPal"/>
    <s v="Southwest"/>
    <n v="1"/>
    <x v="7"/>
    <n v="15.69"/>
    <n v="0"/>
    <n v="0"/>
    <n v="9.34"/>
    <n v="4.67"/>
    <n v="0"/>
    <n v="0.76"/>
    <s v="No"/>
    <n v="0"/>
    <n v="15.69"/>
    <n v="14.77"/>
    <n v="0.92"/>
    <n v="0"/>
  </r>
  <r>
    <s v="ORD-000830"/>
    <s v="C-0249"/>
    <d v="2025-08-30T00:00:00"/>
    <s v="Mobile App"/>
    <s v="Buy Now Pay Later"/>
    <s v="Southeast"/>
    <n v="2"/>
    <x v="1"/>
    <n v="112.76"/>
    <n v="0"/>
    <n v="0"/>
    <n v="29.48"/>
    <n v="42.04"/>
    <n v="0"/>
    <n v="3.57"/>
    <s v="No"/>
    <n v="0"/>
    <n v="112.76"/>
    <n v="75.09"/>
    <n v="37.67"/>
    <n v="0"/>
  </r>
  <r>
    <s v="ORD-000831"/>
    <s v="C-0681"/>
    <d v="2025-07-08T00:00:00"/>
    <s v="Mobile App"/>
    <s v="Debit Card"/>
    <s v="West Coast"/>
    <n v="2"/>
    <x v="5"/>
    <n v="59.53"/>
    <n v="15"/>
    <n v="8.93"/>
    <n v="27.54"/>
    <n v="22.62"/>
    <n v="0"/>
    <n v="1.77"/>
    <s v="No"/>
    <n v="0"/>
    <n v="50.6"/>
    <n v="51.93"/>
    <n v="-1.33"/>
    <n v="0"/>
  </r>
  <r>
    <s v="ORD-000832"/>
    <s v="C-0268"/>
    <d v="2025-10-27T00:00:00"/>
    <s v="Mobile App"/>
    <s v="Buy Now Pay Later"/>
    <s v="Midwest"/>
    <n v="2"/>
    <x v="4"/>
    <n v="229.14"/>
    <n v="15"/>
    <n v="34.369999999999997"/>
    <n v="30.9"/>
    <n v="107.97"/>
    <n v="0"/>
    <n v="5.95"/>
    <s v="No"/>
    <n v="0"/>
    <n v="194.77"/>
    <n v="144.82"/>
    <n v="49.95"/>
    <n v="0"/>
  </r>
  <r>
    <s v="ORD-000833"/>
    <s v="C-0708"/>
    <d v="2025-06-19T00:00:00"/>
    <s v="Website"/>
    <s v="Buy Now Pay Later"/>
    <s v="Midwest"/>
    <n v="1"/>
    <x v="0"/>
    <n v="70.06"/>
    <n v="5"/>
    <n v="3.5"/>
    <n v="19.96"/>
    <n v="23.08"/>
    <n v="0"/>
    <n v="2.23"/>
    <s v="No"/>
    <n v="0"/>
    <n v="66.56"/>
    <n v="45.27"/>
    <n v="21.29"/>
    <n v="0"/>
  </r>
  <r>
    <s v="ORD-000834"/>
    <s v="C-0327"/>
    <d v="2025-06-01T00:00:00"/>
    <s v="Website"/>
    <s v="Buy Now Pay Later"/>
    <s v="Northeast"/>
    <n v="2"/>
    <x v="0"/>
    <n v="113.41"/>
    <n v="5"/>
    <n v="5.67"/>
    <n v="19.48"/>
    <n v="46.28"/>
    <n v="0"/>
    <n v="3.42"/>
    <s v="No"/>
    <n v="0"/>
    <n v="107.74"/>
    <n v="69.180000000000007"/>
    <n v="38.56"/>
    <n v="0"/>
  </r>
  <r>
    <s v="ORD-000835"/>
    <s v="C-0014"/>
    <d v="2024-07-31T00:00:00"/>
    <s v="Mobile App"/>
    <s v="PayPal"/>
    <s v="Midwest"/>
    <n v="1"/>
    <x v="3"/>
    <n v="13.96"/>
    <n v="20"/>
    <n v="2.79"/>
    <n v="5.18"/>
    <n v="7.06"/>
    <n v="0"/>
    <n v="0.62"/>
    <s v="No"/>
    <n v="0"/>
    <n v="11.17"/>
    <n v="12.86"/>
    <n v="-1.69"/>
    <n v="0"/>
  </r>
  <r>
    <s v="ORD-000836"/>
    <s v="C-0280"/>
    <d v="2025-09-29T00:00:00"/>
    <s v="Marketplace"/>
    <s v="Credit Card"/>
    <s v="West Coast"/>
    <n v="3"/>
    <x v="7"/>
    <n v="94.03"/>
    <n v="10"/>
    <n v="9.4"/>
    <n v="36"/>
    <n v="42.7"/>
    <n v="12.69"/>
    <n v="2.75"/>
    <s v="No"/>
    <n v="0"/>
    <n v="84.63"/>
    <n v="94.14"/>
    <n v="-9.51"/>
    <n v="0"/>
  </r>
  <r>
    <s v="ORD-000837"/>
    <s v="C-0665"/>
    <d v="2024-08-21T00:00:00"/>
    <s v="Marketplace"/>
    <s v="Debit Card"/>
    <s v="West Coast"/>
    <n v="2"/>
    <x v="0"/>
    <n v="60.58"/>
    <n v="0"/>
    <n v="0"/>
    <n v="39.700000000000003"/>
    <n v="38.19"/>
    <n v="9.09"/>
    <n v="2.06"/>
    <s v="No"/>
    <n v="0"/>
    <n v="60.58"/>
    <n v="89.04"/>
    <n v="-28.46"/>
    <n v="0"/>
  </r>
  <r>
    <s v="ORD-000838"/>
    <s v="C-0363"/>
    <d v="2025-08-24T00:00:00"/>
    <s v="Marketplace"/>
    <s v="Credit Card"/>
    <s v="Northeast"/>
    <n v="1"/>
    <x v="5"/>
    <n v="59.14"/>
    <n v="15"/>
    <n v="8.8699999999999992"/>
    <n v="24.28"/>
    <n v="41.32"/>
    <n v="7.54"/>
    <n v="1.76"/>
    <s v="No"/>
    <n v="0"/>
    <n v="50.27"/>
    <n v="74.900000000000006"/>
    <n v="-24.63"/>
    <n v="0"/>
  </r>
  <r>
    <s v="ORD-000839"/>
    <s v="C-0203"/>
    <d v="2025-02-05T00:00:00"/>
    <s v="Website"/>
    <s v="Debit Card"/>
    <s v="Southeast"/>
    <n v="4"/>
    <x v="0"/>
    <n v="341.7"/>
    <n v="15"/>
    <n v="51.26"/>
    <n v="31.96"/>
    <n v="139.18"/>
    <n v="0"/>
    <n v="8.7200000000000006"/>
    <s v="No"/>
    <n v="0"/>
    <n v="290.44"/>
    <n v="179.86"/>
    <n v="110.58"/>
    <n v="0"/>
  </r>
  <r>
    <s v="ORD-000840"/>
    <s v="C-0509"/>
    <d v="2025-05-06T00:00:00"/>
    <s v="Website"/>
    <s v="Credit Card"/>
    <s v="West Coast"/>
    <n v="1"/>
    <x v="4"/>
    <n v="37.86"/>
    <n v="0"/>
    <n v="0"/>
    <n v="9.02"/>
    <n v="26.84"/>
    <n v="0"/>
    <n v="1.4"/>
    <s v="No"/>
    <n v="0"/>
    <n v="37.86"/>
    <n v="37.26"/>
    <n v="0.6"/>
    <n v="0"/>
  </r>
  <r>
    <s v="ORD-000841"/>
    <s v="C-0514"/>
    <d v="2025-11-02T00:00:00"/>
    <s v="Marketplace"/>
    <s v="Buy Now Pay Later"/>
    <s v="Southeast"/>
    <n v="1"/>
    <x v="5"/>
    <n v="41.34"/>
    <n v="0"/>
    <n v="0"/>
    <n v="11.18"/>
    <n v="21.84"/>
    <n v="6.2"/>
    <n v="1.5"/>
    <s v="No"/>
    <n v="0"/>
    <n v="41.34"/>
    <n v="40.72"/>
    <n v="0.62"/>
    <n v="0"/>
  </r>
  <r>
    <s v="ORD-000842"/>
    <s v="C-0628"/>
    <d v="2024-08-12T00:00:00"/>
    <s v="Marketplace"/>
    <s v="Debit Card"/>
    <s v="West Coast"/>
    <n v="4"/>
    <x v="5"/>
    <n v="188.26"/>
    <n v="5"/>
    <n v="9.41"/>
    <n v="57.46"/>
    <n v="71.14"/>
    <n v="26.83"/>
    <n v="5.49"/>
    <s v="No"/>
    <n v="0"/>
    <n v="178.85"/>
    <n v="160.91999999999999"/>
    <n v="17.93"/>
    <n v="0"/>
  </r>
  <r>
    <s v="ORD-000843"/>
    <s v="C-0791"/>
    <d v="2025-03-08T00:00:00"/>
    <s v="Website"/>
    <s v="Credit Card"/>
    <s v="West Coast"/>
    <n v="2"/>
    <x v="6"/>
    <n v="142.25"/>
    <n v="0"/>
    <n v="0"/>
    <n v="38.979999999999997"/>
    <n v="56.23"/>
    <n v="0"/>
    <n v="4.43"/>
    <s v="No"/>
    <n v="0"/>
    <n v="142.25"/>
    <n v="99.64"/>
    <n v="42.61"/>
    <n v="0"/>
  </r>
  <r>
    <s v="ORD-000844"/>
    <s v="C-0544"/>
    <d v="2025-06-23T00:00:00"/>
    <s v="Website"/>
    <s v="Credit Card"/>
    <s v="Southwest"/>
    <n v="2"/>
    <x v="2"/>
    <n v="232.42"/>
    <n v="20"/>
    <n v="46.48"/>
    <n v="29.54"/>
    <n v="81.540000000000006"/>
    <n v="0"/>
    <n v="5.69"/>
    <s v="No"/>
    <n v="0"/>
    <n v="185.94"/>
    <n v="116.77"/>
    <n v="69.17"/>
    <n v="0"/>
  </r>
  <r>
    <s v="ORD-000845"/>
    <s v="C-0625"/>
    <d v="2025-05-12T00:00:00"/>
    <s v="Marketplace"/>
    <s v="Gift Card"/>
    <s v="Southeast"/>
    <n v="3"/>
    <x v="5"/>
    <n v="194.81"/>
    <n v="15"/>
    <n v="29.22"/>
    <n v="31.04"/>
    <n v="95.25"/>
    <n v="24.84"/>
    <n v="5.0999999999999996"/>
    <s v="No"/>
    <n v="0"/>
    <n v="165.59"/>
    <n v="156.22999999999999"/>
    <n v="9.36"/>
    <n v="0"/>
  </r>
  <r>
    <s v="ORD-000846"/>
    <s v="C-0432"/>
    <d v="2024-03-16T00:00:00"/>
    <s v="Marketplace"/>
    <s v="Credit Card"/>
    <s v="Northeast"/>
    <n v="1"/>
    <x v="5"/>
    <n v="29.57"/>
    <n v="0"/>
    <n v="0"/>
    <n v="12.14"/>
    <n v="20.66"/>
    <n v="4.4400000000000004"/>
    <n v="1.1599999999999999"/>
    <s v="No"/>
    <n v="0"/>
    <n v="29.57"/>
    <n v="38.4"/>
    <n v="-8.83"/>
    <n v="0"/>
  </r>
  <r>
    <s v="ORD-000847"/>
    <s v="C-0134"/>
    <d v="2024-08-24T00:00:00"/>
    <s v="Website"/>
    <s v="Buy Now Pay Later"/>
    <s v="Northeast"/>
    <n v="1"/>
    <x v="7"/>
    <n v="164.85"/>
    <n v="0"/>
    <n v="0"/>
    <n v="4.7"/>
    <n v="49.88"/>
    <n v="0"/>
    <n v="5.08"/>
    <s v="No"/>
    <n v="0"/>
    <n v="164.85"/>
    <n v="59.66"/>
    <n v="105.19"/>
    <n v="0"/>
  </r>
  <r>
    <s v="ORD-000848"/>
    <s v="C-0504"/>
    <d v="2024-12-27T00:00:00"/>
    <s v="Website"/>
    <s v="PayPal"/>
    <s v="Northeast"/>
    <n v="1"/>
    <x v="0"/>
    <n v="222.97"/>
    <n v="15"/>
    <n v="33.450000000000003"/>
    <n v="12.94"/>
    <n v="67.05"/>
    <n v="0"/>
    <n v="5.8"/>
    <s v="No"/>
    <n v="0"/>
    <n v="189.52"/>
    <n v="85.79"/>
    <n v="103.73"/>
    <n v="0"/>
  </r>
  <r>
    <s v="ORD-000849"/>
    <s v="C-0723"/>
    <d v="2025-04-10T00:00:00"/>
    <s v="Mobile App"/>
    <s v="Credit Card"/>
    <s v="Southwest"/>
    <n v="1"/>
    <x v="3"/>
    <n v="55.06"/>
    <n v="10"/>
    <n v="5.51"/>
    <n v="5.82"/>
    <n v="21.08"/>
    <n v="0"/>
    <n v="1.74"/>
    <s v="No"/>
    <n v="0"/>
    <n v="49.55"/>
    <n v="28.64"/>
    <n v="20.91"/>
    <n v="0"/>
  </r>
  <r>
    <s v="ORD-000850"/>
    <s v="C-0133"/>
    <d v="2025-08-01T00:00:00"/>
    <s v="Mobile App"/>
    <s v="Credit Card"/>
    <s v="West Coast"/>
    <n v="2"/>
    <x v="4"/>
    <n v="113.98"/>
    <n v="0"/>
    <n v="0"/>
    <n v="13.8"/>
    <n v="46.32"/>
    <n v="0"/>
    <n v="3.61"/>
    <s v="No"/>
    <n v="0"/>
    <n v="113.98"/>
    <n v="63.73"/>
    <n v="50.25"/>
    <n v="0"/>
  </r>
  <r>
    <s v="ORD-000851"/>
    <s v="C-0468"/>
    <d v="2024-06-04T00:00:00"/>
    <s v="Mobile App"/>
    <s v="PayPal"/>
    <s v="Midwest"/>
    <n v="1"/>
    <x v="7"/>
    <n v="57.08"/>
    <n v="0"/>
    <n v="0"/>
    <n v="11.26"/>
    <n v="26.65"/>
    <n v="0"/>
    <n v="1.96"/>
    <s v="No"/>
    <n v="0"/>
    <n v="57.08"/>
    <n v="39.869999999999997"/>
    <n v="17.21"/>
    <n v="0"/>
  </r>
  <r>
    <s v="ORD-000852"/>
    <s v="C-0330"/>
    <d v="2025-06-18T00:00:00"/>
    <s v="Website"/>
    <s v="Credit Card"/>
    <s v="West Coast"/>
    <n v="2"/>
    <x v="4"/>
    <n v="119.43"/>
    <n v="0"/>
    <n v="0"/>
    <n v="24.28"/>
    <n v="49.57"/>
    <n v="0"/>
    <n v="3.76"/>
    <s v="No"/>
    <n v="0"/>
    <n v="119.43"/>
    <n v="77.61"/>
    <n v="41.82"/>
    <n v="0"/>
  </r>
  <r>
    <s v="ORD-000853"/>
    <s v="C-0051"/>
    <d v="2025-02-16T00:00:00"/>
    <s v="Mobile App"/>
    <s v="Gift Card"/>
    <s v="Northeast"/>
    <n v="1"/>
    <x v="5"/>
    <n v="50.95"/>
    <n v="0"/>
    <n v="0"/>
    <n v="14.38"/>
    <n v="18.739999999999998"/>
    <n v="0"/>
    <n v="1.78"/>
    <s v="No"/>
    <n v="0"/>
    <n v="50.95"/>
    <n v="34.9"/>
    <n v="16.05"/>
    <n v="0"/>
  </r>
  <r>
    <s v="ORD-000854"/>
    <s v="C-0069"/>
    <d v="2025-01-12T00:00:00"/>
    <s v="Marketplace"/>
    <s v="PayPal"/>
    <s v="West Coast"/>
    <n v="1"/>
    <x v="4"/>
    <n v="50.13"/>
    <n v="0"/>
    <n v="0"/>
    <n v="4.22"/>
    <n v="31.64"/>
    <n v="7.52"/>
    <n v="1.75"/>
    <s v="No"/>
    <n v="0"/>
    <n v="50.13"/>
    <n v="45.13"/>
    <n v="5"/>
    <n v="0"/>
  </r>
  <r>
    <s v="ORD-000855"/>
    <s v="C-0771"/>
    <d v="2025-01-12T00:00:00"/>
    <s v="Website"/>
    <s v="Buy Now Pay Later"/>
    <s v="Southwest"/>
    <n v="2"/>
    <x v="4"/>
    <n v="69.319999999999993"/>
    <n v="10"/>
    <n v="6.93"/>
    <n v="18.84"/>
    <n v="32.33"/>
    <n v="0"/>
    <n v="2.11"/>
    <s v="No"/>
    <n v="0"/>
    <n v="62.39"/>
    <n v="53.28"/>
    <n v="9.11"/>
    <n v="0"/>
  </r>
  <r>
    <s v="ORD-000856"/>
    <s v="C-0238"/>
    <d v="2025-09-30T00:00:00"/>
    <s v="Website"/>
    <s v="Buy Now Pay Later"/>
    <s v="Southwest"/>
    <n v="1"/>
    <x v="0"/>
    <n v="24.38"/>
    <n v="10"/>
    <n v="2.44"/>
    <n v="13.9"/>
    <n v="16.190000000000001"/>
    <n v="0"/>
    <n v="0.94"/>
    <s v="Yes"/>
    <n v="21.94"/>
    <n v="0"/>
    <n v="31.03"/>
    <n v="-31.03"/>
    <n v="0"/>
  </r>
  <r>
    <s v="ORD-000857"/>
    <s v="C-0382"/>
    <d v="2025-08-26T00:00:00"/>
    <s v="Marketplace"/>
    <s v="PayPal"/>
    <s v="Southwest"/>
    <n v="1"/>
    <x v="2"/>
    <n v="82.29"/>
    <n v="15"/>
    <n v="12.34"/>
    <n v="13.02"/>
    <n v="37.65"/>
    <n v="10.49"/>
    <n v="2.33"/>
    <s v="No"/>
    <n v="0"/>
    <n v="69.95"/>
    <n v="63.49"/>
    <n v="6.46"/>
    <n v="0"/>
  </r>
  <r>
    <s v="ORD-000858"/>
    <s v="C-0729"/>
    <d v="2024-12-18T00:00:00"/>
    <s v="Website"/>
    <s v="Credit Card"/>
    <s v="Northeast"/>
    <n v="1"/>
    <x v="6"/>
    <n v="23.2"/>
    <n v="10"/>
    <n v="2.3199999999999998"/>
    <n v="7.98"/>
    <n v="6.77"/>
    <n v="0"/>
    <n v="0.91"/>
    <s v="No"/>
    <n v="0"/>
    <n v="20.88"/>
    <n v="15.66"/>
    <n v="5.22"/>
    <n v="1"/>
  </r>
  <r>
    <s v="ORD-000859"/>
    <s v="C-0126"/>
    <d v="2024-06-29T00:00:00"/>
    <s v="Social Commerce"/>
    <s v="Credit Card"/>
    <s v="Northeast"/>
    <n v="1"/>
    <x v="7"/>
    <n v="105.44"/>
    <n v="15"/>
    <n v="15.82"/>
    <n v="8.94"/>
    <n v="42.07"/>
    <n v="7.17"/>
    <n v="2.9"/>
    <s v="No"/>
    <n v="0"/>
    <n v="89.62"/>
    <n v="61.08"/>
    <n v="28.54"/>
    <n v="0"/>
  </r>
  <r>
    <s v="ORD-000860"/>
    <s v="C-0651"/>
    <d v="2024-12-04T00:00:00"/>
    <s v="Mobile App"/>
    <s v="Credit Card"/>
    <s v="Midwest"/>
    <n v="2"/>
    <x v="6"/>
    <n v="240.88"/>
    <n v="0"/>
    <n v="0"/>
    <n v="16.18"/>
    <n v="82.78"/>
    <n v="0"/>
    <n v="7.29"/>
    <s v="No"/>
    <n v="0"/>
    <n v="240.88"/>
    <n v="106.25"/>
    <n v="134.63"/>
    <n v="0"/>
  </r>
  <r>
    <s v="ORD-000861"/>
    <s v="C-0435"/>
    <d v="2025-08-12T00:00:00"/>
    <s v="Mobile App"/>
    <s v="PayPal"/>
    <s v="West Coast"/>
    <n v="1"/>
    <x v="0"/>
    <n v="109.6"/>
    <n v="0"/>
    <n v="0"/>
    <n v="11.58"/>
    <n v="57.57"/>
    <n v="0"/>
    <n v="3.48"/>
    <s v="No"/>
    <n v="0"/>
    <n v="109.6"/>
    <n v="72.63"/>
    <n v="36.97"/>
    <n v="0"/>
  </r>
  <r>
    <s v="ORD-000862"/>
    <s v="C-0675"/>
    <d v="2024-04-20T00:00:00"/>
    <s v="Mobile App"/>
    <s v="Credit Card"/>
    <s v="Southeast"/>
    <n v="2"/>
    <x v="3"/>
    <n v="72.7"/>
    <n v="5"/>
    <n v="3.63"/>
    <n v="21.24"/>
    <n v="31.63"/>
    <n v="0"/>
    <n v="2.2999999999999998"/>
    <s v="No"/>
    <n v="0"/>
    <n v="69.069999999999993"/>
    <n v="55.17"/>
    <n v="13.9"/>
    <n v="0"/>
  </r>
  <r>
    <s v="ORD-000863"/>
    <s v="C-0563"/>
    <d v="2025-10-15T00:00:00"/>
    <s v="Website"/>
    <s v="PayPal"/>
    <s v="West Coast"/>
    <n v="1"/>
    <x v="1"/>
    <n v="61.44"/>
    <n v="20"/>
    <n v="12.29"/>
    <n v="12.06"/>
    <n v="19.8"/>
    <n v="0"/>
    <n v="1.73"/>
    <s v="No"/>
    <n v="0"/>
    <n v="49.15"/>
    <n v="33.590000000000003"/>
    <n v="15.56"/>
    <n v="0"/>
  </r>
  <r>
    <s v="ORD-000864"/>
    <s v="C-0430"/>
    <d v="2025-05-17T00:00:00"/>
    <s v="Website"/>
    <s v="Buy Now Pay Later"/>
    <s v="Midwest"/>
    <n v="2"/>
    <x v="3"/>
    <n v="204.79"/>
    <n v="5"/>
    <n v="10.24"/>
    <n v="49.82"/>
    <n v="85.79"/>
    <n v="0"/>
    <n v="5.94"/>
    <s v="No"/>
    <n v="0"/>
    <n v="194.55"/>
    <n v="141.55000000000001"/>
    <n v="53"/>
    <n v="0"/>
  </r>
  <r>
    <s v="ORD-000865"/>
    <s v="C-0611"/>
    <d v="2025-07-31T00:00:00"/>
    <s v="Marketplace"/>
    <s v="Credit Card"/>
    <s v="West Coast"/>
    <n v="1"/>
    <x v="5"/>
    <n v="57.92"/>
    <n v="10"/>
    <n v="5.79"/>
    <n v="18.04"/>
    <n v="16.600000000000001"/>
    <n v="7.82"/>
    <n v="1.81"/>
    <s v="No"/>
    <n v="0"/>
    <n v="52.13"/>
    <n v="44.27"/>
    <n v="7.86"/>
    <n v="0"/>
  </r>
  <r>
    <s v="ORD-000866"/>
    <s v="C-0677"/>
    <d v="2025-06-03T00:00:00"/>
    <s v="Mobile App"/>
    <s v="Credit Card"/>
    <s v="Northeast"/>
    <n v="3"/>
    <x v="6"/>
    <n v="442.18"/>
    <n v="0"/>
    <n v="0"/>
    <n v="37.82"/>
    <n v="152.28"/>
    <n v="0"/>
    <n v="13.12"/>
    <s v="No"/>
    <n v="0"/>
    <n v="442.18"/>
    <n v="203.22"/>
    <n v="238.96"/>
    <n v="0"/>
  </r>
  <r>
    <s v="ORD-000867"/>
    <s v="C-0237"/>
    <d v="2025-01-26T00:00:00"/>
    <s v="Mobile App"/>
    <s v="Gift Card"/>
    <s v="Southeast"/>
    <n v="2"/>
    <x v="2"/>
    <n v="153.63999999999999"/>
    <n v="0"/>
    <n v="0"/>
    <n v="17"/>
    <n v="59.33"/>
    <n v="0"/>
    <n v="4.76"/>
    <s v="No"/>
    <n v="0"/>
    <n v="153.63999999999999"/>
    <n v="81.09"/>
    <n v="72.55"/>
    <n v="0"/>
  </r>
  <r>
    <s v="ORD-000868"/>
    <s v="C-0745"/>
    <d v="2025-06-28T00:00:00"/>
    <s v="Mobile App"/>
    <s v="Buy Now Pay Later"/>
    <s v="Midwest"/>
    <n v="4"/>
    <x v="0"/>
    <n v="251.43"/>
    <n v="15"/>
    <n v="37.71"/>
    <n v="38.78"/>
    <n v="113.39"/>
    <n v="0"/>
    <n v="6.5"/>
    <s v="No"/>
    <n v="0"/>
    <n v="213.72"/>
    <n v="158.66999999999999"/>
    <n v="55.05"/>
    <n v="0"/>
  </r>
  <r>
    <s v="ORD-000869"/>
    <s v="C-0770"/>
    <d v="2025-01-27T00:00:00"/>
    <s v="Website"/>
    <s v="Buy Now Pay Later"/>
    <s v="West Coast"/>
    <n v="1"/>
    <x v="0"/>
    <n v="137.96"/>
    <n v="0"/>
    <n v="0"/>
    <n v="29.08"/>
    <n v="50.78"/>
    <n v="0"/>
    <n v="4.3"/>
    <s v="No"/>
    <n v="0"/>
    <n v="137.96"/>
    <n v="84.16"/>
    <n v="53.8"/>
    <n v="0"/>
  </r>
  <r>
    <s v="ORD-000870"/>
    <s v="C-0210"/>
    <d v="2025-06-18T00:00:00"/>
    <s v="Website"/>
    <s v="Gift Card"/>
    <s v="West Coast"/>
    <n v="1"/>
    <x v="1"/>
    <n v="24.02"/>
    <n v="5"/>
    <n v="1.2"/>
    <n v="3.98"/>
    <n v="10.75"/>
    <n v="0"/>
    <n v="0.96"/>
    <s v="No"/>
    <n v="0"/>
    <n v="22.82"/>
    <n v="15.69"/>
    <n v="7.13"/>
    <n v="0"/>
  </r>
  <r>
    <s v="ORD-000871"/>
    <s v="C-0471"/>
    <d v="2025-08-05T00:00:00"/>
    <s v="Website"/>
    <s v="Buy Now Pay Later"/>
    <s v="Southeast"/>
    <n v="2"/>
    <x v="0"/>
    <n v="332.52"/>
    <n v="25"/>
    <n v="83.13"/>
    <n v="29.86"/>
    <n v="133.33000000000001"/>
    <n v="0"/>
    <n v="7.53"/>
    <s v="No"/>
    <n v="0"/>
    <n v="249.39"/>
    <n v="170.72"/>
    <n v="78.67"/>
    <n v="0"/>
  </r>
  <r>
    <s v="ORD-000872"/>
    <s v="C-0430"/>
    <d v="2025-03-26T00:00:00"/>
    <s v="Mobile App"/>
    <s v="PayPal"/>
    <s v="Southeast"/>
    <n v="2"/>
    <x v="6"/>
    <n v="55"/>
    <n v="20"/>
    <n v="11"/>
    <n v="59.18"/>
    <n v="26.41"/>
    <n v="0"/>
    <n v="1.58"/>
    <s v="No"/>
    <n v="0"/>
    <n v="44"/>
    <n v="87.17"/>
    <n v="-43.17"/>
    <n v="0"/>
  </r>
  <r>
    <s v="ORD-000873"/>
    <s v="C-0581"/>
    <d v="2025-08-02T00:00:00"/>
    <s v="Website"/>
    <s v="Debit Card"/>
    <s v="Southwest"/>
    <n v="1"/>
    <x v="6"/>
    <n v="57.93"/>
    <n v="0"/>
    <n v="0"/>
    <n v="17.7"/>
    <n v="18.690000000000001"/>
    <n v="0"/>
    <n v="1.98"/>
    <s v="Yes"/>
    <n v="57.93"/>
    <n v="0"/>
    <n v="38.369999999999997"/>
    <n v="-38.369999999999997"/>
    <n v="0"/>
  </r>
  <r>
    <s v="ORD-000874"/>
    <s v="C-0183"/>
    <d v="2025-10-10T00:00:00"/>
    <s v="Website"/>
    <s v="PayPal"/>
    <s v="Southwest"/>
    <n v="4"/>
    <x v="0"/>
    <n v="248.84"/>
    <n v="0"/>
    <n v="0"/>
    <n v="46.88"/>
    <n v="122.24"/>
    <n v="0"/>
    <n v="7.52"/>
    <s v="No"/>
    <n v="0"/>
    <n v="248.84"/>
    <n v="176.64"/>
    <n v="72.2"/>
    <n v="0"/>
  </r>
  <r>
    <s v="ORD-000875"/>
    <s v="C-0375"/>
    <d v="2024-09-22T00:00:00"/>
    <s v="Website"/>
    <s v="PayPal"/>
    <s v="Northeast"/>
    <n v="1"/>
    <x v="4"/>
    <n v="24.88"/>
    <n v="5"/>
    <n v="1.24"/>
    <n v="7.02"/>
    <n v="13.77"/>
    <n v="0"/>
    <n v="0.99"/>
    <s v="No"/>
    <n v="0"/>
    <n v="23.64"/>
    <n v="21.78"/>
    <n v="1.86"/>
    <n v="1"/>
  </r>
  <r>
    <s v="ORD-000876"/>
    <s v="C-0588"/>
    <d v="2024-07-10T00:00:00"/>
    <s v="Marketplace"/>
    <s v="PayPal"/>
    <s v="Midwest"/>
    <n v="1"/>
    <x v="0"/>
    <n v="78.790000000000006"/>
    <n v="0"/>
    <n v="0"/>
    <n v="13.5"/>
    <n v="31.36"/>
    <n v="11.82"/>
    <n v="2.58"/>
    <s v="No"/>
    <n v="0"/>
    <n v="78.790000000000006"/>
    <n v="59.26"/>
    <n v="19.53"/>
    <n v="0"/>
  </r>
  <r>
    <s v="ORD-000877"/>
    <s v="C-0256"/>
    <d v="2024-09-25T00:00:00"/>
    <s v="Marketplace"/>
    <s v="Credit Card"/>
    <s v="Southwest"/>
    <n v="3"/>
    <x v="3"/>
    <n v="298.52999999999997"/>
    <n v="25"/>
    <n v="74.63"/>
    <n v="63.38"/>
    <n v="137.16999999999999"/>
    <n v="33.58"/>
    <n v="6.79"/>
    <s v="No"/>
    <n v="0"/>
    <n v="223.9"/>
    <n v="240.92"/>
    <n v="-17.02"/>
    <n v="0"/>
  </r>
  <r>
    <s v="ORD-000878"/>
    <s v="C-0639"/>
    <d v="2025-10-19T00:00:00"/>
    <s v="Marketplace"/>
    <s v="Debit Card"/>
    <s v="Midwest"/>
    <n v="3"/>
    <x v="0"/>
    <n v="120.07"/>
    <n v="0"/>
    <n v="0"/>
    <n v="52.64"/>
    <n v="49.58"/>
    <n v="18.010000000000002"/>
    <n v="3.78"/>
    <s v="No"/>
    <n v="0"/>
    <n v="120.07"/>
    <n v="124.01"/>
    <n v="-3.94"/>
    <n v="0"/>
  </r>
  <r>
    <s v="ORD-000879"/>
    <s v="C-0733"/>
    <d v="2025-07-05T00:00:00"/>
    <s v="Website"/>
    <s v="Gift Card"/>
    <s v="Midwest"/>
    <n v="3"/>
    <x v="3"/>
    <n v="178.51"/>
    <n v="0"/>
    <n v="0"/>
    <n v="49.48"/>
    <n v="57.63"/>
    <n v="0"/>
    <n v="5.48"/>
    <s v="No"/>
    <n v="0"/>
    <n v="178.51"/>
    <n v="112.59"/>
    <n v="65.92"/>
    <n v="0"/>
  </r>
  <r>
    <s v="ORD-000880"/>
    <s v="C-0706"/>
    <d v="2025-10-08T00:00:00"/>
    <s v="Mobile App"/>
    <s v="Credit Card"/>
    <s v="West Coast"/>
    <n v="2"/>
    <x v="7"/>
    <n v="101.64"/>
    <n v="0"/>
    <n v="0"/>
    <n v="21.36"/>
    <n v="53.46"/>
    <n v="0"/>
    <n v="3.25"/>
    <s v="No"/>
    <n v="0"/>
    <n v="101.64"/>
    <n v="78.069999999999993"/>
    <n v="23.57"/>
    <n v="0"/>
  </r>
  <r>
    <s v="ORD-000881"/>
    <s v="C-0685"/>
    <d v="2024-09-27T00:00:00"/>
    <s v="Mobile App"/>
    <s v="PayPal"/>
    <s v="Southwest"/>
    <n v="1"/>
    <x v="2"/>
    <n v="57.29"/>
    <n v="15"/>
    <n v="8.59"/>
    <n v="13.18"/>
    <n v="20.72"/>
    <n v="0"/>
    <n v="1.71"/>
    <s v="No"/>
    <n v="0"/>
    <n v="48.7"/>
    <n v="35.61"/>
    <n v="13.09"/>
    <n v="0"/>
  </r>
  <r>
    <s v="ORD-000882"/>
    <s v="C-0633"/>
    <d v="2025-02-17T00:00:00"/>
    <s v="Mobile App"/>
    <s v="Credit Card"/>
    <s v="Midwest"/>
    <n v="3"/>
    <x v="0"/>
    <n v="649.02"/>
    <n v="0"/>
    <n v="0"/>
    <n v="46.78"/>
    <n v="228.34"/>
    <n v="0"/>
    <n v="19.12"/>
    <s v="No"/>
    <n v="0"/>
    <n v="649.02"/>
    <n v="294.24"/>
    <n v="354.78"/>
    <n v="0"/>
  </r>
  <r>
    <s v="ORD-000883"/>
    <s v="C-0306"/>
    <d v="2025-04-30T00:00:00"/>
    <s v="Website"/>
    <s v="Credit Card"/>
    <s v="Northeast"/>
    <n v="1"/>
    <x v="4"/>
    <n v="89.1"/>
    <n v="10"/>
    <n v="8.91"/>
    <n v="6.78"/>
    <n v="32.549999999999997"/>
    <n v="0"/>
    <n v="2.63"/>
    <s v="No"/>
    <n v="0"/>
    <n v="80.19"/>
    <n v="41.96"/>
    <n v="38.229999999999997"/>
    <n v="0"/>
  </r>
  <r>
    <s v="ORD-000884"/>
    <s v="C-0645"/>
    <d v="2025-04-04T00:00:00"/>
    <s v="Website"/>
    <s v="Credit Card"/>
    <s v="Midwest"/>
    <n v="2"/>
    <x v="3"/>
    <n v="207.42"/>
    <n v="5"/>
    <n v="10.37"/>
    <n v="25.84"/>
    <n v="96.19"/>
    <n v="0"/>
    <n v="6.01"/>
    <s v="No"/>
    <n v="0"/>
    <n v="197.05"/>
    <n v="128.04"/>
    <n v="69.010000000000005"/>
    <n v="0"/>
  </r>
  <r>
    <s v="ORD-000885"/>
    <s v="C-0080"/>
    <d v="2025-06-01T00:00:00"/>
    <s v="Website"/>
    <s v="Credit Card"/>
    <s v="Northeast"/>
    <n v="2"/>
    <x v="7"/>
    <n v="41.7"/>
    <n v="0"/>
    <n v="0"/>
    <n v="26.36"/>
    <n v="18.73"/>
    <n v="0"/>
    <n v="1.51"/>
    <s v="No"/>
    <n v="0"/>
    <n v="41.7"/>
    <n v="46.6"/>
    <n v="-4.9000000000000004"/>
    <n v="0"/>
  </r>
  <r>
    <s v="ORD-000886"/>
    <s v="C-0604"/>
    <d v="2025-01-29T00:00:00"/>
    <s v="Website"/>
    <s v="Debit Card"/>
    <s v="Southeast"/>
    <n v="1"/>
    <x v="4"/>
    <n v="93.89"/>
    <n v="10"/>
    <n v="9.39"/>
    <n v="6.14"/>
    <n v="32.81"/>
    <n v="0"/>
    <n v="2.75"/>
    <s v="No"/>
    <n v="0"/>
    <n v="84.5"/>
    <n v="41.7"/>
    <n v="42.8"/>
    <n v="0"/>
  </r>
  <r>
    <s v="ORD-000887"/>
    <s v="C-0018"/>
    <d v="2025-03-27T00:00:00"/>
    <s v="Mobile App"/>
    <s v="Credit Card"/>
    <s v="Northeast"/>
    <n v="4"/>
    <x v="1"/>
    <n v="256.18"/>
    <n v="15"/>
    <n v="38.43"/>
    <n v="42.8"/>
    <n v="80.84"/>
    <n v="0"/>
    <n v="6.61"/>
    <s v="No"/>
    <n v="0"/>
    <n v="217.75"/>
    <n v="130.25"/>
    <n v="87.5"/>
    <n v="0"/>
  </r>
  <r>
    <s v="ORD-000888"/>
    <s v="C-0137"/>
    <d v="2025-08-24T00:00:00"/>
    <s v="Mobile App"/>
    <s v="Debit Card"/>
    <s v="Southwest"/>
    <n v="1"/>
    <x v="2"/>
    <n v="93.6"/>
    <n v="0"/>
    <n v="0"/>
    <n v="19.8"/>
    <n v="38.42"/>
    <n v="0"/>
    <n v="3.01"/>
    <s v="Yes"/>
    <n v="93.6"/>
    <n v="0"/>
    <n v="61.23"/>
    <n v="-61.23"/>
    <n v="0"/>
  </r>
  <r>
    <s v="ORD-000889"/>
    <s v="C-0388"/>
    <d v="2025-04-25T00:00:00"/>
    <s v="Mobile App"/>
    <s v="Buy Now Pay Later"/>
    <s v="Northeast"/>
    <n v="1"/>
    <x v="4"/>
    <n v="21.55"/>
    <n v="0"/>
    <n v="0"/>
    <n v="15.1"/>
    <n v="12.4"/>
    <n v="0"/>
    <n v="0.92"/>
    <s v="No"/>
    <n v="0"/>
    <n v="21.55"/>
    <n v="28.42"/>
    <n v="-6.87"/>
    <n v="0"/>
  </r>
  <r>
    <s v="ORD-000890"/>
    <s v="C-0655"/>
    <d v="2024-11-03T00:00:00"/>
    <s v="Marketplace"/>
    <s v="PayPal"/>
    <s v="West Coast"/>
    <n v="1"/>
    <x v="4"/>
    <n v="37.86"/>
    <n v="0"/>
    <n v="0"/>
    <n v="9.02"/>
    <n v="26.84"/>
    <n v="5.68"/>
    <n v="1.4"/>
    <s v="Yes"/>
    <n v="37.86"/>
    <n v="0"/>
    <n v="42.94"/>
    <n v="-42.94"/>
    <n v="1"/>
  </r>
  <r>
    <s v="ORD-000891"/>
    <s v="C-0640"/>
    <d v="2024-12-23T00:00:00"/>
    <s v="Mobile App"/>
    <s v="Debit Card"/>
    <s v="Northeast"/>
    <n v="2"/>
    <x v="3"/>
    <n v="258.98"/>
    <n v="10"/>
    <n v="25.9"/>
    <n v="58.86"/>
    <n v="127.65"/>
    <n v="0"/>
    <n v="7.06"/>
    <s v="No"/>
    <n v="0"/>
    <n v="233.08"/>
    <n v="193.57"/>
    <n v="39.51"/>
    <n v="0"/>
  </r>
  <r>
    <s v="ORD-000892"/>
    <s v="C-0340"/>
    <d v="2024-10-18T00:00:00"/>
    <s v="Mobile App"/>
    <s v="Credit Card"/>
    <s v="Southeast"/>
    <n v="1"/>
    <x v="5"/>
    <n v="54.32"/>
    <n v="10"/>
    <n v="5.43"/>
    <n v="22.68"/>
    <n v="27.28"/>
    <n v="0"/>
    <n v="1.72"/>
    <s v="No"/>
    <n v="0"/>
    <n v="48.89"/>
    <n v="51.68"/>
    <n v="-2.79"/>
    <n v="1"/>
  </r>
  <r>
    <s v="ORD-000893"/>
    <s v="C-0121"/>
    <d v="2025-04-09T00:00:00"/>
    <s v="Marketplace"/>
    <s v="PayPal"/>
    <s v="West Coast"/>
    <n v="2"/>
    <x v="7"/>
    <n v="81.36"/>
    <n v="0"/>
    <n v="0"/>
    <n v="15"/>
    <n v="32.67"/>
    <n v="12.2"/>
    <n v="2.66"/>
    <s v="No"/>
    <n v="0"/>
    <n v="81.36"/>
    <n v="62.53"/>
    <n v="18.829999999999998"/>
    <n v="0"/>
  </r>
  <r>
    <s v="ORD-000894"/>
    <s v="C-0164"/>
    <d v="2025-08-03T00:00:00"/>
    <s v="Mobile App"/>
    <s v="PayPal"/>
    <s v="Southwest"/>
    <n v="2"/>
    <x v="1"/>
    <n v="54.82"/>
    <n v="15"/>
    <n v="8.2200000000000006"/>
    <n v="24.84"/>
    <n v="27.36"/>
    <n v="0"/>
    <n v="1.65"/>
    <s v="No"/>
    <n v="0"/>
    <n v="46.6"/>
    <n v="53.85"/>
    <n v="-7.25"/>
    <n v="0"/>
  </r>
  <r>
    <s v="ORD-000895"/>
    <s v="C-0207"/>
    <d v="2025-10-31T00:00:00"/>
    <s v="Website"/>
    <s v="Credit Card"/>
    <s v="Southwest"/>
    <n v="4"/>
    <x v="0"/>
    <n v="387.59"/>
    <n v="0"/>
    <n v="0"/>
    <n v="45.92"/>
    <n v="138.61000000000001"/>
    <n v="0"/>
    <n v="11.54"/>
    <s v="No"/>
    <n v="0"/>
    <n v="387.59"/>
    <n v="196.07"/>
    <n v="191.52"/>
    <n v="0"/>
  </r>
  <r>
    <s v="ORD-000896"/>
    <s v="C-0530"/>
    <d v="2025-05-16T00:00:00"/>
    <s v="Website"/>
    <s v="Debit Card"/>
    <s v="Southwest"/>
    <n v="3"/>
    <x v="7"/>
    <n v="248.2"/>
    <n v="0"/>
    <n v="0"/>
    <n v="53.82"/>
    <n v="109.97"/>
    <n v="0"/>
    <n v="7.5"/>
    <s v="No"/>
    <n v="0"/>
    <n v="248.2"/>
    <n v="171.29"/>
    <n v="76.91"/>
    <n v="0"/>
  </r>
  <r>
    <s v="ORD-000897"/>
    <s v="C-0644"/>
    <d v="2025-06-16T00:00:00"/>
    <s v="Website"/>
    <s v="Credit Card"/>
    <s v="Midwest"/>
    <n v="1"/>
    <x v="0"/>
    <n v="236.37"/>
    <n v="0"/>
    <n v="0"/>
    <n v="40.5"/>
    <n v="94.08"/>
    <n v="0"/>
    <n v="7.15"/>
    <s v="No"/>
    <n v="0"/>
    <n v="236.37"/>
    <n v="141.72999999999999"/>
    <n v="94.64"/>
    <n v="0"/>
  </r>
  <r>
    <s v="ORD-000898"/>
    <s v="C-0329"/>
    <d v="2025-08-11T00:00:00"/>
    <s v="Social Commerce"/>
    <s v="Buy Now Pay Later"/>
    <s v="Southwest"/>
    <n v="2"/>
    <x v="4"/>
    <n v="50.72"/>
    <n v="10"/>
    <n v="5.07"/>
    <n v="21.8"/>
    <n v="23.66"/>
    <n v="3.65"/>
    <n v="1.62"/>
    <s v="No"/>
    <n v="0"/>
    <n v="45.65"/>
    <n v="50.73"/>
    <n v="-5.08"/>
    <n v="0"/>
  </r>
  <r>
    <s v="ORD-000899"/>
    <s v="C-0114"/>
    <d v="2024-10-02T00:00:00"/>
    <s v="Mobile App"/>
    <s v="Credit Card"/>
    <s v="West Coast"/>
    <n v="2"/>
    <x v="0"/>
    <n v="338.82"/>
    <n v="0"/>
    <n v="0"/>
    <n v="34.08"/>
    <n v="144.59"/>
    <n v="0"/>
    <n v="10.130000000000001"/>
    <s v="No"/>
    <n v="0"/>
    <n v="338.82"/>
    <n v="188.8"/>
    <n v="150.02000000000001"/>
    <n v="0"/>
  </r>
  <r>
    <s v="ORD-000900"/>
    <s v="C-0541"/>
    <d v="2024-12-05T00:00:00"/>
    <s v="Website"/>
    <s v="Credit Card"/>
    <s v="West Coast"/>
    <n v="1"/>
    <x v="4"/>
    <n v="64.56"/>
    <n v="5"/>
    <n v="3.23"/>
    <n v="4.8600000000000003"/>
    <n v="32.67"/>
    <n v="0"/>
    <n v="2.08"/>
    <s v="No"/>
    <n v="0"/>
    <n v="61.33"/>
    <n v="39.61"/>
    <n v="21.72"/>
    <n v="0"/>
  </r>
  <r>
    <s v="ORD-000901"/>
    <s v="C-0046"/>
    <d v="2025-07-13T00:00:00"/>
    <s v="Mobile App"/>
    <s v="Credit Card"/>
    <s v="Southeast"/>
    <n v="1"/>
    <x v="3"/>
    <n v="19.260000000000002"/>
    <n v="15"/>
    <n v="2.89"/>
    <n v="5.26"/>
    <n v="7.33"/>
    <n v="0"/>
    <n v="0.77"/>
    <s v="Yes"/>
    <n v="16.37"/>
    <n v="0"/>
    <n v="13.36"/>
    <n v="-13.36"/>
    <n v="0"/>
  </r>
  <r>
    <s v="ORD-000902"/>
    <s v="C-0555"/>
    <d v="2025-11-26T00:00:00"/>
    <s v="Website"/>
    <s v="Credit Card"/>
    <s v="Southeast"/>
    <n v="2"/>
    <x v="2"/>
    <n v="184.13"/>
    <n v="15"/>
    <n v="27.62"/>
    <n v="22.28"/>
    <n v="56.37"/>
    <n v="0"/>
    <n v="4.84"/>
    <s v="No"/>
    <n v="0"/>
    <n v="156.51"/>
    <n v="83.49"/>
    <n v="73.02"/>
    <n v="0"/>
  </r>
  <r>
    <s v="ORD-000903"/>
    <s v="C-0414"/>
    <d v="2024-12-08T00:00:00"/>
    <s v="Mobile App"/>
    <s v="Debit Card"/>
    <s v="Northeast"/>
    <n v="3"/>
    <x v="5"/>
    <n v="217.53"/>
    <n v="25"/>
    <n v="54.38"/>
    <n v="47.76"/>
    <n v="78.540000000000006"/>
    <n v="0"/>
    <n v="5.03"/>
    <s v="No"/>
    <n v="0"/>
    <n v="163.15"/>
    <n v="131.33000000000001"/>
    <n v="31.82"/>
    <n v="1"/>
  </r>
  <r>
    <s v="ORD-000904"/>
    <s v="C-0266"/>
    <d v="2025-10-10T00:00:00"/>
    <s v="Mobile App"/>
    <s v="Credit Card"/>
    <s v="Southeast"/>
    <n v="1"/>
    <x v="2"/>
    <n v="114.58"/>
    <n v="0"/>
    <n v="0"/>
    <n v="26.36"/>
    <n v="41.44"/>
    <n v="0"/>
    <n v="3.62"/>
    <s v="No"/>
    <n v="0"/>
    <n v="114.58"/>
    <n v="71.42"/>
    <n v="43.16"/>
    <n v="0"/>
  </r>
  <r>
    <s v="ORD-000905"/>
    <s v="C-0781"/>
    <d v="2024-12-11T00:00:00"/>
    <s v="Mobile App"/>
    <s v="Debit Card"/>
    <s v="Southwest"/>
    <n v="1"/>
    <x v="5"/>
    <n v="345.27"/>
    <n v="0"/>
    <n v="0"/>
    <n v="24.66"/>
    <n v="101.85"/>
    <n v="0"/>
    <n v="10.31"/>
    <s v="Yes"/>
    <n v="345.27"/>
    <n v="0"/>
    <n v="136.82"/>
    <n v="-136.82"/>
    <n v="0"/>
  </r>
  <r>
    <s v="ORD-000906"/>
    <s v="C-0367"/>
    <d v="2024-03-11T00:00:00"/>
    <s v="Marketplace"/>
    <s v="PayPal"/>
    <s v="Southwest"/>
    <n v="1"/>
    <x v="1"/>
    <n v="47.32"/>
    <n v="10"/>
    <n v="4.7300000000000004"/>
    <n v="9.1"/>
    <n v="20.94"/>
    <n v="6.39"/>
    <n v="1.54"/>
    <s v="Yes"/>
    <n v="42.59"/>
    <n v="0"/>
    <n v="37.97"/>
    <n v="-37.97"/>
    <n v="0"/>
  </r>
  <r>
    <s v="ORD-000907"/>
    <s v="C-0126"/>
    <d v="2025-11-02T00:00:00"/>
    <s v="Mobile App"/>
    <s v="Credit Card"/>
    <s v="Southwest"/>
    <n v="2"/>
    <x v="0"/>
    <n v="244.37"/>
    <n v="5"/>
    <n v="12.22"/>
    <n v="19.16"/>
    <n v="79.48"/>
    <n v="0"/>
    <n v="7.03"/>
    <s v="Yes"/>
    <n v="232.15"/>
    <n v="0"/>
    <n v="105.67"/>
    <n v="-105.67"/>
    <n v="1"/>
  </r>
  <r>
    <s v="ORD-000908"/>
    <s v="C-0037"/>
    <d v="2024-06-29T00:00:00"/>
    <s v="Social Commerce"/>
    <s v="Debit Card"/>
    <s v="Northeast"/>
    <n v="3"/>
    <x v="1"/>
    <n v="150.43"/>
    <n v="5"/>
    <n v="7.52"/>
    <n v="30.72"/>
    <n v="80"/>
    <n v="11.43"/>
    <n v="4.4400000000000004"/>
    <s v="No"/>
    <n v="0"/>
    <n v="142.91"/>
    <n v="126.59"/>
    <n v="16.32"/>
    <n v="1"/>
  </r>
  <r>
    <s v="ORD-000909"/>
    <s v="C-0488"/>
    <d v="2024-10-21T00:00:00"/>
    <s v="Website"/>
    <s v="PayPal"/>
    <s v="Southwest"/>
    <n v="1"/>
    <x v="4"/>
    <n v="27.32"/>
    <n v="5"/>
    <n v="1.37"/>
    <n v="21.24"/>
    <n v="9.3800000000000008"/>
    <n v="0"/>
    <n v="1.05"/>
    <s v="No"/>
    <n v="0"/>
    <n v="25.95"/>
    <n v="31.67"/>
    <n v="-5.72"/>
    <n v="1"/>
  </r>
  <r>
    <s v="ORD-000910"/>
    <s v="C-0287"/>
    <d v="2024-03-13T00:00:00"/>
    <s v="Mobile App"/>
    <s v="Debit Card"/>
    <s v="Midwest"/>
    <n v="3"/>
    <x v="4"/>
    <n v="218.79"/>
    <n v="10"/>
    <n v="21.88"/>
    <n v="19.38"/>
    <n v="74"/>
    <n v="0"/>
    <n v="6.01"/>
    <s v="No"/>
    <n v="0"/>
    <n v="196.91"/>
    <n v="99.39"/>
    <n v="97.52"/>
    <n v="0"/>
  </r>
  <r>
    <s v="ORD-000911"/>
    <s v="C-0198"/>
    <d v="2025-01-14T00:00:00"/>
    <s v="Website"/>
    <s v="Credit Card"/>
    <s v="West Coast"/>
    <n v="1"/>
    <x v="4"/>
    <n v="40.89"/>
    <n v="10"/>
    <n v="4.09"/>
    <n v="15.1"/>
    <n v="16.21"/>
    <n v="0"/>
    <n v="1.37"/>
    <s v="No"/>
    <n v="0"/>
    <n v="36.799999999999997"/>
    <n v="32.68"/>
    <n v="4.12"/>
    <n v="0"/>
  </r>
  <r>
    <s v="ORD-000912"/>
    <s v="C-0170"/>
    <d v="2025-02-27T00:00:00"/>
    <s v="Marketplace"/>
    <s v="Credit Card"/>
    <s v="Southwest"/>
    <n v="2"/>
    <x v="6"/>
    <n v="36.869999999999997"/>
    <n v="0"/>
    <n v="0"/>
    <n v="16.36"/>
    <n v="16.16"/>
    <n v="5.53"/>
    <n v="1.37"/>
    <s v="No"/>
    <n v="0"/>
    <n v="36.869999999999997"/>
    <n v="39.42"/>
    <n v="-2.5499999999999998"/>
    <n v="0"/>
  </r>
  <r>
    <s v="ORD-000913"/>
    <s v="C-0087"/>
    <d v="2025-04-16T00:00:00"/>
    <s v="Social Commerce"/>
    <s v="Credit Card"/>
    <s v="Southwest"/>
    <n v="1"/>
    <x v="3"/>
    <n v="19.260000000000002"/>
    <n v="25"/>
    <n v="4.82"/>
    <n v="5.26"/>
    <n v="7.33"/>
    <n v="1.1599999999999999"/>
    <n v="0.72"/>
    <s v="No"/>
    <n v="0"/>
    <n v="14.44"/>
    <n v="14.47"/>
    <n v="-0.03"/>
    <n v="0"/>
  </r>
  <r>
    <s v="ORD-000914"/>
    <s v="C-0495"/>
    <d v="2024-01-28T00:00:00"/>
    <s v="Website"/>
    <s v="Credit Card"/>
    <s v="Southwest"/>
    <n v="3"/>
    <x v="0"/>
    <n v="222.43"/>
    <n v="0"/>
    <n v="0"/>
    <n v="49.82"/>
    <n v="91.05"/>
    <n v="0"/>
    <n v="6.75"/>
    <s v="No"/>
    <n v="0"/>
    <n v="222.43"/>
    <n v="147.62"/>
    <n v="74.81"/>
    <n v="0"/>
  </r>
  <r>
    <s v="ORD-000915"/>
    <s v="C-0666"/>
    <d v="2025-11-19T00:00:00"/>
    <s v="Social Commerce"/>
    <s v="Credit Card"/>
    <s v="Southwest"/>
    <n v="2"/>
    <x v="4"/>
    <n v="178.24"/>
    <n v="10"/>
    <n v="17.82"/>
    <n v="25.48"/>
    <n v="59.17"/>
    <n v="12.83"/>
    <n v="4.95"/>
    <s v="No"/>
    <n v="0"/>
    <n v="160.41999999999999"/>
    <n v="102.43"/>
    <n v="57.99"/>
    <n v="0"/>
  </r>
  <r>
    <s v="ORD-000916"/>
    <s v="C-0554"/>
    <d v="2025-06-16T00:00:00"/>
    <s v="Marketplace"/>
    <s v="PayPal"/>
    <s v="Midwest"/>
    <n v="2"/>
    <x v="5"/>
    <n v="116.6"/>
    <n v="10"/>
    <n v="11.66"/>
    <n v="30.18"/>
    <n v="75.819999999999993"/>
    <n v="15.74"/>
    <n v="3.34"/>
    <s v="No"/>
    <n v="0"/>
    <n v="104.94"/>
    <n v="125.08"/>
    <n v="-20.14"/>
    <n v="0"/>
  </r>
  <r>
    <s v="ORD-000917"/>
    <s v="C-0690"/>
    <d v="2025-05-29T00:00:00"/>
    <s v="Website"/>
    <s v="Credit Card"/>
    <s v="Southeast"/>
    <n v="2"/>
    <x v="6"/>
    <n v="124.02"/>
    <n v="0"/>
    <n v="0"/>
    <n v="38.72"/>
    <n v="49.9"/>
    <n v="0"/>
    <n v="3.9"/>
    <s v="No"/>
    <n v="0"/>
    <n v="124.02"/>
    <n v="92.52"/>
    <n v="31.5"/>
    <n v="0"/>
  </r>
  <r>
    <s v="ORD-000918"/>
    <s v="C-0395"/>
    <d v="2025-10-07T00:00:00"/>
    <s v="Social Commerce"/>
    <s v="Credit Card"/>
    <s v="West Coast"/>
    <n v="3"/>
    <x v="0"/>
    <n v="254.34"/>
    <n v="10"/>
    <n v="25.43"/>
    <n v="60.82"/>
    <n v="119.59"/>
    <n v="18.309999999999999"/>
    <n v="6.94"/>
    <s v="No"/>
    <n v="0"/>
    <n v="228.91"/>
    <n v="205.66"/>
    <n v="23.25"/>
    <n v="0"/>
  </r>
  <r>
    <s v="ORD-000919"/>
    <s v="C-0352"/>
    <d v="2024-11-24T00:00:00"/>
    <s v="Marketplace"/>
    <s v="Credit Card"/>
    <s v="West Coast"/>
    <n v="3"/>
    <x v="6"/>
    <n v="168"/>
    <n v="0"/>
    <n v="0"/>
    <n v="61.56"/>
    <n v="61.98"/>
    <n v="25.2"/>
    <n v="5.17"/>
    <s v="No"/>
    <n v="0"/>
    <n v="168"/>
    <n v="153.91"/>
    <n v="14.09"/>
    <n v="0"/>
  </r>
  <r>
    <s v="ORD-000920"/>
    <s v="C-0666"/>
    <d v="2025-07-25T00:00:00"/>
    <s v="Marketplace"/>
    <s v="Credit Card"/>
    <s v="West Coast"/>
    <n v="1"/>
    <x v="6"/>
    <n v="11.04"/>
    <n v="10"/>
    <n v="1.1000000000000001"/>
    <n v="15.64"/>
    <n v="6.76"/>
    <n v="1.49"/>
    <n v="0.59"/>
    <s v="No"/>
    <n v="0"/>
    <n v="9.94"/>
    <n v="24.48"/>
    <n v="-14.54"/>
    <n v="0"/>
  </r>
  <r>
    <s v="ORD-000921"/>
    <s v="C-0675"/>
    <d v="2025-12-04T00:00:00"/>
    <s v="Website"/>
    <s v="Debit Card"/>
    <s v="Northeast"/>
    <n v="2"/>
    <x v="5"/>
    <n v="146.66"/>
    <n v="0"/>
    <n v="0"/>
    <n v="15.48"/>
    <n v="45.06"/>
    <n v="0"/>
    <n v="4.55"/>
    <s v="No"/>
    <n v="0"/>
    <n v="146.66"/>
    <n v="65.09"/>
    <n v="81.569999999999993"/>
    <n v="0"/>
  </r>
  <r>
    <s v="ORD-000922"/>
    <s v="C-0677"/>
    <d v="2024-05-11T00:00:00"/>
    <s v="Website"/>
    <s v="Credit Card"/>
    <s v="Southwest"/>
    <n v="2"/>
    <x v="7"/>
    <n v="76.03"/>
    <n v="10"/>
    <n v="7.6"/>
    <n v="26.04"/>
    <n v="33.65"/>
    <n v="0"/>
    <n v="2.2799999999999998"/>
    <s v="No"/>
    <n v="0"/>
    <n v="68.430000000000007"/>
    <n v="61.97"/>
    <n v="6.46"/>
    <n v="0"/>
  </r>
  <r>
    <s v="ORD-000923"/>
    <s v="C-0720"/>
    <d v="2025-08-05T00:00:00"/>
    <s v="Mobile App"/>
    <s v="PayPal"/>
    <s v="Southeast"/>
    <n v="2"/>
    <x v="2"/>
    <n v="79.33"/>
    <n v="15"/>
    <n v="11.9"/>
    <n v="22.68"/>
    <n v="36.65"/>
    <n v="0"/>
    <n v="2.2599999999999998"/>
    <s v="No"/>
    <n v="0"/>
    <n v="67.430000000000007"/>
    <n v="61.59"/>
    <n v="5.84"/>
    <n v="0"/>
  </r>
  <r>
    <s v="ORD-000924"/>
    <s v="C-0693"/>
    <d v="2025-01-12T00:00:00"/>
    <s v="Website"/>
    <s v="Credit Card"/>
    <s v="Midwest"/>
    <n v="5"/>
    <x v="1"/>
    <n v="239.79"/>
    <n v="5"/>
    <n v="11.99"/>
    <n v="35.32"/>
    <n v="95.59"/>
    <n v="0"/>
    <n v="6.91"/>
    <s v="No"/>
    <n v="0"/>
    <n v="227.8"/>
    <n v="137.82"/>
    <n v="89.98"/>
    <n v="0"/>
  </r>
  <r>
    <s v="ORD-000925"/>
    <s v="C-0175"/>
    <d v="2025-04-22T00:00:00"/>
    <s v="Social Commerce"/>
    <s v="PayPal"/>
    <s v="Southwest"/>
    <n v="1"/>
    <x v="4"/>
    <n v="59.15"/>
    <n v="0"/>
    <n v="0"/>
    <n v="9.98"/>
    <n v="19.36"/>
    <n v="4.7300000000000004"/>
    <n v="2.02"/>
    <s v="No"/>
    <n v="0"/>
    <n v="59.15"/>
    <n v="36.090000000000003"/>
    <n v="23.06"/>
    <n v="0"/>
  </r>
  <r>
    <s v="ORD-000926"/>
    <s v="C-0163"/>
    <d v="2025-01-15T00:00:00"/>
    <s v="Website"/>
    <s v="PayPal"/>
    <s v="Southeast"/>
    <n v="2"/>
    <x v="3"/>
    <n v="131.44"/>
    <n v="0"/>
    <n v="0"/>
    <n v="22.28"/>
    <n v="55.67"/>
    <n v="0"/>
    <n v="4.1100000000000003"/>
    <s v="No"/>
    <n v="0"/>
    <n v="131.44"/>
    <n v="82.06"/>
    <n v="49.38"/>
    <n v="0"/>
  </r>
  <r>
    <s v="ORD-000927"/>
    <s v="C-0629"/>
    <d v="2025-08-02T00:00:00"/>
    <s v="Marketplace"/>
    <s v="Credit Card"/>
    <s v="Southeast"/>
    <n v="1"/>
    <x v="5"/>
    <n v="106.92"/>
    <n v="0"/>
    <n v="0"/>
    <n v="39.54"/>
    <n v="31.32"/>
    <n v="16.04"/>
    <n v="3.4"/>
    <s v="No"/>
    <n v="0"/>
    <n v="106.92"/>
    <n v="90.3"/>
    <n v="16.62"/>
    <n v="0"/>
  </r>
  <r>
    <s v="ORD-000928"/>
    <s v="C-0077"/>
    <d v="2024-10-06T00:00:00"/>
    <s v="Marketplace"/>
    <s v="Credit Card"/>
    <s v="Midwest"/>
    <n v="1"/>
    <x v="3"/>
    <n v="69.38"/>
    <n v="15"/>
    <n v="10.41"/>
    <n v="14.3"/>
    <n v="27.03"/>
    <n v="8.85"/>
    <n v="2.0099999999999998"/>
    <s v="No"/>
    <n v="0"/>
    <n v="58.97"/>
    <n v="52.19"/>
    <n v="6.78"/>
    <n v="0"/>
  </r>
  <r>
    <s v="ORD-000929"/>
    <s v="C-0066"/>
    <d v="2025-08-01T00:00:00"/>
    <s v="Mobile App"/>
    <s v="Credit Card"/>
    <s v="Southwest"/>
    <n v="2"/>
    <x v="3"/>
    <n v="217.38"/>
    <n v="0"/>
    <n v="0"/>
    <n v="8.6"/>
    <n v="76.37"/>
    <n v="0"/>
    <n v="6.6"/>
    <s v="No"/>
    <n v="0"/>
    <n v="217.38"/>
    <n v="91.57"/>
    <n v="125.81"/>
    <n v="0"/>
  </r>
  <r>
    <s v="ORD-000930"/>
    <s v="C-0772"/>
    <d v="2025-01-24T00:00:00"/>
    <s v="Mobile App"/>
    <s v="PayPal"/>
    <s v="Southeast"/>
    <n v="3"/>
    <x v="0"/>
    <n v="338"/>
    <n v="5"/>
    <n v="16.899999999999999"/>
    <n v="33.14"/>
    <n v="117.26"/>
    <n v="0"/>
    <n v="9.61"/>
    <s v="No"/>
    <n v="0"/>
    <n v="321.10000000000002"/>
    <n v="160.01"/>
    <n v="161.09"/>
    <n v="0"/>
  </r>
  <r>
    <s v="ORD-000931"/>
    <s v="C-0665"/>
    <d v="2024-08-16T00:00:00"/>
    <s v="Website"/>
    <s v="PayPal"/>
    <s v="Northeast"/>
    <n v="3"/>
    <x v="6"/>
    <n v="99.77"/>
    <n v="0"/>
    <n v="0"/>
    <n v="44.88"/>
    <n v="47.99"/>
    <n v="0"/>
    <n v="3.19"/>
    <s v="No"/>
    <n v="0"/>
    <n v="99.77"/>
    <n v="96.06"/>
    <n v="3.71"/>
    <n v="0"/>
  </r>
  <r>
    <s v="ORD-000932"/>
    <s v="C-0156"/>
    <d v="2025-06-28T00:00:00"/>
    <s v="Marketplace"/>
    <s v="Debit Card"/>
    <s v="Northeast"/>
    <n v="2"/>
    <x v="4"/>
    <n v="102.88"/>
    <n v="15"/>
    <n v="15.43"/>
    <n v="25.78"/>
    <n v="42.07"/>
    <n v="13.12"/>
    <n v="2.84"/>
    <s v="No"/>
    <n v="0"/>
    <n v="87.45"/>
    <n v="83.81"/>
    <n v="3.64"/>
    <n v="0"/>
  </r>
  <r>
    <s v="ORD-000933"/>
    <s v="C-0165"/>
    <d v="2025-02-15T00:00:00"/>
    <s v="Mobile App"/>
    <s v="Buy Now Pay Later"/>
    <s v="Southwest"/>
    <n v="1"/>
    <x v="6"/>
    <n v="33.6"/>
    <n v="20"/>
    <n v="6.72"/>
    <n v="8.2799999999999994"/>
    <n v="16.5"/>
    <n v="0"/>
    <n v="1.08"/>
    <s v="No"/>
    <n v="0"/>
    <n v="26.88"/>
    <n v="25.86"/>
    <n v="1.02"/>
    <n v="0"/>
  </r>
  <r>
    <s v="ORD-000934"/>
    <s v="C-0589"/>
    <d v="2024-02-05T00:00:00"/>
    <s v="Website"/>
    <s v="PayPal"/>
    <s v="Southeast"/>
    <n v="1"/>
    <x v="3"/>
    <n v="29.59"/>
    <n v="15"/>
    <n v="4.4400000000000004"/>
    <n v="4.7"/>
    <n v="12.42"/>
    <n v="0"/>
    <n v="1.03"/>
    <s v="No"/>
    <n v="0"/>
    <n v="25.15"/>
    <n v="18.149999999999999"/>
    <n v="7"/>
    <n v="0"/>
  </r>
  <r>
    <s v="ORD-000935"/>
    <s v="C-0133"/>
    <d v="2025-02-27T00:00:00"/>
    <s v="Website"/>
    <s v="Debit Card"/>
    <s v="West Coast"/>
    <n v="1"/>
    <x v="2"/>
    <n v="69.12"/>
    <n v="10"/>
    <n v="6.91"/>
    <n v="9.1"/>
    <n v="20.88"/>
    <n v="0"/>
    <n v="2.1"/>
    <s v="No"/>
    <n v="0"/>
    <n v="62.21"/>
    <n v="32.08"/>
    <n v="30.13"/>
    <n v="0"/>
  </r>
  <r>
    <s v="ORD-000936"/>
    <s v="C-0257"/>
    <d v="2024-11-01T00:00:00"/>
    <s v="Social Commerce"/>
    <s v="Debit Card"/>
    <s v="West Coast"/>
    <n v="1"/>
    <x v="6"/>
    <n v="33.6"/>
    <n v="0"/>
    <n v="0"/>
    <n v="8.2799999999999994"/>
    <n v="16.5"/>
    <n v="2.69"/>
    <n v="1.27"/>
    <s v="No"/>
    <n v="0"/>
    <n v="33.6"/>
    <n v="28.74"/>
    <n v="4.8600000000000003"/>
    <n v="0"/>
  </r>
  <r>
    <s v="ORD-000937"/>
    <s v="C-0617"/>
    <d v="2025-07-27T00:00:00"/>
    <s v="Mobile App"/>
    <s v="Gift Card"/>
    <s v="Southwest"/>
    <n v="3"/>
    <x v="0"/>
    <n v="127.74"/>
    <n v="0"/>
    <n v="0"/>
    <n v="24.82"/>
    <n v="57.35"/>
    <n v="0"/>
    <n v="4"/>
    <s v="No"/>
    <n v="0"/>
    <n v="127.74"/>
    <n v="86.17"/>
    <n v="41.57"/>
    <n v="0"/>
  </r>
  <r>
    <s v="ORD-000938"/>
    <s v="C-0573"/>
    <d v="2025-12-23T00:00:00"/>
    <s v="Marketplace"/>
    <s v="Credit Card"/>
    <s v="Midwest"/>
    <n v="1"/>
    <x v="0"/>
    <n v="68.98"/>
    <n v="20"/>
    <n v="13.8"/>
    <n v="14.54"/>
    <n v="25.39"/>
    <n v="8.2799999999999994"/>
    <n v="1.9"/>
    <s v="No"/>
    <n v="0"/>
    <n v="55.18"/>
    <n v="50.11"/>
    <n v="5.07"/>
    <n v="0"/>
  </r>
  <r>
    <s v="ORD-000939"/>
    <s v="C-0580"/>
    <d v="2025-01-18T00:00:00"/>
    <s v="Social Commerce"/>
    <s v="Credit Card"/>
    <s v="West Coast"/>
    <n v="1"/>
    <x v="4"/>
    <n v="7.77"/>
    <n v="0"/>
    <n v="0"/>
    <n v="4.7"/>
    <n v="4.58"/>
    <n v="0.62"/>
    <n v="0.53"/>
    <s v="No"/>
    <n v="0"/>
    <n v="7.77"/>
    <n v="10.43"/>
    <n v="-2.66"/>
    <n v="0"/>
  </r>
  <r>
    <s v="ORD-000940"/>
    <s v="C-0116"/>
    <d v="2025-03-19T00:00:00"/>
    <s v="Website"/>
    <s v="PayPal"/>
    <s v="Southwest"/>
    <n v="2"/>
    <x v="6"/>
    <n v="37.729999999999997"/>
    <n v="15"/>
    <n v="5.66"/>
    <n v="30.82"/>
    <n v="13.94"/>
    <n v="0"/>
    <n v="1.23"/>
    <s v="No"/>
    <n v="0"/>
    <n v="32.07"/>
    <n v="45.99"/>
    <n v="-13.92"/>
    <n v="0"/>
  </r>
  <r>
    <s v="ORD-000941"/>
    <s v="C-0594"/>
    <d v="2025-04-01T00:00:00"/>
    <s v="Website"/>
    <s v="Credit Card"/>
    <s v="Midwest"/>
    <n v="2"/>
    <x v="7"/>
    <n v="261.98"/>
    <n v="10"/>
    <n v="26.2"/>
    <n v="27.78"/>
    <n v="90.32"/>
    <n v="0"/>
    <n v="7.14"/>
    <s v="No"/>
    <n v="0"/>
    <n v="235.78"/>
    <n v="125.24"/>
    <n v="110.54"/>
    <n v="0"/>
  </r>
  <r>
    <s v="ORD-000942"/>
    <s v="C-0582"/>
    <d v="2025-06-25T00:00:00"/>
    <s v="Social Commerce"/>
    <s v="Buy Now Pay Later"/>
    <s v="Southwest"/>
    <n v="1"/>
    <x v="4"/>
    <n v="89.1"/>
    <n v="25"/>
    <n v="22.27"/>
    <n v="6.78"/>
    <n v="32.549999999999997"/>
    <n v="5.35"/>
    <n v="2.2400000000000002"/>
    <s v="No"/>
    <n v="0"/>
    <n v="66.83"/>
    <n v="46.92"/>
    <n v="19.91"/>
    <n v="0"/>
  </r>
  <r>
    <s v="ORD-000943"/>
    <s v="C-0012"/>
    <d v="2025-12-19T00:00:00"/>
    <s v="Website"/>
    <s v="Buy Now Pay Later"/>
    <s v="West Coast"/>
    <n v="4"/>
    <x v="6"/>
    <n v="293.79000000000002"/>
    <n v="25"/>
    <n v="73.45"/>
    <n v="81.180000000000007"/>
    <n v="96.76"/>
    <n v="0"/>
    <n v="6.69"/>
    <s v="Yes"/>
    <n v="220.34"/>
    <n v="0"/>
    <n v="184.63"/>
    <n v="-184.63"/>
    <n v="0"/>
  </r>
  <r>
    <s v="ORD-000944"/>
    <s v="C-0076"/>
    <d v="2024-10-16T00:00:00"/>
    <s v="Social Commerce"/>
    <s v="PayPal"/>
    <s v="Southeast"/>
    <n v="2"/>
    <x v="2"/>
    <n v="51.66"/>
    <n v="0"/>
    <n v="0"/>
    <n v="13.32"/>
    <n v="17.52"/>
    <n v="4.13"/>
    <n v="1.8"/>
    <s v="No"/>
    <n v="0"/>
    <n v="51.66"/>
    <n v="36.770000000000003"/>
    <n v="14.89"/>
    <n v="0"/>
  </r>
  <r>
    <s v="ORD-000945"/>
    <s v="C-0681"/>
    <d v="2024-11-28T00:00:00"/>
    <s v="Mobile App"/>
    <s v="PayPal"/>
    <s v="Midwest"/>
    <n v="1"/>
    <x v="2"/>
    <n v="39.9"/>
    <n v="5"/>
    <n v="2"/>
    <n v="8.92"/>
    <n v="13.66"/>
    <n v="0"/>
    <n v="1.4"/>
    <s v="No"/>
    <n v="0"/>
    <n v="37.9"/>
    <n v="23.98"/>
    <n v="13.92"/>
    <n v="1"/>
  </r>
  <r>
    <s v="ORD-000946"/>
    <s v="C-0077"/>
    <d v="2025-04-02T00:00:00"/>
    <s v="Mobile App"/>
    <s v="Buy Now Pay Later"/>
    <s v="Midwest"/>
    <n v="1"/>
    <x v="7"/>
    <n v="309.44"/>
    <n v="5"/>
    <n v="15.47"/>
    <n v="23"/>
    <n v="95.1"/>
    <n v="0"/>
    <n v="8.83"/>
    <s v="No"/>
    <n v="0"/>
    <n v="293.97000000000003"/>
    <n v="126.93"/>
    <n v="167.04"/>
    <n v="0"/>
  </r>
  <r>
    <s v="ORD-000947"/>
    <s v="C-0331"/>
    <d v="2025-06-28T00:00:00"/>
    <s v="Mobile App"/>
    <s v="Debit Card"/>
    <s v="Southwest"/>
    <n v="3"/>
    <x v="4"/>
    <n v="199.91"/>
    <n v="0"/>
    <n v="0"/>
    <n v="42.48"/>
    <n v="81.98"/>
    <n v="0"/>
    <n v="6.1"/>
    <s v="No"/>
    <n v="0"/>
    <n v="199.91"/>
    <n v="130.56"/>
    <n v="69.349999999999994"/>
    <n v="0"/>
  </r>
  <r>
    <s v="ORD-000948"/>
    <s v="C-0549"/>
    <d v="2025-10-11T00:00:00"/>
    <s v="Mobile App"/>
    <s v="Credit Card"/>
    <s v="Southeast"/>
    <n v="1"/>
    <x v="1"/>
    <n v="24.02"/>
    <n v="25"/>
    <n v="6"/>
    <n v="3.98"/>
    <n v="10.75"/>
    <n v="0"/>
    <n v="0.82"/>
    <s v="No"/>
    <n v="0"/>
    <n v="18.02"/>
    <n v="15.55"/>
    <n v="2.4700000000000002"/>
    <n v="0"/>
  </r>
  <r>
    <s v="ORD-000949"/>
    <s v="C-0592"/>
    <d v="2025-07-17T00:00:00"/>
    <s v="Website"/>
    <s v="Credit Card"/>
    <s v="Midwest"/>
    <n v="1"/>
    <x v="1"/>
    <n v="24.02"/>
    <n v="10"/>
    <n v="2.4"/>
    <n v="3.98"/>
    <n v="10.75"/>
    <n v="0"/>
    <n v="0.93"/>
    <s v="No"/>
    <n v="0"/>
    <n v="21.62"/>
    <n v="15.66"/>
    <n v="5.96"/>
    <n v="0"/>
  </r>
  <r>
    <s v="ORD-000950"/>
    <s v="C-0687"/>
    <d v="2025-09-21T00:00:00"/>
    <s v="Website"/>
    <s v="Gift Card"/>
    <s v="Northeast"/>
    <n v="1"/>
    <x v="2"/>
    <n v="10.050000000000001"/>
    <n v="0"/>
    <n v="0"/>
    <n v="9.18"/>
    <n v="6.91"/>
    <n v="0"/>
    <n v="0.59"/>
    <s v="Yes"/>
    <n v="10.050000000000001"/>
    <n v="0"/>
    <n v="16.68"/>
    <n v="-16.68"/>
    <n v="0"/>
  </r>
  <r>
    <s v="ORD-000951"/>
    <s v="C-0631"/>
    <d v="2024-12-30T00:00:00"/>
    <s v="Marketplace"/>
    <s v="Debit Card"/>
    <s v="West Coast"/>
    <n v="1"/>
    <x v="2"/>
    <n v="14.74"/>
    <n v="10"/>
    <n v="1.47"/>
    <n v="5.58"/>
    <n v="4.57"/>
    <n v="1.99"/>
    <n v="0.68"/>
    <s v="No"/>
    <n v="0"/>
    <n v="13.27"/>
    <n v="12.82"/>
    <n v="0.45"/>
    <n v="0"/>
  </r>
  <r>
    <s v="ORD-000952"/>
    <s v="C-0230"/>
    <d v="2025-03-05T00:00:00"/>
    <s v="Mobile App"/>
    <s v="Credit Card"/>
    <s v="Northeast"/>
    <n v="1"/>
    <x v="4"/>
    <n v="50.16"/>
    <n v="20"/>
    <n v="10.029999999999999"/>
    <n v="15.1"/>
    <n v="23.95"/>
    <n v="0"/>
    <n v="1.46"/>
    <s v="Yes"/>
    <n v="40.130000000000003"/>
    <n v="0"/>
    <n v="40.51"/>
    <n v="-40.51"/>
    <n v="1"/>
  </r>
  <r>
    <s v="ORD-000953"/>
    <s v="C-0435"/>
    <d v="2025-02-25T00:00:00"/>
    <s v="Website"/>
    <s v="PayPal"/>
    <s v="Southeast"/>
    <n v="2"/>
    <x v="4"/>
    <n v="97.73"/>
    <n v="25"/>
    <n v="24.43"/>
    <n v="17.48"/>
    <n v="32.33"/>
    <n v="0"/>
    <n v="2.4300000000000002"/>
    <s v="No"/>
    <n v="0"/>
    <n v="73.3"/>
    <n v="52.24"/>
    <n v="21.06"/>
    <n v="0"/>
  </r>
  <r>
    <s v="ORD-000954"/>
    <s v="C-0089"/>
    <d v="2025-09-08T00:00:00"/>
    <s v="Website"/>
    <s v="Debit Card"/>
    <s v="Southeast"/>
    <n v="1"/>
    <x v="1"/>
    <n v="24.02"/>
    <n v="0"/>
    <n v="0"/>
    <n v="3.98"/>
    <n v="10.75"/>
    <n v="0"/>
    <n v="1"/>
    <s v="No"/>
    <n v="0"/>
    <n v="24.02"/>
    <n v="15.73"/>
    <n v="8.2899999999999991"/>
    <n v="1"/>
  </r>
  <r>
    <s v="ORD-000955"/>
    <s v="C-0472"/>
    <d v="2024-10-25T00:00:00"/>
    <s v="Mobile App"/>
    <s v="Credit Card"/>
    <s v="West Coast"/>
    <n v="1"/>
    <x v="5"/>
    <n v="28.96"/>
    <n v="5"/>
    <n v="1.45"/>
    <n v="9.02"/>
    <n v="8.3000000000000007"/>
    <n v="0"/>
    <n v="1.1000000000000001"/>
    <s v="No"/>
    <n v="0"/>
    <n v="27.51"/>
    <n v="18.420000000000002"/>
    <n v="9.09"/>
    <n v="0"/>
  </r>
  <r>
    <s v="ORD-000956"/>
    <s v="C-0458"/>
    <d v="2024-04-14T00:00:00"/>
    <s v="Website"/>
    <s v="Credit Card"/>
    <s v="Southeast"/>
    <n v="2"/>
    <x v="1"/>
    <n v="36.83"/>
    <n v="15"/>
    <n v="5.52"/>
    <n v="19.8"/>
    <n v="14.82"/>
    <n v="0"/>
    <n v="1.21"/>
    <s v="No"/>
    <n v="0"/>
    <n v="31.31"/>
    <n v="35.83"/>
    <n v="-4.5199999999999996"/>
    <n v="0"/>
  </r>
  <r>
    <s v="ORD-000957"/>
    <s v="C-0712"/>
    <d v="2024-11-27T00:00:00"/>
    <s v="Social Commerce"/>
    <s v="Credit Card"/>
    <s v="Southwest"/>
    <n v="1"/>
    <x v="4"/>
    <n v="95.89"/>
    <n v="0"/>
    <n v="0"/>
    <n v="9.34"/>
    <n v="27.4"/>
    <n v="7.67"/>
    <n v="3.08"/>
    <s v="No"/>
    <n v="0"/>
    <n v="95.89"/>
    <n v="47.49"/>
    <n v="48.4"/>
    <n v="0"/>
  </r>
  <r>
    <s v="ORD-000958"/>
    <s v="C-0551"/>
    <d v="2024-10-02T00:00:00"/>
    <s v="Mobile App"/>
    <s v="Credit Card"/>
    <s v="West Coast"/>
    <n v="1"/>
    <x v="3"/>
    <n v="34.799999999999997"/>
    <n v="0"/>
    <n v="0"/>
    <n v="24.6"/>
    <n v="14.46"/>
    <n v="0"/>
    <n v="1.31"/>
    <s v="No"/>
    <n v="0"/>
    <n v="34.799999999999997"/>
    <n v="40.369999999999997"/>
    <n v="-5.57"/>
    <n v="0"/>
  </r>
  <r>
    <s v="ORD-000959"/>
    <s v="C-0201"/>
    <d v="2025-12-08T00:00:00"/>
    <s v="Mobile App"/>
    <s v="PayPal"/>
    <s v="Southeast"/>
    <n v="2"/>
    <x v="2"/>
    <n v="247.18"/>
    <n v="0"/>
    <n v="0"/>
    <n v="34.74"/>
    <n v="76.13"/>
    <n v="0"/>
    <n v="7.47"/>
    <s v="No"/>
    <n v="0"/>
    <n v="247.18"/>
    <n v="118.34"/>
    <n v="128.84"/>
    <n v="0"/>
  </r>
  <r>
    <s v="ORD-000960"/>
    <s v="C-0462"/>
    <d v="2025-07-25T00:00:00"/>
    <s v="Website"/>
    <s v="PayPal"/>
    <s v="Midwest"/>
    <n v="4"/>
    <x v="4"/>
    <n v="329.65"/>
    <n v="0"/>
    <n v="0"/>
    <n v="44.56"/>
    <n v="113.49"/>
    <n v="0"/>
    <n v="9.86"/>
    <s v="No"/>
    <n v="0"/>
    <n v="329.65"/>
    <n v="167.91"/>
    <n v="161.74"/>
    <n v="0"/>
  </r>
  <r>
    <s v="ORD-000961"/>
    <s v="C-0396"/>
    <d v="2025-09-22T00:00:00"/>
    <s v="Marketplace"/>
    <s v="Buy Now Pay Later"/>
    <s v="Southeast"/>
    <n v="1"/>
    <x v="5"/>
    <n v="54.32"/>
    <n v="0"/>
    <n v="0"/>
    <n v="22.68"/>
    <n v="27.28"/>
    <n v="8.15"/>
    <n v="1.88"/>
    <s v="No"/>
    <n v="0"/>
    <n v="54.32"/>
    <n v="59.99"/>
    <n v="-5.67"/>
    <n v="0"/>
  </r>
  <r>
    <s v="ORD-000962"/>
    <s v="C-0611"/>
    <d v="2025-10-10T00:00:00"/>
    <s v="Website"/>
    <s v="Debit Card"/>
    <s v="West Coast"/>
    <n v="1"/>
    <x v="7"/>
    <n v="115.01"/>
    <n v="15"/>
    <n v="17.25"/>
    <n v="13.18"/>
    <n v="35.49"/>
    <n v="0"/>
    <n v="3.14"/>
    <s v="No"/>
    <n v="0"/>
    <n v="97.76"/>
    <n v="51.81"/>
    <n v="45.95"/>
    <n v="0"/>
  </r>
  <r>
    <s v="ORD-000963"/>
    <s v="C-0086"/>
    <d v="2024-08-21T00:00:00"/>
    <s v="Social Commerce"/>
    <s v="Credit Card"/>
    <s v="Southeast"/>
    <n v="4"/>
    <x v="6"/>
    <n v="329.37"/>
    <n v="10"/>
    <n v="32.94"/>
    <n v="37.4"/>
    <n v="121"/>
    <n v="23.71"/>
    <n v="8.9"/>
    <s v="Yes"/>
    <n v="296.43"/>
    <n v="0"/>
    <n v="191.01"/>
    <n v="-191.01"/>
    <n v="0"/>
  </r>
  <r>
    <s v="ORD-000964"/>
    <s v="C-0147"/>
    <d v="2025-12-12T00:00:00"/>
    <s v="Mobile App"/>
    <s v="PayPal"/>
    <s v="Midwest"/>
    <n v="1"/>
    <x v="4"/>
    <n v="37.86"/>
    <n v="0"/>
    <n v="0"/>
    <n v="9.02"/>
    <n v="26.84"/>
    <n v="0"/>
    <n v="1.4"/>
    <s v="No"/>
    <n v="0"/>
    <n v="37.86"/>
    <n v="37.26"/>
    <n v="0.6"/>
    <n v="0"/>
  </r>
  <r>
    <s v="ORD-000965"/>
    <s v="C-0225"/>
    <d v="2025-05-26T00:00:00"/>
    <s v="Marketplace"/>
    <s v="Credit Card"/>
    <s v="Northeast"/>
    <n v="3"/>
    <x v="7"/>
    <n v="123.91"/>
    <n v="0"/>
    <n v="0"/>
    <n v="33.76"/>
    <n v="63.47"/>
    <n v="18.59"/>
    <n v="3.89"/>
    <s v="No"/>
    <n v="0"/>
    <n v="123.91"/>
    <n v="119.71"/>
    <n v="4.2"/>
    <n v="1"/>
  </r>
  <r>
    <s v="ORD-000966"/>
    <s v="C-0099"/>
    <d v="2025-02-26T00:00:00"/>
    <s v="Website"/>
    <s v="PayPal"/>
    <s v="Northeast"/>
    <n v="1"/>
    <x v="2"/>
    <n v="124.51"/>
    <n v="0"/>
    <n v="0"/>
    <n v="5.98"/>
    <n v="38.53"/>
    <n v="0"/>
    <n v="3.91"/>
    <s v="Yes"/>
    <n v="124.51"/>
    <n v="0"/>
    <n v="48.42"/>
    <n v="-48.42"/>
    <n v="0"/>
  </r>
  <r>
    <s v="ORD-000967"/>
    <s v="C-0561"/>
    <d v="2025-06-04T00:00:00"/>
    <s v="Social Commerce"/>
    <s v="Credit Card"/>
    <s v="Southwest"/>
    <n v="4"/>
    <x v="0"/>
    <n v="166.54"/>
    <n v="20"/>
    <n v="33.31"/>
    <n v="63.26"/>
    <n v="72.11"/>
    <n v="10.66"/>
    <n v="4.16"/>
    <s v="No"/>
    <n v="0"/>
    <n v="133.22999999999999"/>
    <n v="150.19"/>
    <n v="-16.96"/>
    <n v="0"/>
  </r>
  <r>
    <s v="ORD-000968"/>
    <s v="C-0306"/>
    <d v="2025-04-06T00:00:00"/>
    <s v="Website"/>
    <s v="Gift Card"/>
    <s v="Southeast"/>
    <n v="4"/>
    <x v="1"/>
    <n v="266.83999999999997"/>
    <n v="25"/>
    <n v="66.709999999999994"/>
    <n v="51.1"/>
    <n v="109.91"/>
    <n v="0"/>
    <n v="6.1"/>
    <s v="No"/>
    <n v="0"/>
    <n v="200.13"/>
    <n v="167.11"/>
    <n v="33.020000000000003"/>
    <n v="1"/>
  </r>
  <r>
    <s v="ORD-000969"/>
    <s v="C-0371"/>
    <d v="2025-04-16T00:00:00"/>
    <s v="Website"/>
    <s v="Credit Card"/>
    <s v="Southwest"/>
    <n v="1"/>
    <x v="6"/>
    <n v="6.98"/>
    <n v="0"/>
    <n v="0"/>
    <n v="20.76"/>
    <n v="4.34"/>
    <n v="0"/>
    <n v="0.5"/>
    <s v="No"/>
    <n v="0"/>
    <n v="6.98"/>
    <n v="25.6"/>
    <n v="-18.62"/>
    <n v="0"/>
  </r>
  <r>
    <s v="ORD-000970"/>
    <s v="C-0705"/>
    <d v="2025-03-25T00:00:00"/>
    <s v="Mobile App"/>
    <s v="Credit Card"/>
    <s v="West Coast"/>
    <n v="2"/>
    <x v="3"/>
    <n v="71.44"/>
    <n v="0"/>
    <n v="0"/>
    <n v="16.579999999999998"/>
    <n v="36.6"/>
    <n v="0"/>
    <n v="2.37"/>
    <s v="No"/>
    <n v="0"/>
    <n v="71.44"/>
    <n v="55.55"/>
    <n v="15.89"/>
    <n v="0"/>
  </r>
  <r>
    <s v="ORD-000971"/>
    <s v="C-0130"/>
    <d v="2024-11-24T00:00:00"/>
    <s v="Mobile App"/>
    <s v="Buy Now Pay Later"/>
    <s v="West Coast"/>
    <n v="4"/>
    <x v="0"/>
    <n v="224.07"/>
    <n v="5"/>
    <n v="11.2"/>
    <n v="50.06"/>
    <n v="91.37"/>
    <n v="0"/>
    <n v="6.47"/>
    <s v="No"/>
    <n v="0"/>
    <n v="212.87"/>
    <n v="147.9"/>
    <n v="64.97"/>
    <n v="0"/>
  </r>
  <r>
    <s v="ORD-000972"/>
    <s v="C-0058"/>
    <d v="2025-05-04T00:00:00"/>
    <s v="Website"/>
    <s v="PayPal"/>
    <s v="West Coast"/>
    <n v="1"/>
    <x v="3"/>
    <n v="121.03"/>
    <n v="0"/>
    <n v="0"/>
    <n v="4.78"/>
    <n v="37.76"/>
    <n v="0"/>
    <n v="3.81"/>
    <s v="No"/>
    <n v="0"/>
    <n v="121.03"/>
    <n v="46.35"/>
    <n v="74.680000000000007"/>
    <n v="0"/>
  </r>
  <r>
    <s v="ORD-000973"/>
    <s v="C-0008"/>
    <d v="2025-02-10T00:00:00"/>
    <s v="Mobile App"/>
    <s v="Debit Card"/>
    <s v="Southwest"/>
    <n v="1"/>
    <x v="2"/>
    <n v="40.89"/>
    <n v="10"/>
    <n v="4.09"/>
    <n v="7.18"/>
    <n v="11.78"/>
    <n v="0"/>
    <n v="1.37"/>
    <s v="No"/>
    <n v="0"/>
    <n v="36.799999999999997"/>
    <n v="20.329999999999998"/>
    <n v="16.47"/>
    <n v="0"/>
  </r>
  <r>
    <s v="ORD-000974"/>
    <s v="C-0304"/>
    <d v="2025-04-22T00:00:00"/>
    <s v="Marketplace"/>
    <s v="Debit Card"/>
    <s v="Midwest"/>
    <n v="2"/>
    <x v="0"/>
    <n v="531"/>
    <n v="25"/>
    <n v="132.75"/>
    <n v="37.700000000000003"/>
    <n v="170.82"/>
    <n v="59.74"/>
    <n v="11.85"/>
    <s v="No"/>
    <n v="0"/>
    <n v="398.25"/>
    <n v="280.11"/>
    <n v="118.14"/>
    <n v="0"/>
  </r>
  <r>
    <s v="ORD-000975"/>
    <s v="C-0316"/>
    <d v="2025-07-26T00:00:00"/>
    <s v="Website"/>
    <s v="Debit Card"/>
    <s v="Midwest"/>
    <n v="3"/>
    <x v="6"/>
    <n v="91.42"/>
    <n v="0"/>
    <n v="0"/>
    <n v="35.86"/>
    <n v="49.98"/>
    <n v="0"/>
    <n v="2.95"/>
    <s v="No"/>
    <n v="0"/>
    <n v="91.42"/>
    <n v="88.79"/>
    <n v="2.63"/>
    <n v="0"/>
  </r>
  <r>
    <s v="ORD-000976"/>
    <s v="C-0059"/>
    <d v="2025-09-17T00:00:00"/>
    <s v="Marketplace"/>
    <s v="Debit Card"/>
    <s v="Midwest"/>
    <n v="2"/>
    <x v="0"/>
    <n v="66.66"/>
    <n v="0"/>
    <n v="0"/>
    <n v="36.979999999999997"/>
    <n v="43.3"/>
    <n v="10"/>
    <n v="2.23"/>
    <s v="No"/>
    <n v="0"/>
    <n v="66.66"/>
    <n v="92.51"/>
    <n v="-25.85"/>
    <n v="0"/>
  </r>
  <r>
    <s v="ORD-000977"/>
    <s v="C-0061"/>
    <d v="2025-07-16T00:00:00"/>
    <s v="Mobile App"/>
    <s v="Gift Card"/>
    <s v="Southwest"/>
    <n v="2"/>
    <x v="5"/>
    <n v="108.67"/>
    <n v="0"/>
    <n v="0"/>
    <n v="20.04"/>
    <n v="44.03"/>
    <n v="0"/>
    <n v="3.45"/>
    <s v="No"/>
    <n v="0"/>
    <n v="108.67"/>
    <n v="67.52"/>
    <n v="41.15"/>
    <n v="0"/>
  </r>
  <r>
    <s v="ORD-000978"/>
    <s v="C-0249"/>
    <d v="2025-06-05T00:00:00"/>
    <s v="Marketplace"/>
    <s v="Buy Now Pay Later"/>
    <s v="West Coast"/>
    <n v="3"/>
    <x v="3"/>
    <n v="209.24"/>
    <n v="20"/>
    <n v="41.85"/>
    <n v="49.42"/>
    <n v="73.819999999999993"/>
    <n v="25.11"/>
    <n v="5.15"/>
    <s v="No"/>
    <n v="0"/>
    <n v="167.39"/>
    <n v="153.5"/>
    <n v="13.89"/>
    <n v="0"/>
  </r>
  <r>
    <s v="ORD-000979"/>
    <s v="C-0626"/>
    <d v="2025-03-08T00:00:00"/>
    <s v="Mobile App"/>
    <s v="Credit Card"/>
    <s v="Southeast"/>
    <n v="2"/>
    <x v="4"/>
    <n v="268.27"/>
    <n v="0"/>
    <n v="0"/>
    <n v="26.88"/>
    <n v="120.41"/>
    <n v="0"/>
    <n v="8.08"/>
    <s v="No"/>
    <n v="0"/>
    <n v="268.27"/>
    <n v="155.37"/>
    <n v="112.9"/>
    <n v="0"/>
  </r>
  <r>
    <s v="ORD-000980"/>
    <s v="C-0158"/>
    <d v="2024-12-28T00:00:00"/>
    <s v="Website"/>
    <s v="Credit Card"/>
    <s v="Midwest"/>
    <n v="1"/>
    <x v="2"/>
    <n v="82.29"/>
    <n v="0"/>
    <n v="0"/>
    <n v="13.02"/>
    <n v="37.65"/>
    <n v="0"/>
    <n v="2.69"/>
    <s v="No"/>
    <n v="0"/>
    <n v="82.29"/>
    <n v="53.36"/>
    <n v="28.93"/>
    <n v="0"/>
  </r>
  <r>
    <s v="ORD-000981"/>
    <s v="C-0795"/>
    <d v="2025-03-28T00:00:00"/>
    <s v="Mobile App"/>
    <s v="Gift Card"/>
    <s v="Northeast"/>
    <n v="2"/>
    <x v="0"/>
    <n v="104.71"/>
    <n v="15"/>
    <n v="15.71"/>
    <n v="8.52"/>
    <n v="31.93"/>
    <n v="0"/>
    <n v="2.88"/>
    <s v="Yes"/>
    <n v="89"/>
    <n v="0"/>
    <n v="43.33"/>
    <n v="-43.33"/>
    <n v="0"/>
  </r>
  <r>
    <s v="ORD-000982"/>
    <s v="C-0712"/>
    <d v="2025-03-08T00:00:00"/>
    <s v="Marketplace"/>
    <s v="Buy Now Pay Later"/>
    <s v="Midwest"/>
    <n v="2"/>
    <x v="3"/>
    <n v="125.24"/>
    <n v="0"/>
    <n v="0"/>
    <n v="23.56"/>
    <n v="61.82"/>
    <n v="18.79"/>
    <n v="3.93"/>
    <s v="No"/>
    <n v="0"/>
    <n v="125.24"/>
    <n v="108.1"/>
    <n v="17.14"/>
    <n v="0"/>
  </r>
  <r>
    <s v="ORD-000983"/>
    <s v="C-0286"/>
    <d v="2025-02-09T00:00:00"/>
    <s v="Website"/>
    <s v="Buy Now Pay Later"/>
    <s v="West Coast"/>
    <n v="2"/>
    <x v="3"/>
    <n v="61.13"/>
    <n v="20"/>
    <n v="12.23"/>
    <n v="18.760000000000002"/>
    <n v="25.22"/>
    <n v="0"/>
    <n v="1.72"/>
    <s v="No"/>
    <n v="0"/>
    <n v="48.9"/>
    <n v="45.7"/>
    <n v="3.2"/>
    <n v="1"/>
  </r>
  <r>
    <s v="ORD-000984"/>
    <s v="C-0015"/>
    <d v="2025-08-18T00:00:00"/>
    <s v="Mobile App"/>
    <s v="Credit Card"/>
    <s v="West Coast"/>
    <n v="1"/>
    <x v="6"/>
    <n v="16.190000000000001"/>
    <n v="0"/>
    <n v="0"/>
    <n v="14.7"/>
    <n v="5.89"/>
    <n v="0"/>
    <n v="0.77"/>
    <s v="No"/>
    <n v="0"/>
    <n v="16.190000000000001"/>
    <n v="21.36"/>
    <n v="-5.17"/>
    <n v="0"/>
  </r>
  <r>
    <s v="ORD-000985"/>
    <s v="C-0476"/>
    <d v="2025-04-10T00:00:00"/>
    <s v="Mobile App"/>
    <s v="PayPal"/>
    <s v="Southwest"/>
    <n v="3"/>
    <x v="5"/>
    <n v="303.06"/>
    <n v="0"/>
    <n v="0"/>
    <n v="47.6"/>
    <n v="99.47"/>
    <n v="0"/>
    <n v="9.09"/>
    <s v="No"/>
    <n v="0"/>
    <n v="303.06"/>
    <n v="156.16"/>
    <n v="146.9"/>
    <n v="0"/>
  </r>
  <r>
    <s v="ORD-000986"/>
    <s v="C-0323"/>
    <d v="2025-10-02T00:00:00"/>
    <s v="Mobile App"/>
    <s v="Debit Card"/>
    <s v="Southeast"/>
    <n v="1"/>
    <x v="3"/>
    <n v="29.59"/>
    <n v="0"/>
    <n v="0"/>
    <n v="4.7"/>
    <n v="12.42"/>
    <n v="0"/>
    <n v="1.1599999999999999"/>
    <s v="No"/>
    <n v="0"/>
    <n v="29.59"/>
    <n v="18.28"/>
    <n v="11.31"/>
    <n v="0"/>
  </r>
  <r>
    <s v="ORD-000987"/>
    <s v="C-0711"/>
    <d v="2025-05-18T00:00:00"/>
    <s v="Marketplace"/>
    <s v="Debit Card"/>
    <s v="Southwest"/>
    <n v="2"/>
    <x v="3"/>
    <n v="58.65"/>
    <n v="10"/>
    <n v="5.87"/>
    <n v="15.56"/>
    <n v="35.9"/>
    <n v="7.92"/>
    <n v="1.83"/>
    <s v="No"/>
    <n v="0"/>
    <n v="52.78"/>
    <n v="61.21"/>
    <n v="-8.43"/>
    <n v="0"/>
  </r>
  <r>
    <s v="ORD-000988"/>
    <s v="C-0462"/>
    <d v="2024-10-01T00:00:00"/>
    <s v="Marketplace"/>
    <s v="Credit Card"/>
    <s v="Midwest"/>
    <n v="2"/>
    <x v="4"/>
    <n v="91.83"/>
    <n v="5"/>
    <n v="4.59"/>
    <n v="39.380000000000003"/>
    <n v="39.33"/>
    <n v="13.09"/>
    <n v="2.83"/>
    <s v="No"/>
    <n v="0"/>
    <n v="87.24"/>
    <n v="94.63"/>
    <n v="-7.39"/>
    <n v="0"/>
  </r>
  <r>
    <s v="ORD-000989"/>
    <s v="C-0699"/>
    <d v="2025-06-01T00:00:00"/>
    <s v="Marketplace"/>
    <s v="Debit Card"/>
    <s v="West Coast"/>
    <n v="1"/>
    <x v="0"/>
    <n v="68.98"/>
    <n v="0"/>
    <n v="0"/>
    <n v="14.54"/>
    <n v="25.39"/>
    <n v="10.35"/>
    <n v="2.2999999999999998"/>
    <s v="No"/>
    <n v="0"/>
    <n v="68.98"/>
    <n v="52.58"/>
    <n v="16.399999999999999"/>
    <n v="0"/>
  </r>
  <r>
    <s v="ORD-000990"/>
    <s v="C-0011"/>
    <d v="2025-05-24T00:00:00"/>
    <s v="Website"/>
    <s v="Credit Card"/>
    <s v="Northeast"/>
    <n v="2"/>
    <x v="3"/>
    <n v="528.27"/>
    <n v="10"/>
    <n v="52.83"/>
    <n v="31.8"/>
    <n v="176.52"/>
    <n v="0"/>
    <n v="14.09"/>
    <s v="No"/>
    <n v="0"/>
    <n v="475.44"/>
    <n v="222.41"/>
    <n v="253.03"/>
    <n v="0"/>
  </r>
  <r>
    <s v="ORD-000991"/>
    <s v="C-0472"/>
    <d v="2025-01-07T00:00:00"/>
    <s v="Mobile App"/>
    <s v="Credit Card"/>
    <s v="Northeast"/>
    <n v="3"/>
    <x v="1"/>
    <n v="74.17"/>
    <n v="20"/>
    <n v="14.83"/>
    <n v="31.54"/>
    <n v="32.840000000000003"/>
    <n v="0"/>
    <n v="2.02"/>
    <s v="No"/>
    <n v="0"/>
    <n v="59.34"/>
    <n v="66.400000000000006"/>
    <n v="-7.06"/>
    <n v="0"/>
  </r>
  <r>
    <s v="ORD-000992"/>
    <s v="C-0283"/>
    <d v="2024-05-06T00:00:00"/>
    <s v="Marketplace"/>
    <s v="Gift Card"/>
    <s v="Southwest"/>
    <n v="1"/>
    <x v="1"/>
    <n v="63.78"/>
    <n v="5"/>
    <n v="3.19"/>
    <n v="3.9"/>
    <n v="23.51"/>
    <n v="9.09"/>
    <n v="2.06"/>
    <s v="No"/>
    <n v="0"/>
    <n v="60.59"/>
    <n v="38.56"/>
    <n v="22.03"/>
    <n v="0"/>
  </r>
  <r>
    <s v="ORD-000993"/>
    <s v="C-0639"/>
    <d v="2024-12-27T00:00:00"/>
    <s v="Mobile App"/>
    <s v="PayPal"/>
    <s v="West Coast"/>
    <n v="4"/>
    <x v="2"/>
    <n v="322.27"/>
    <n v="10"/>
    <n v="32.229999999999997"/>
    <n v="36.520000000000003"/>
    <n v="146.07"/>
    <n v="0"/>
    <n v="8.7100000000000009"/>
    <s v="No"/>
    <n v="0"/>
    <n v="290.04000000000002"/>
    <n v="191.3"/>
    <n v="98.74"/>
    <n v="0"/>
  </r>
  <r>
    <s v="ORD-000994"/>
    <s v="C-0299"/>
    <d v="2025-06-13T00:00:00"/>
    <s v="Mobile App"/>
    <s v="Credit Card"/>
    <s v="Midwest"/>
    <n v="2"/>
    <x v="3"/>
    <n v="208.79"/>
    <n v="10"/>
    <n v="20.88"/>
    <n v="13.96"/>
    <n v="73.02"/>
    <n v="0"/>
    <n v="5.75"/>
    <s v="No"/>
    <n v="0"/>
    <n v="187.91"/>
    <n v="92.73"/>
    <n v="95.18"/>
    <n v="0"/>
  </r>
  <r>
    <s v="ORD-000995"/>
    <s v="C-0776"/>
    <d v="2024-05-24T00:00:00"/>
    <s v="Website"/>
    <s v="Credit Card"/>
    <s v="Northeast"/>
    <n v="2"/>
    <x v="0"/>
    <n v="292.45999999999998"/>
    <n v="0"/>
    <n v="0"/>
    <n v="30.8"/>
    <n v="95.22"/>
    <n v="0"/>
    <n v="8.7799999999999994"/>
    <s v="No"/>
    <n v="0"/>
    <n v="292.45999999999998"/>
    <n v="134.80000000000001"/>
    <n v="157.66"/>
    <n v="0"/>
  </r>
  <r>
    <s v="ORD-000996"/>
    <s v="C-0589"/>
    <d v="2024-12-09T00:00:00"/>
    <s v="Social Commerce"/>
    <s v="PayPal"/>
    <s v="Southwest"/>
    <n v="2"/>
    <x v="7"/>
    <n v="178.95"/>
    <n v="0"/>
    <n v="0"/>
    <n v="18.2"/>
    <n v="60.52"/>
    <n v="14.32"/>
    <n v="5.49"/>
    <s v="No"/>
    <n v="0"/>
    <n v="178.95"/>
    <n v="98.53"/>
    <n v="80.42"/>
    <n v="0"/>
  </r>
  <r>
    <s v="ORD-000997"/>
    <s v="C-0791"/>
    <d v="2025-03-01T00:00:00"/>
    <s v="Mobile App"/>
    <s v="Credit Card"/>
    <s v="Southwest"/>
    <n v="2"/>
    <x v="2"/>
    <n v="465.84"/>
    <n v="15"/>
    <n v="69.88"/>
    <n v="55.42"/>
    <n v="142.57"/>
    <n v="0"/>
    <n v="11.78"/>
    <s v="No"/>
    <n v="0"/>
    <n v="395.96"/>
    <n v="209.77"/>
    <n v="186.19"/>
    <n v="0"/>
  </r>
  <r>
    <s v="ORD-000998"/>
    <s v="C-0171"/>
    <d v="2025-07-12T00:00:00"/>
    <s v="Website"/>
    <s v="Debit Card"/>
    <s v="Northeast"/>
    <n v="2"/>
    <x v="1"/>
    <n v="39.71"/>
    <n v="10"/>
    <n v="3.97"/>
    <n v="13.32"/>
    <n v="15.42"/>
    <n v="0"/>
    <n v="1.34"/>
    <s v="No"/>
    <n v="0"/>
    <n v="35.74"/>
    <n v="30.08"/>
    <n v="5.66"/>
    <n v="0"/>
  </r>
  <r>
    <s v="ORD-000999"/>
    <s v="C-0231"/>
    <d v="2024-12-19T00:00:00"/>
    <s v="Website"/>
    <s v="Debit Card"/>
    <s v="Midwest"/>
    <n v="1"/>
    <x v="3"/>
    <n v="48.46"/>
    <n v="10"/>
    <n v="4.8499999999999996"/>
    <n v="13.4"/>
    <n v="25.94"/>
    <n v="0"/>
    <n v="1.56"/>
    <s v="No"/>
    <n v="0"/>
    <n v="43.61"/>
    <n v="40.9"/>
    <n v="2.71"/>
    <n v="0"/>
  </r>
  <r>
    <s v="ORD-001000"/>
    <s v="C-0087"/>
    <d v="2024-06-10T00:00:00"/>
    <s v="Marketplace"/>
    <s v="Debit Card"/>
    <s v="West Coast"/>
    <n v="2"/>
    <x v="3"/>
    <n v="116.26"/>
    <n v="0"/>
    <n v="0"/>
    <n v="30.18"/>
    <n v="70.19"/>
    <n v="17.440000000000001"/>
    <n v="3.67"/>
    <s v="No"/>
    <n v="0"/>
    <n v="116.26"/>
    <n v="121.48"/>
    <n v="-5.22"/>
    <n v="0"/>
  </r>
  <r>
    <s v="ORD-001001"/>
    <s v="C-0060"/>
    <d v="2025-07-08T00:00:00"/>
    <s v="Mobile App"/>
    <s v="PayPal"/>
    <s v="Southwest"/>
    <n v="1"/>
    <x v="5"/>
    <n v="106.92"/>
    <n v="0"/>
    <n v="0"/>
    <n v="39.54"/>
    <n v="31.32"/>
    <n v="0"/>
    <n v="3.4"/>
    <s v="Yes"/>
    <n v="106.92"/>
    <n v="0"/>
    <n v="74.260000000000005"/>
    <n v="-74.260000000000005"/>
    <n v="0"/>
  </r>
  <r>
    <s v="ORD-001002"/>
    <s v="C-0665"/>
    <d v="2025-07-03T00:00:00"/>
    <s v="Social Commerce"/>
    <s v="Credit Card"/>
    <s v="Midwest"/>
    <n v="1"/>
    <x v="0"/>
    <n v="43.34"/>
    <n v="0"/>
    <n v="0"/>
    <n v="9.58"/>
    <n v="15.91"/>
    <n v="3.47"/>
    <n v="1.56"/>
    <s v="No"/>
    <n v="0"/>
    <n v="43.34"/>
    <n v="30.52"/>
    <n v="12.82"/>
    <n v="0"/>
  </r>
  <r>
    <s v="ORD-001003"/>
    <s v="C-0566"/>
    <d v="2025-05-29T00:00:00"/>
    <s v="Website"/>
    <s v="Credit Card"/>
    <s v="West Coast"/>
    <n v="2"/>
    <x v="4"/>
    <n v="274.86"/>
    <n v="0"/>
    <n v="0"/>
    <n v="26.74"/>
    <n v="86.95"/>
    <n v="0"/>
    <n v="8.27"/>
    <s v="No"/>
    <n v="0"/>
    <n v="274.86"/>
    <n v="121.96"/>
    <n v="152.9"/>
    <n v="1"/>
  </r>
  <r>
    <s v="ORD-001004"/>
    <s v="C-0594"/>
    <d v="2025-10-19T00:00:00"/>
    <s v="Mobile App"/>
    <s v="Credit Card"/>
    <s v="West Coast"/>
    <n v="2"/>
    <x v="0"/>
    <n v="77.209999999999994"/>
    <n v="0"/>
    <n v="0"/>
    <n v="15"/>
    <n v="25.6"/>
    <n v="0"/>
    <n v="2.54"/>
    <s v="No"/>
    <n v="0"/>
    <n v="77.209999999999994"/>
    <n v="43.14"/>
    <n v="34.07"/>
    <n v="0"/>
  </r>
  <r>
    <s v="ORD-001005"/>
    <s v="C-0449"/>
    <d v="2025-07-29T00:00:00"/>
    <s v="Mobile App"/>
    <s v="Debit Card"/>
    <s v="Northeast"/>
    <n v="1"/>
    <x v="7"/>
    <n v="54.48"/>
    <n v="20"/>
    <n v="10.9"/>
    <n v="10.94"/>
    <n v="21.25"/>
    <n v="0"/>
    <n v="1.56"/>
    <s v="No"/>
    <n v="0"/>
    <n v="43.58"/>
    <n v="33.75"/>
    <n v="9.83"/>
    <n v="0"/>
  </r>
  <r>
    <s v="ORD-001006"/>
    <s v="C-0473"/>
    <d v="2025-03-16T00:00:00"/>
    <s v="Website"/>
    <s v="Gift Card"/>
    <s v="Southwest"/>
    <n v="2"/>
    <x v="7"/>
    <n v="264.13"/>
    <n v="20"/>
    <n v="52.83"/>
    <n v="32.78"/>
    <n v="120.96"/>
    <n v="0"/>
    <n v="6.43"/>
    <s v="No"/>
    <n v="0"/>
    <n v="211.3"/>
    <n v="160.16999999999999"/>
    <n v="51.13"/>
    <n v="0"/>
  </r>
  <r>
    <s v="ORD-001007"/>
    <s v="C-0013"/>
    <d v="2025-04-07T00:00:00"/>
    <s v="Mobile App"/>
    <s v="PayPal"/>
    <s v="Southwest"/>
    <n v="4"/>
    <x v="4"/>
    <n v="425.26"/>
    <n v="0"/>
    <n v="0"/>
    <n v="94.62"/>
    <n v="202.93"/>
    <n v="0"/>
    <n v="12.63"/>
    <s v="No"/>
    <n v="0"/>
    <n v="425.26"/>
    <n v="310.18"/>
    <n v="115.08"/>
    <n v="0"/>
  </r>
  <r>
    <s v="ORD-001008"/>
    <s v="C-0377"/>
    <d v="2025-06-19T00:00:00"/>
    <s v="Marketplace"/>
    <s v="PayPal"/>
    <s v="West Coast"/>
    <n v="1"/>
    <x v="7"/>
    <n v="149.66"/>
    <n v="0"/>
    <n v="0"/>
    <n v="9.56"/>
    <n v="52.3"/>
    <n v="22.45"/>
    <n v="4.6399999999999997"/>
    <s v="Yes"/>
    <n v="149.66"/>
    <n v="0"/>
    <n v="88.95"/>
    <n v="-88.95"/>
    <n v="0"/>
  </r>
  <r>
    <s v="ORD-001009"/>
    <s v="C-0468"/>
    <d v="2024-11-05T00:00:00"/>
    <s v="Website"/>
    <s v="Debit Card"/>
    <s v="Northeast"/>
    <n v="4"/>
    <x v="4"/>
    <n v="347.7"/>
    <n v="0"/>
    <n v="0"/>
    <n v="73.84"/>
    <n v="138.66999999999999"/>
    <n v="0"/>
    <n v="10.38"/>
    <s v="No"/>
    <n v="0"/>
    <n v="347.7"/>
    <n v="222.89"/>
    <n v="124.81"/>
    <n v="0"/>
  </r>
  <r>
    <s v="ORD-001010"/>
    <s v="C-0293"/>
    <d v="2025-09-07T00:00:00"/>
    <s v="Marketplace"/>
    <s v="Credit Card"/>
    <s v="Southwest"/>
    <n v="1"/>
    <x v="5"/>
    <n v="124.02"/>
    <n v="5"/>
    <n v="6.2"/>
    <n v="33.54"/>
    <n v="65.52"/>
    <n v="17.670000000000002"/>
    <n v="3.72"/>
    <s v="No"/>
    <n v="0"/>
    <n v="117.82"/>
    <n v="120.45"/>
    <n v="-2.63"/>
    <n v="1"/>
  </r>
  <r>
    <s v="ORD-001011"/>
    <s v="C-0273"/>
    <d v="2025-02-08T00:00:00"/>
    <s v="Marketplace"/>
    <s v="Credit Card"/>
    <s v="Midwest"/>
    <n v="1"/>
    <x v="6"/>
    <n v="26.5"/>
    <n v="5"/>
    <n v="1.32"/>
    <n v="5.5"/>
    <n v="8.06"/>
    <n v="3.78"/>
    <n v="1.03"/>
    <s v="No"/>
    <n v="0"/>
    <n v="25.18"/>
    <n v="18.37"/>
    <n v="6.81"/>
    <n v="0"/>
  </r>
  <r>
    <s v="ORD-001012"/>
    <s v="C-0075"/>
    <d v="2025-11-21T00:00:00"/>
    <s v="Website"/>
    <s v="Debit Card"/>
    <s v="Midwest"/>
    <n v="1"/>
    <x v="3"/>
    <n v="94.8"/>
    <n v="5"/>
    <n v="4.74"/>
    <n v="23.96"/>
    <n v="64.78"/>
    <n v="0"/>
    <n v="2.91"/>
    <s v="No"/>
    <n v="0"/>
    <n v="90.06"/>
    <n v="91.65"/>
    <n v="-1.59"/>
    <n v="0"/>
  </r>
  <r>
    <s v="ORD-001013"/>
    <s v="C-0768"/>
    <d v="2024-10-06T00:00:00"/>
    <s v="Mobile App"/>
    <s v="Debit Card"/>
    <s v="Southwest"/>
    <n v="1"/>
    <x v="7"/>
    <n v="51.31"/>
    <n v="10"/>
    <n v="5.13"/>
    <n v="10.06"/>
    <n v="25.87"/>
    <n v="0"/>
    <n v="1.64"/>
    <s v="No"/>
    <n v="0"/>
    <n v="46.18"/>
    <n v="37.57"/>
    <n v="8.61"/>
    <n v="0"/>
  </r>
  <r>
    <s v="ORD-001014"/>
    <s v="C-0392"/>
    <d v="2025-04-08T00:00:00"/>
    <s v="Website"/>
    <s v="Buy Now Pay Later"/>
    <s v="Northeast"/>
    <n v="2"/>
    <x v="2"/>
    <n v="238.18"/>
    <n v="5"/>
    <n v="11.91"/>
    <n v="49.84"/>
    <n v="137.4"/>
    <n v="0"/>
    <n v="6.86"/>
    <s v="No"/>
    <n v="0"/>
    <n v="226.27"/>
    <n v="194.1"/>
    <n v="32.17"/>
    <n v="0"/>
  </r>
  <r>
    <s v="ORD-001015"/>
    <s v="C-0543"/>
    <d v="2025-01-31T00:00:00"/>
    <s v="Marketplace"/>
    <s v="Credit Card"/>
    <s v="Northeast"/>
    <n v="1"/>
    <x v="4"/>
    <n v="100.26"/>
    <n v="0"/>
    <n v="0"/>
    <n v="8.44"/>
    <n v="63.28"/>
    <n v="15.04"/>
    <n v="3.21"/>
    <s v="No"/>
    <n v="0"/>
    <n v="100.26"/>
    <n v="89.97"/>
    <n v="10.29"/>
    <n v="0"/>
  </r>
  <r>
    <s v="ORD-001016"/>
    <s v="C-0208"/>
    <d v="2024-06-28T00:00:00"/>
    <s v="Mobile App"/>
    <s v="Buy Now Pay Later"/>
    <s v="West Coast"/>
    <n v="2"/>
    <x v="0"/>
    <n v="347.15"/>
    <n v="5"/>
    <n v="17.36"/>
    <n v="39.5"/>
    <n v="110.14"/>
    <n v="0"/>
    <n v="9.86"/>
    <s v="No"/>
    <n v="0"/>
    <n v="329.79"/>
    <n v="159.5"/>
    <n v="170.29"/>
    <n v="0"/>
  </r>
  <r>
    <s v="ORD-001017"/>
    <s v="C-0141"/>
    <d v="2025-03-21T00:00:00"/>
    <s v="Mobile App"/>
    <s v="Credit Card"/>
    <s v="Northeast"/>
    <n v="1"/>
    <x v="5"/>
    <n v="111.44"/>
    <n v="0"/>
    <n v="0"/>
    <n v="9.02"/>
    <n v="36.340000000000003"/>
    <n v="0"/>
    <n v="3.53"/>
    <s v="No"/>
    <n v="0"/>
    <n v="111.44"/>
    <n v="48.89"/>
    <n v="62.55"/>
    <n v="0"/>
  </r>
  <r>
    <s v="ORD-001018"/>
    <s v="C-0701"/>
    <d v="2024-09-30T00:00:00"/>
    <s v="Website"/>
    <s v="Debit Card"/>
    <s v="West Coast"/>
    <n v="2"/>
    <x v="6"/>
    <n v="111.99"/>
    <n v="5"/>
    <n v="5.6"/>
    <n v="21.96"/>
    <n v="32.82"/>
    <n v="0"/>
    <n v="3.39"/>
    <s v="No"/>
    <n v="0"/>
    <n v="106.39"/>
    <n v="58.17"/>
    <n v="48.22"/>
    <n v="0"/>
  </r>
  <r>
    <s v="ORD-001019"/>
    <s v="C-0639"/>
    <d v="2024-09-11T00:00:00"/>
    <s v="Mobile App"/>
    <s v="PayPal"/>
    <s v="Midwest"/>
    <n v="3"/>
    <x v="3"/>
    <n v="213.74"/>
    <n v="20"/>
    <n v="42.75"/>
    <n v="29.84"/>
    <n v="87.27"/>
    <n v="0"/>
    <n v="5.26"/>
    <s v="No"/>
    <n v="0"/>
    <n v="170.99"/>
    <n v="122.37"/>
    <n v="48.62"/>
    <n v="0"/>
  </r>
  <r>
    <s v="ORD-001020"/>
    <s v="C-0473"/>
    <d v="2025-05-14T00:00:00"/>
    <s v="Marketplace"/>
    <s v="Credit Card"/>
    <s v="Southwest"/>
    <n v="1"/>
    <x v="0"/>
    <n v="35.03"/>
    <n v="10"/>
    <n v="3.5"/>
    <n v="9.98"/>
    <n v="11.54"/>
    <n v="4.7300000000000004"/>
    <n v="1.21"/>
    <s v="No"/>
    <n v="0"/>
    <n v="31.53"/>
    <n v="27.46"/>
    <n v="4.07"/>
    <n v="0"/>
  </r>
  <r>
    <s v="ORD-001021"/>
    <s v="C-0151"/>
    <d v="2024-09-03T00:00:00"/>
    <s v="Mobile App"/>
    <s v="Credit Card"/>
    <s v="Midwest"/>
    <n v="1"/>
    <x v="6"/>
    <n v="23.61"/>
    <n v="0"/>
    <n v="0"/>
    <n v="8.2200000000000006"/>
    <n v="7.31"/>
    <n v="0"/>
    <n v="0.98"/>
    <s v="No"/>
    <n v="0"/>
    <n v="23.61"/>
    <n v="16.510000000000002"/>
    <n v="7.1"/>
    <n v="0"/>
  </r>
  <r>
    <s v="ORD-001022"/>
    <s v="C-0028"/>
    <d v="2025-01-01T00:00:00"/>
    <s v="Website"/>
    <s v="PayPal"/>
    <s v="Southwest"/>
    <n v="1"/>
    <x v="3"/>
    <n v="39.82"/>
    <n v="0"/>
    <n v="0"/>
    <n v="5.66"/>
    <n v="24.86"/>
    <n v="0"/>
    <n v="1.45"/>
    <s v="No"/>
    <n v="0"/>
    <n v="39.82"/>
    <n v="31.97"/>
    <n v="7.85"/>
    <n v="0"/>
  </r>
  <r>
    <s v="ORD-001023"/>
    <s v="C-0076"/>
    <d v="2024-04-04T00:00:00"/>
    <s v="Mobile App"/>
    <s v="Credit Card"/>
    <s v="Southwest"/>
    <n v="4"/>
    <x v="7"/>
    <n v="468.77"/>
    <n v="5"/>
    <n v="23.44"/>
    <n v="58.36"/>
    <n v="196.12"/>
    <n v="0"/>
    <n v="13.21"/>
    <s v="No"/>
    <n v="0"/>
    <n v="445.33"/>
    <n v="267.69"/>
    <n v="177.64"/>
    <n v="0"/>
  </r>
  <r>
    <s v="ORD-001024"/>
    <s v="C-0205"/>
    <d v="2024-12-12T00:00:00"/>
    <s v="Mobile App"/>
    <s v="Debit Card"/>
    <s v="Northeast"/>
    <n v="3"/>
    <x v="4"/>
    <n v="182.15"/>
    <n v="10"/>
    <n v="18.21"/>
    <n v="45.52"/>
    <n v="77.400000000000006"/>
    <n v="0"/>
    <n v="5.05"/>
    <s v="No"/>
    <n v="0"/>
    <n v="163.94"/>
    <n v="127.97"/>
    <n v="35.97"/>
    <n v="0"/>
  </r>
  <r>
    <s v="ORD-001025"/>
    <s v="C-0471"/>
    <d v="2025-02-09T00:00:00"/>
    <s v="Marketplace"/>
    <s v="PayPal"/>
    <s v="Southwest"/>
    <n v="1"/>
    <x v="3"/>
    <n v="29.16"/>
    <n v="25"/>
    <n v="7.29"/>
    <n v="18.2"/>
    <n v="8.7200000000000006"/>
    <n v="3.28"/>
    <n v="0.93"/>
    <s v="No"/>
    <n v="0"/>
    <n v="21.87"/>
    <n v="31.13"/>
    <n v="-9.26"/>
    <n v="0"/>
  </r>
  <r>
    <s v="ORD-001026"/>
    <s v="C-0546"/>
    <d v="2025-08-02T00:00:00"/>
    <s v="Social Commerce"/>
    <s v="Credit Card"/>
    <s v="Northeast"/>
    <n v="3"/>
    <x v="2"/>
    <n v="218.06"/>
    <n v="0"/>
    <n v="0"/>
    <n v="67.08"/>
    <n v="86.28"/>
    <n v="17.440000000000001"/>
    <n v="6.62"/>
    <s v="No"/>
    <n v="0"/>
    <n v="218.06"/>
    <n v="177.42"/>
    <n v="40.64"/>
    <n v="0"/>
  </r>
  <r>
    <s v="ORD-001027"/>
    <s v="C-0475"/>
    <d v="2025-06-01T00:00:00"/>
    <s v="Marketplace"/>
    <s v="Buy Now Pay Later"/>
    <s v="West Coast"/>
    <n v="1"/>
    <x v="6"/>
    <n v="61.22"/>
    <n v="20"/>
    <n v="12.24"/>
    <n v="19.8"/>
    <n v="18.36"/>
    <n v="7.35"/>
    <n v="1.72"/>
    <s v="No"/>
    <n v="0"/>
    <n v="48.98"/>
    <n v="47.23"/>
    <n v="1.75"/>
    <n v="0"/>
  </r>
  <r>
    <s v="ORD-001028"/>
    <s v="C-0229"/>
    <d v="2024-07-25T00:00:00"/>
    <s v="Website"/>
    <s v="Credit Card"/>
    <s v="Midwest"/>
    <n v="2"/>
    <x v="2"/>
    <n v="199.67"/>
    <n v="0"/>
    <n v="0"/>
    <n v="14.68"/>
    <n v="71.44"/>
    <n v="0"/>
    <n v="6.09"/>
    <s v="No"/>
    <n v="0"/>
    <n v="199.67"/>
    <n v="92.21"/>
    <n v="107.46"/>
    <n v="0"/>
  </r>
  <r>
    <s v="ORD-001029"/>
    <s v="C-0022"/>
    <d v="2024-08-09T00:00:00"/>
    <s v="Website"/>
    <s v="PayPal"/>
    <s v="Northeast"/>
    <n v="1"/>
    <x v="4"/>
    <n v="90.19"/>
    <n v="20"/>
    <n v="18.04"/>
    <n v="13.42"/>
    <n v="33.04"/>
    <n v="0"/>
    <n v="2.39"/>
    <s v="No"/>
    <n v="0"/>
    <n v="72.150000000000006"/>
    <n v="48.85"/>
    <n v="23.3"/>
    <n v="0"/>
  </r>
  <r>
    <s v="ORD-001030"/>
    <s v="C-0502"/>
    <d v="2025-06-09T00:00:00"/>
    <s v="Website"/>
    <s v="Buy Now Pay Later"/>
    <s v="Midwest"/>
    <n v="1"/>
    <x v="3"/>
    <n v="49.35"/>
    <n v="20"/>
    <n v="9.8699999999999992"/>
    <n v="8.3800000000000008"/>
    <n v="26.77"/>
    <n v="0"/>
    <n v="1.44"/>
    <s v="No"/>
    <n v="0"/>
    <n v="39.479999999999997"/>
    <n v="36.590000000000003"/>
    <n v="2.89"/>
    <n v="0"/>
  </r>
  <r>
    <s v="ORD-001031"/>
    <s v="C-0265"/>
    <d v="2025-01-16T00:00:00"/>
    <s v="Website"/>
    <s v="Debit Card"/>
    <s v="Southeast"/>
    <n v="1"/>
    <x v="5"/>
    <n v="18.440000000000001"/>
    <n v="0"/>
    <n v="0"/>
    <n v="4.62"/>
    <n v="5.64"/>
    <n v="0"/>
    <n v="0.83"/>
    <s v="No"/>
    <n v="0"/>
    <n v="18.440000000000001"/>
    <n v="11.09"/>
    <n v="7.35"/>
    <n v="0"/>
  </r>
  <r>
    <s v="ORD-001032"/>
    <s v="C-0368"/>
    <d v="2025-04-05T00:00:00"/>
    <s v="Mobile App"/>
    <s v="Debit Card"/>
    <s v="Midwest"/>
    <n v="1"/>
    <x v="3"/>
    <n v="47.22"/>
    <n v="10"/>
    <n v="4.72"/>
    <n v="5.9"/>
    <n v="20.9"/>
    <n v="0"/>
    <n v="1.53"/>
    <s v="No"/>
    <n v="0"/>
    <n v="42.5"/>
    <n v="28.33"/>
    <n v="14.17"/>
    <n v="0"/>
  </r>
  <r>
    <s v="ORD-001033"/>
    <s v="C-0489"/>
    <d v="2025-05-02T00:00:00"/>
    <s v="Marketplace"/>
    <s v="Credit Card"/>
    <s v="West Coast"/>
    <n v="2"/>
    <x v="7"/>
    <n v="168.72"/>
    <n v="15"/>
    <n v="25.31"/>
    <n v="28.9"/>
    <n v="63.97"/>
    <n v="21.51"/>
    <n v="4.46"/>
    <s v="No"/>
    <n v="0"/>
    <n v="143.41"/>
    <n v="118.84"/>
    <n v="24.57"/>
    <n v="0"/>
  </r>
  <r>
    <s v="ORD-001034"/>
    <s v="C-0337"/>
    <d v="2025-09-12T00:00:00"/>
    <s v="Website"/>
    <s v="Gift Card"/>
    <s v="Southeast"/>
    <n v="3"/>
    <x v="0"/>
    <n v="519.29999999999995"/>
    <n v="0"/>
    <n v="0"/>
    <n v="43.02"/>
    <n v="215.95"/>
    <n v="0"/>
    <n v="15.36"/>
    <s v="No"/>
    <n v="0"/>
    <n v="519.29999999999995"/>
    <n v="274.33"/>
    <n v="244.97"/>
    <n v="0"/>
  </r>
  <r>
    <s v="ORD-001035"/>
    <s v="C-0555"/>
    <d v="2025-09-06T00:00:00"/>
    <s v="Mobile App"/>
    <s v="Credit Card"/>
    <s v="West Coast"/>
    <n v="1"/>
    <x v="4"/>
    <n v="186.84"/>
    <n v="20"/>
    <n v="37.369999999999997"/>
    <n v="31.62"/>
    <n v="69.959999999999994"/>
    <n v="0"/>
    <n v="4.63"/>
    <s v="No"/>
    <n v="0"/>
    <n v="149.47"/>
    <n v="106.21"/>
    <n v="43.26"/>
    <n v="0"/>
  </r>
  <r>
    <s v="ORD-001036"/>
    <s v="C-0733"/>
    <d v="2025-08-07T00:00:00"/>
    <s v="Website"/>
    <s v="Buy Now Pay Later"/>
    <s v="West Coast"/>
    <n v="4"/>
    <x v="1"/>
    <n v="268.77"/>
    <n v="25"/>
    <n v="67.19"/>
    <n v="55.02"/>
    <n v="107.18"/>
    <n v="0"/>
    <n v="6.15"/>
    <s v="No"/>
    <n v="0"/>
    <n v="201.58"/>
    <n v="168.35"/>
    <n v="33.229999999999997"/>
    <n v="0"/>
  </r>
  <r>
    <s v="ORD-001037"/>
    <s v="C-0797"/>
    <d v="2025-06-04T00:00:00"/>
    <s v="Website"/>
    <s v="PayPal"/>
    <s v="Midwest"/>
    <n v="1"/>
    <x v="0"/>
    <n v="42.25"/>
    <n v="5"/>
    <n v="2.11"/>
    <n v="13.58"/>
    <n v="22.95"/>
    <n v="0"/>
    <n v="1.46"/>
    <s v="No"/>
    <n v="0"/>
    <n v="40.14"/>
    <n v="37.99"/>
    <n v="2.15"/>
    <n v="0"/>
  </r>
  <r>
    <s v="ORD-001038"/>
    <s v="C-0005"/>
    <d v="2025-04-26T00:00:00"/>
    <s v="Website"/>
    <s v="Credit Card"/>
    <s v="Southwest"/>
    <n v="2"/>
    <x v="5"/>
    <n v="298.8"/>
    <n v="5"/>
    <n v="14.94"/>
    <n v="16.420000000000002"/>
    <n v="107.02"/>
    <n v="0"/>
    <n v="8.5299999999999994"/>
    <s v="No"/>
    <n v="0"/>
    <n v="283.86"/>
    <n v="131.97"/>
    <n v="151.88999999999999"/>
    <n v="0"/>
  </r>
  <r>
    <s v="ORD-001039"/>
    <s v="C-0626"/>
    <d v="2024-12-01T00:00:00"/>
    <s v="Website"/>
    <s v="Gift Card"/>
    <s v="Southeast"/>
    <n v="2"/>
    <x v="4"/>
    <n v="89.78"/>
    <n v="20"/>
    <n v="17.96"/>
    <n v="26.04"/>
    <n v="46.83"/>
    <n v="0"/>
    <n v="2.38"/>
    <s v="No"/>
    <n v="0"/>
    <n v="71.819999999999993"/>
    <n v="75.25"/>
    <n v="-3.43"/>
    <n v="0"/>
  </r>
  <r>
    <s v="ORD-001040"/>
    <s v="C-0695"/>
    <d v="2025-06-22T00:00:00"/>
    <s v="Marketplace"/>
    <s v="Buy Now Pay Later"/>
    <s v="Southeast"/>
    <n v="2"/>
    <x v="5"/>
    <n v="109.98"/>
    <n v="10"/>
    <n v="11"/>
    <n v="19"/>
    <n v="43.86"/>
    <n v="14.85"/>
    <n v="3.17"/>
    <s v="Yes"/>
    <n v="98.98"/>
    <n v="0"/>
    <n v="80.88"/>
    <n v="-80.88"/>
    <n v="0"/>
  </r>
  <r>
    <s v="ORD-001041"/>
    <s v="C-0610"/>
    <d v="2024-11-21T00:00:00"/>
    <s v="Marketplace"/>
    <s v="Credit Card"/>
    <s v="West Coast"/>
    <n v="2"/>
    <x v="5"/>
    <n v="43.35"/>
    <n v="10"/>
    <n v="4.33"/>
    <n v="26.04"/>
    <n v="19.53"/>
    <n v="5.85"/>
    <n v="1.43"/>
    <s v="No"/>
    <n v="0"/>
    <n v="39.020000000000003"/>
    <n v="52.85"/>
    <n v="-13.83"/>
    <n v="0"/>
  </r>
  <r>
    <s v="ORD-001042"/>
    <s v="C-0279"/>
    <d v="2024-10-22T00:00:00"/>
    <s v="Website"/>
    <s v="PayPal"/>
    <s v="Southeast"/>
    <n v="2"/>
    <x v="2"/>
    <n v="394.71"/>
    <n v="10"/>
    <n v="39.47"/>
    <n v="23.68"/>
    <n v="145.31"/>
    <n v="0"/>
    <n v="10.6"/>
    <s v="No"/>
    <n v="0"/>
    <n v="355.24"/>
    <n v="179.59"/>
    <n v="175.65"/>
    <n v="1"/>
  </r>
  <r>
    <s v="ORD-001043"/>
    <s v="C-0476"/>
    <d v="2025-03-10T00:00:00"/>
    <s v="Website"/>
    <s v="Credit Card"/>
    <s v="Northeast"/>
    <n v="2"/>
    <x v="1"/>
    <n v="89.81"/>
    <n v="0"/>
    <n v="0"/>
    <n v="14.6"/>
    <n v="51.03"/>
    <n v="0"/>
    <n v="2.9"/>
    <s v="No"/>
    <n v="0"/>
    <n v="89.81"/>
    <n v="68.53"/>
    <n v="21.28"/>
    <n v="0"/>
  </r>
  <r>
    <s v="ORD-001044"/>
    <s v="C-0367"/>
    <d v="2024-08-18T00:00:00"/>
    <s v="Social Commerce"/>
    <s v="PayPal"/>
    <s v="Southwest"/>
    <n v="1"/>
    <x v="4"/>
    <n v="47.2"/>
    <n v="0"/>
    <n v="0"/>
    <n v="10.94"/>
    <n v="25.59"/>
    <n v="3.78"/>
    <n v="1.67"/>
    <s v="No"/>
    <n v="0"/>
    <n v="47.2"/>
    <n v="41.98"/>
    <n v="5.22"/>
    <n v="0"/>
  </r>
  <r>
    <s v="ORD-001045"/>
    <s v="C-0736"/>
    <d v="2024-06-06T00:00:00"/>
    <s v="Website"/>
    <s v="Buy Now Pay Later"/>
    <s v="West Coast"/>
    <n v="1"/>
    <x v="4"/>
    <n v="40.89"/>
    <n v="20"/>
    <n v="8.18"/>
    <n v="15.1"/>
    <n v="16.21"/>
    <n v="0"/>
    <n v="1.25"/>
    <s v="No"/>
    <n v="0"/>
    <n v="32.71"/>
    <n v="32.56"/>
    <n v="0.15"/>
    <n v="0"/>
  </r>
  <r>
    <s v="ORD-001046"/>
    <s v="C-0171"/>
    <d v="2025-07-01T00:00:00"/>
    <s v="Mobile App"/>
    <s v="Buy Now Pay Later"/>
    <s v="West Coast"/>
    <n v="1"/>
    <x v="6"/>
    <n v="10"/>
    <n v="0"/>
    <n v="0"/>
    <n v="6.14"/>
    <n v="3.35"/>
    <n v="0"/>
    <n v="0.59"/>
    <s v="No"/>
    <n v="0"/>
    <n v="10"/>
    <n v="10.08"/>
    <n v="-0.08"/>
    <n v="0"/>
  </r>
  <r>
    <s v="ORD-001047"/>
    <s v="C-0665"/>
    <d v="2024-06-22T00:00:00"/>
    <s v="Website"/>
    <s v="Credit Card"/>
    <s v="Northeast"/>
    <n v="4"/>
    <x v="4"/>
    <n v="314.26"/>
    <n v="0"/>
    <n v="0"/>
    <n v="72.260000000000005"/>
    <n v="117.47"/>
    <n v="0"/>
    <n v="9.41"/>
    <s v="No"/>
    <n v="0"/>
    <n v="314.26"/>
    <n v="199.14"/>
    <n v="115.12"/>
    <n v="0"/>
  </r>
  <r>
    <s v="ORD-001048"/>
    <s v="C-0443"/>
    <d v="2025-09-27T00:00:00"/>
    <s v="Social Commerce"/>
    <s v="PayPal"/>
    <s v="Southeast"/>
    <n v="2"/>
    <x v="1"/>
    <n v="79.11"/>
    <n v="0"/>
    <n v="0"/>
    <n v="24.2"/>
    <n v="41.25"/>
    <n v="6.33"/>
    <n v="2.59"/>
    <s v="No"/>
    <n v="0"/>
    <n v="79.11"/>
    <n v="74.37"/>
    <n v="4.74"/>
    <n v="0"/>
  </r>
  <r>
    <s v="ORD-001049"/>
    <s v="C-0216"/>
    <d v="2025-09-12T00:00:00"/>
    <s v="Mobile App"/>
    <s v="Credit Card"/>
    <s v="Southwest"/>
    <n v="2"/>
    <x v="3"/>
    <n v="227.36"/>
    <n v="5"/>
    <n v="11.37"/>
    <n v="23.52"/>
    <n v="90.2"/>
    <n v="0"/>
    <n v="6.56"/>
    <s v="No"/>
    <n v="0"/>
    <n v="215.99"/>
    <n v="120.28"/>
    <n v="95.71"/>
    <n v="0"/>
  </r>
  <r>
    <s v="ORD-001050"/>
    <s v="C-0589"/>
    <d v="2024-08-23T00:00:00"/>
    <s v="Marketplace"/>
    <s v="Gift Card"/>
    <s v="Southwest"/>
    <n v="1"/>
    <x v="6"/>
    <n v="47.22"/>
    <n v="0"/>
    <n v="0"/>
    <n v="16.440000000000001"/>
    <n v="14.62"/>
    <n v="7.08"/>
    <n v="1.67"/>
    <s v="No"/>
    <n v="0"/>
    <n v="47.22"/>
    <n v="39.81"/>
    <n v="7.41"/>
    <n v="0"/>
  </r>
  <r>
    <s v="ORD-001051"/>
    <s v="C-0025"/>
    <d v="2025-07-09T00:00:00"/>
    <s v="Marketplace"/>
    <s v="PayPal"/>
    <s v="Northeast"/>
    <n v="2"/>
    <x v="3"/>
    <n v="63.34"/>
    <n v="15"/>
    <n v="9.5"/>
    <n v="16.52"/>
    <n v="28.87"/>
    <n v="8.08"/>
    <n v="1.86"/>
    <s v="No"/>
    <n v="0"/>
    <n v="53.84"/>
    <n v="55.33"/>
    <n v="-1.49"/>
    <n v="0"/>
  </r>
  <r>
    <s v="ORD-001052"/>
    <s v="C-0507"/>
    <d v="2025-08-20T00:00:00"/>
    <s v="Website"/>
    <s v="Credit Card"/>
    <s v="Southwest"/>
    <n v="1"/>
    <x v="4"/>
    <n v="13.66"/>
    <n v="0"/>
    <n v="0"/>
    <n v="10.62"/>
    <n v="4.6900000000000004"/>
    <n v="0"/>
    <n v="0.7"/>
    <s v="No"/>
    <n v="0"/>
    <n v="13.66"/>
    <n v="16.010000000000002"/>
    <n v="-2.35"/>
    <n v="0"/>
  </r>
  <r>
    <s v="ORD-001053"/>
    <s v="C-0283"/>
    <d v="2025-08-30T00:00:00"/>
    <s v="Marketplace"/>
    <s v="Debit Card"/>
    <s v="Southeast"/>
    <n v="1"/>
    <x v="4"/>
    <n v="20.57"/>
    <n v="0"/>
    <n v="0"/>
    <n v="7.02"/>
    <n v="7.36"/>
    <n v="3.09"/>
    <n v="0.9"/>
    <s v="No"/>
    <n v="0"/>
    <n v="20.57"/>
    <n v="18.37"/>
    <n v="2.2000000000000002"/>
    <n v="0"/>
  </r>
  <r>
    <s v="ORD-001054"/>
    <s v="C-0310"/>
    <d v="2024-11-20T00:00:00"/>
    <s v="Mobile App"/>
    <s v="PayPal"/>
    <s v="Southeast"/>
    <n v="1"/>
    <x v="4"/>
    <n v="120.56"/>
    <n v="5"/>
    <n v="6.03"/>
    <n v="28.6"/>
    <n v="60.42"/>
    <n v="0"/>
    <n v="3.62"/>
    <s v="No"/>
    <n v="0"/>
    <n v="114.53"/>
    <n v="92.64"/>
    <n v="21.89"/>
    <n v="0"/>
  </r>
  <r>
    <s v="ORD-001055"/>
    <s v="C-0315"/>
    <d v="2025-04-24T00:00:00"/>
    <s v="Mobile App"/>
    <s v="PayPal"/>
    <s v="Southwest"/>
    <n v="1"/>
    <x v="3"/>
    <n v="49.35"/>
    <n v="15"/>
    <n v="7.4"/>
    <n v="8.3800000000000008"/>
    <n v="26.77"/>
    <n v="0"/>
    <n v="1.52"/>
    <s v="No"/>
    <n v="0"/>
    <n v="41.95"/>
    <n v="36.67"/>
    <n v="5.28"/>
    <n v="0"/>
  </r>
  <r>
    <s v="ORD-001056"/>
    <s v="C-0465"/>
    <d v="2025-03-15T00:00:00"/>
    <s v="Mobile App"/>
    <s v="Credit Card"/>
    <s v="Southwest"/>
    <n v="1"/>
    <x v="3"/>
    <n v="11.99"/>
    <n v="20"/>
    <n v="2.4"/>
    <n v="10.3"/>
    <n v="6.88"/>
    <n v="0"/>
    <n v="0.57999999999999996"/>
    <s v="No"/>
    <n v="0"/>
    <n v="9.59"/>
    <n v="17.760000000000002"/>
    <n v="-8.17"/>
    <n v="0"/>
  </r>
  <r>
    <s v="ORD-001057"/>
    <s v="C-0113"/>
    <d v="2025-07-01T00:00:00"/>
    <s v="Website"/>
    <s v="Credit Card"/>
    <s v="Southeast"/>
    <n v="2"/>
    <x v="2"/>
    <n v="88.41"/>
    <n v="10"/>
    <n v="8.84"/>
    <n v="27.48"/>
    <n v="29"/>
    <n v="0"/>
    <n v="2.61"/>
    <s v="No"/>
    <n v="0"/>
    <n v="79.569999999999993"/>
    <n v="59.09"/>
    <n v="20.48"/>
    <n v="0"/>
  </r>
  <r>
    <s v="ORD-001058"/>
    <s v="C-0591"/>
    <d v="2025-07-11T00:00:00"/>
    <s v="Mobile App"/>
    <s v="Credit Card"/>
    <s v="Southeast"/>
    <n v="1"/>
    <x v="0"/>
    <n v="126.75"/>
    <n v="0"/>
    <n v="0"/>
    <n v="40.74"/>
    <n v="68.849999999999994"/>
    <n v="0"/>
    <n v="3.98"/>
    <s v="No"/>
    <n v="0"/>
    <n v="126.75"/>
    <n v="113.57"/>
    <n v="13.18"/>
    <n v="0"/>
  </r>
  <r>
    <s v="ORD-001059"/>
    <s v="C-0215"/>
    <d v="2024-08-10T00:00:00"/>
    <s v="Mobile App"/>
    <s v="PayPal"/>
    <s v="Southeast"/>
    <n v="2"/>
    <x v="3"/>
    <n v="309.24"/>
    <n v="10"/>
    <n v="30.92"/>
    <n v="33.36"/>
    <n v="133.68"/>
    <n v="0"/>
    <n v="8.3699999999999992"/>
    <s v="No"/>
    <n v="0"/>
    <n v="278.32"/>
    <n v="175.41"/>
    <n v="102.91"/>
    <n v="0"/>
  </r>
  <r>
    <s v="ORD-001060"/>
    <s v="C-0328"/>
    <d v="2024-04-13T00:00:00"/>
    <s v="Social Commerce"/>
    <s v="PayPal"/>
    <s v="Southeast"/>
    <n v="1"/>
    <x v="7"/>
    <n v="73.72"/>
    <n v="5"/>
    <n v="3.69"/>
    <n v="11"/>
    <n v="39.340000000000003"/>
    <n v="5.6"/>
    <n v="2.33"/>
    <s v="No"/>
    <n v="0"/>
    <n v="70.03"/>
    <n v="58.27"/>
    <n v="11.76"/>
    <n v="0"/>
  </r>
  <r>
    <s v="ORD-001061"/>
    <s v="C-0617"/>
    <d v="2025-04-24T00:00:00"/>
    <s v="Website"/>
    <s v="PayPal"/>
    <s v="Midwest"/>
    <n v="1"/>
    <x v="0"/>
    <n v="56.08"/>
    <n v="0"/>
    <n v="0"/>
    <n v="13.42"/>
    <n v="29.44"/>
    <n v="0"/>
    <n v="1.93"/>
    <s v="No"/>
    <n v="0"/>
    <n v="56.08"/>
    <n v="44.79"/>
    <n v="11.29"/>
    <n v="0"/>
  </r>
  <r>
    <s v="ORD-001062"/>
    <s v="C-0452"/>
    <d v="2024-06-19T00:00:00"/>
    <s v="Marketplace"/>
    <s v="PayPal"/>
    <s v="Southwest"/>
    <n v="2"/>
    <x v="0"/>
    <n v="170.58"/>
    <n v="15"/>
    <n v="25.59"/>
    <n v="36.74"/>
    <n v="93.55"/>
    <n v="21.75"/>
    <n v="4.5"/>
    <s v="No"/>
    <n v="0"/>
    <n v="144.99"/>
    <n v="156.54"/>
    <n v="-11.55"/>
    <n v="0"/>
  </r>
  <r>
    <s v="ORD-001063"/>
    <s v="C-0115"/>
    <d v="2025-05-25T00:00:00"/>
    <s v="Website"/>
    <s v="PayPal"/>
    <s v="West Coast"/>
    <n v="1"/>
    <x v="5"/>
    <n v="66.05"/>
    <n v="5"/>
    <n v="3.3"/>
    <n v="14.86"/>
    <n v="23.44"/>
    <n v="0"/>
    <n v="2.12"/>
    <s v="No"/>
    <n v="0"/>
    <n v="62.75"/>
    <n v="40.42"/>
    <n v="22.33"/>
    <n v="0"/>
  </r>
  <r>
    <s v="ORD-001064"/>
    <s v="C-0256"/>
    <d v="2025-05-21T00:00:00"/>
    <s v="Marketplace"/>
    <s v="Credit Card"/>
    <s v="Southwest"/>
    <n v="1"/>
    <x v="4"/>
    <n v="64.56"/>
    <n v="10"/>
    <n v="6.46"/>
    <n v="4.8600000000000003"/>
    <n v="32.67"/>
    <n v="8.7100000000000009"/>
    <n v="1.98"/>
    <s v="No"/>
    <n v="0"/>
    <n v="58.1"/>
    <n v="48.22"/>
    <n v="9.8800000000000008"/>
    <n v="0"/>
  </r>
  <r>
    <s v="ORD-001065"/>
    <s v="C-0017"/>
    <d v="2025-07-07T00:00:00"/>
    <s v="Social Commerce"/>
    <s v="Debit Card"/>
    <s v="Southwest"/>
    <n v="2"/>
    <x v="6"/>
    <n v="35.700000000000003"/>
    <n v="0"/>
    <n v="0"/>
    <n v="28.02"/>
    <n v="15.99"/>
    <n v="2.86"/>
    <n v="1.34"/>
    <s v="No"/>
    <n v="0"/>
    <n v="35.700000000000003"/>
    <n v="48.21"/>
    <n v="-12.51"/>
    <n v="0"/>
  </r>
  <r>
    <s v="ORD-001066"/>
    <s v="C-0318"/>
    <d v="2025-05-14T00:00:00"/>
    <s v="Social Commerce"/>
    <s v="Credit Card"/>
    <s v="Midwest"/>
    <n v="4"/>
    <x v="5"/>
    <n v="261.92"/>
    <n v="10"/>
    <n v="26.19"/>
    <n v="58.52"/>
    <n v="119.94"/>
    <n v="18.86"/>
    <n v="7.14"/>
    <s v="No"/>
    <n v="0"/>
    <n v="235.73"/>
    <n v="204.46"/>
    <n v="31.27"/>
    <n v="0"/>
  </r>
  <r>
    <s v="ORD-001067"/>
    <s v="C-0623"/>
    <d v="2025-07-08T00:00:00"/>
    <s v="Website"/>
    <s v="Buy Now Pay Later"/>
    <s v="West Coast"/>
    <n v="1"/>
    <x v="3"/>
    <n v="121.03"/>
    <n v="5"/>
    <n v="6.05"/>
    <n v="4.78"/>
    <n v="37.76"/>
    <n v="0"/>
    <n v="3.63"/>
    <s v="No"/>
    <n v="0"/>
    <n v="114.98"/>
    <n v="46.17"/>
    <n v="68.81"/>
    <n v="0"/>
  </r>
  <r>
    <s v="ORD-001068"/>
    <s v="C-0311"/>
    <d v="2025-09-26T00:00:00"/>
    <s v="Website"/>
    <s v="Credit Card"/>
    <s v="Midwest"/>
    <n v="1"/>
    <x v="5"/>
    <n v="66.05"/>
    <n v="10"/>
    <n v="6.61"/>
    <n v="14.86"/>
    <n v="23.44"/>
    <n v="0"/>
    <n v="2.02"/>
    <s v="No"/>
    <n v="0"/>
    <n v="59.44"/>
    <n v="40.32"/>
    <n v="19.12"/>
    <n v="0"/>
  </r>
  <r>
    <s v="ORD-001069"/>
    <s v="C-0465"/>
    <d v="2025-01-13T00:00:00"/>
    <s v="Marketplace"/>
    <s v="Credit Card"/>
    <s v="Midwest"/>
    <n v="2"/>
    <x v="2"/>
    <n v="188.02"/>
    <n v="10"/>
    <n v="18.8"/>
    <n v="35.520000000000003"/>
    <n v="96.16"/>
    <n v="25.38"/>
    <n v="5.21"/>
    <s v="No"/>
    <n v="0"/>
    <n v="169.22"/>
    <n v="162.27000000000001"/>
    <n v="6.95"/>
    <n v="0"/>
  </r>
  <r>
    <s v="ORD-001070"/>
    <s v="C-0751"/>
    <d v="2025-01-10T00:00:00"/>
    <s v="Website"/>
    <s v="Credit Card"/>
    <s v="Northeast"/>
    <n v="4"/>
    <x v="6"/>
    <n v="791.31"/>
    <n v="10"/>
    <n v="79.13"/>
    <n v="74.900000000000006"/>
    <n v="331.37"/>
    <n v="0"/>
    <n v="20.95"/>
    <s v="No"/>
    <n v="0"/>
    <n v="712.18"/>
    <n v="427.22"/>
    <n v="284.95999999999998"/>
    <n v="0"/>
  </r>
  <r>
    <s v="ORD-001071"/>
    <s v="C-0703"/>
    <d v="2025-05-03T00:00:00"/>
    <s v="Website"/>
    <s v="PayPal"/>
    <s v="West Coast"/>
    <n v="1"/>
    <x v="4"/>
    <n v="141.6"/>
    <n v="5"/>
    <n v="7.08"/>
    <n v="32.82"/>
    <n v="76.77"/>
    <n v="0"/>
    <n v="4.2"/>
    <s v="No"/>
    <n v="0"/>
    <n v="134.52000000000001"/>
    <n v="113.79"/>
    <n v="20.73"/>
    <n v="0"/>
  </r>
  <r>
    <s v="ORD-001072"/>
    <s v="C-0226"/>
    <d v="2024-12-03T00:00:00"/>
    <s v="Mobile App"/>
    <s v="Credit Card"/>
    <s v="Southwest"/>
    <n v="1"/>
    <x v="1"/>
    <n v="56.49"/>
    <n v="10"/>
    <n v="5.65"/>
    <n v="29.7"/>
    <n v="33.119999999999997"/>
    <n v="0"/>
    <n v="1.77"/>
    <s v="No"/>
    <n v="0"/>
    <n v="50.84"/>
    <n v="64.59"/>
    <n v="-13.75"/>
    <n v="0"/>
  </r>
  <r>
    <s v="ORD-001073"/>
    <s v="C-0463"/>
    <d v="2025-08-21T00:00:00"/>
    <s v="Mobile App"/>
    <s v="Credit Card"/>
    <s v="Southwest"/>
    <n v="4"/>
    <x v="6"/>
    <n v="251.67"/>
    <n v="0"/>
    <n v="0"/>
    <n v="70.319999999999993"/>
    <n v="110.09"/>
    <n v="0"/>
    <n v="7.6"/>
    <s v="No"/>
    <n v="0"/>
    <n v="251.67"/>
    <n v="188.01"/>
    <n v="63.66"/>
    <n v="0"/>
  </r>
  <r>
    <s v="ORD-001074"/>
    <s v="C-0660"/>
    <d v="2024-09-29T00:00:00"/>
    <s v="Mobile App"/>
    <s v="PayPal"/>
    <s v="Southwest"/>
    <n v="5"/>
    <x v="5"/>
    <n v="412.58"/>
    <n v="0"/>
    <n v="0"/>
    <n v="44.68"/>
    <n v="148.88999999999999"/>
    <n v="0"/>
    <n v="12.26"/>
    <s v="No"/>
    <n v="0"/>
    <n v="412.58"/>
    <n v="205.83"/>
    <n v="206.75"/>
    <n v="0"/>
  </r>
  <r>
    <s v="ORD-001075"/>
    <s v="C-0162"/>
    <d v="2025-10-20T00:00:00"/>
    <s v="Mobile App"/>
    <s v="Debit Card"/>
    <s v="Southwest"/>
    <n v="1"/>
    <x v="1"/>
    <n v="24.02"/>
    <n v="15"/>
    <n v="3.6"/>
    <n v="3.98"/>
    <n v="10.75"/>
    <n v="0"/>
    <n v="0.89"/>
    <s v="No"/>
    <n v="0"/>
    <n v="20.420000000000002"/>
    <n v="15.62"/>
    <n v="4.8"/>
    <n v="0"/>
  </r>
  <r>
    <s v="ORD-001076"/>
    <s v="C-0250"/>
    <d v="2025-05-02T00:00:00"/>
    <s v="Social Commerce"/>
    <s v="Credit Card"/>
    <s v="Southwest"/>
    <n v="4"/>
    <x v="2"/>
    <n v="204.39"/>
    <n v="0"/>
    <n v="0"/>
    <n v="67.459999999999994"/>
    <n v="92.7"/>
    <n v="16.350000000000001"/>
    <n v="6.23"/>
    <s v="No"/>
    <n v="0"/>
    <n v="204.39"/>
    <n v="182.74"/>
    <n v="21.65"/>
    <n v="0"/>
  </r>
  <r>
    <s v="ORD-001077"/>
    <s v="C-0252"/>
    <d v="2025-11-15T00:00:00"/>
    <s v="Website"/>
    <s v="Credit Card"/>
    <s v="Southwest"/>
    <n v="2"/>
    <x v="1"/>
    <n v="118.42"/>
    <n v="5"/>
    <n v="5.92"/>
    <n v="30.46"/>
    <n v="51.35"/>
    <n v="0"/>
    <n v="3.56"/>
    <s v="No"/>
    <n v="0"/>
    <n v="112.5"/>
    <n v="85.37"/>
    <n v="27.13"/>
    <n v="0"/>
  </r>
  <r>
    <s v="ORD-001078"/>
    <s v="C-0776"/>
    <d v="2025-01-07T00:00:00"/>
    <s v="Marketplace"/>
    <s v="Buy Now Pay Later"/>
    <s v="Southwest"/>
    <n v="2"/>
    <x v="5"/>
    <n v="74.69"/>
    <n v="0"/>
    <n v="0"/>
    <n v="14.98"/>
    <n v="22.83"/>
    <n v="11.2"/>
    <n v="2.4700000000000002"/>
    <s v="No"/>
    <n v="0"/>
    <n v="74.69"/>
    <n v="51.48"/>
    <n v="23.21"/>
    <n v="0"/>
  </r>
  <r>
    <s v="ORD-001079"/>
    <s v="C-0493"/>
    <d v="2025-07-09T00:00:00"/>
    <s v="Website"/>
    <s v="Credit Card"/>
    <s v="Southwest"/>
    <n v="1"/>
    <x v="3"/>
    <n v="53.21"/>
    <n v="10"/>
    <n v="5.32"/>
    <n v="3.98"/>
    <n v="36.39"/>
    <n v="0"/>
    <n v="1.69"/>
    <s v="No"/>
    <n v="0"/>
    <n v="47.89"/>
    <n v="42.06"/>
    <n v="5.83"/>
    <n v="0"/>
  </r>
  <r>
    <s v="ORD-001080"/>
    <s v="C-0760"/>
    <d v="2025-02-17T00:00:00"/>
    <s v="Website"/>
    <s v="Debit Card"/>
    <s v="Midwest"/>
    <n v="2"/>
    <x v="6"/>
    <n v="28.34"/>
    <n v="0"/>
    <n v="0"/>
    <n v="19.88"/>
    <n v="12.6"/>
    <n v="0"/>
    <n v="1.1200000000000001"/>
    <s v="No"/>
    <n v="0"/>
    <n v="28.34"/>
    <n v="33.6"/>
    <n v="-5.26"/>
    <n v="0"/>
  </r>
  <r>
    <s v="ORD-001081"/>
    <s v="C-0794"/>
    <d v="2025-10-26T00:00:00"/>
    <s v="Mobile App"/>
    <s v="Debit Card"/>
    <s v="Southeast"/>
    <n v="1"/>
    <x v="2"/>
    <n v="73.680000000000007"/>
    <n v="10"/>
    <n v="7.37"/>
    <n v="8.86"/>
    <n v="22.41"/>
    <n v="0"/>
    <n v="2.2200000000000002"/>
    <s v="Yes"/>
    <n v="66.31"/>
    <n v="0"/>
    <n v="33.49"/>
    <n v="-33.49"/>
    <n v="0"/>
  </r>
  <r>
    <s v="ORD-001082"/>
    <s v="C-0081"/>
    <d v="2025-09-14T00:00:00"/>
    <s v="Mobile App"/>
    <s v="PayPal"/>
    <s v="Southeast"/>
    <n v="5"/>
    <x v="4"/>
    <n v="250.35"/>
    <n v="15"/>
    <n v="37.549999999999997"/>
    <n v="67.08"/>
    <n v="142.49"/>
    <n v="0"/>
    <n v="6.47"/>
    <s v="No"/>
    <n v="0"/>
    <n v="212.8"/>
    <n v="216.04"/>
    <n v="-3.24"/>
    <n v="0"/>
  </r>
  <r>
    <s v="ORD-001083"/>
    <s v="C-0413"/>
    <d v="2025-10-16T00:00:00"/>
    <s v="Social Commerce"/>
    <s v="Credit Card"/>
    <s v="Southeast"/>
    <n v="1"/>
    <x v="0"/>
    <n v="42.25"/>
    <n v="5"/>
    <n v="2.11"/>
    <n v="13.58"/>
    <n v="22.95"/>
    <n v="3.21"/>
    <n v="1.46"/>
    <s v="No"/>
    <n v="0"/>
    <n v="40.14"/>
    <n v="41.2"/>
    <n v="-1.06"/>
    <n v="1"/>
  </r>
  <r>
    <s v="ORD-001084"/>
    <s v="C-0500"/>
    <d v="2025-07-06T00:00:00"/>
    <s v="Mobile App"/>
    <s v="Debit Card"/>
    <s v="West Coast"/>
    <n v="1"/>
    <x v="7"/>
    <n v="71.83"/>
    <n v="0"/>
    <n v="0"/>
    <n v="10.14"/>
    <n v="47.56"/>
    <n v="0"/>
    <n v="2.38"/>
    <s v="No"/>
    <n v="0"/>
    <n v="71.83"/>
    <n v="60.08"/>
    <n v="11.75"/>
    <n v="0"/>
  </r>
  <r>
    <s v="ORD-001085"/>
    <s v="C-0738"/>
    <d v="2024-06-19T00:00:00"/>
    <s v="Mobile App"/>
    <s v="Credit Card"/>
    <s v="Northeast"/>
    <n v="1"/>
    <x v="5"/>
    <n v="111.44"/>
    <n v="10"/>
    <n v="11.14"/>
    <n v="9.02"/>
    <n v="36.340000000000003"/>
    <n v="0"/>
    <n v="3.21"/>
    <s v="No"/>
    <n v="0"/>
    <n v="100.3"/>
    <n v="48.57"/>
    <n v="51.73"/>
    <n v="0"/>
  </r>
  <r>
    <s v="ORD-001086"/>
    <s v="C-0117"/>
    <d v="2024-11-03T00:00:00"/>
    <s v="Social Commerce"/>
    <s v="PayPal"/>
    <s v="Midwest"/>
    <n v="2"/>
    <x v="4"/>
    <n v="156.79"/>
    <n v="20"/>
    <n v="31.36"/>
    <n v="32.82"/>
    <n v="54.53"/>
    <n v="10.029999999999999"/>
    <n v="3.94"/>
    <s v="No"/>
    <n v="0"/>
    <n v="125.43"/>
    <n v="101.32"/>
    <n v="24.11"/>
    <n v="0"/>
  </r>
  <r>
    <s v="ORD-001087"/>
    <s v="C-0479"/>
    <d v="2025-01-15T00:00:00"/>
    <s v="Mobile App"/>
    <s v="Credit Card"/>
    <s v="Northeast"/>
    <n v="1"/>
    <x v="3"/>
    <n v="29.59"/>
    <n v="0"/>
    <n v="0"/>
    <n v="4.7"/>
    <n v="12.42"/>
    <n v="0"/>
    <n v="1.1599999999999999"/>
    <s v="No"/>
    <n v="0"/>
    <n v="29.59"/>
    <n v="18.28"/>
    <n v="11.31"/>
    <n v="0"/>
  </r>
  <r>
    <s v="ORD-001088"/>
    <s v="C-0042"/>
    <d v="2024-03-28T00:00:00"/>
    <s v="Website"/>
    <s v="Credit Card"/>
    <s v="Midwest"/>
    <n v="1"/>
    <x v="7"/>
    <n v="62.18"/>
    <n v="0"/>
    <n v="0"/>
    <n v="6.06"/>
    <n v="26.96"/>
    <n v="0"/>
    <n v="2.1"/>
    <s v="No"/>
    <n v="0"/>
    <n v="62.18"/>
    <n v="35.119999999999997"/>
    <n v="27.06"/>
    <n v="0"/>
  </r>
  <r>
    <s v="ORD-001089"/>
    <s v="C-0375"/>
    <d v="2024-10-05T00:00:00"/>
    <s v="Website"/>
    <s v="Credit Card"/>
    <s v="West Coast"/>
    <n v="2"/>
    <x v="4"/>
    <n v="150.72"/>
    <n v="0"/>
    <n v="0"/>
    <n v="27.78"/>
    <n v="67.83"/>
    <n v="0"/>
    <n v="4.67"/>
    <s v="No"/>
    <n v="0"/>
    <n v="150.72"/>
    <n v="100.28"/>
    <n v="50.44"/>
    <n v="0"/>
  </r>
  <r>
    <s v="ORD-001090"/>
    <s v="C-0555"/>
    <d v="2025-02-06T00:00:00"/>
    <s v="Website"/>
    <s v="PayPal"/>
    <s v="Midwest"/>
    <n v="1"/>
    <x v="7"/>
    <n v="31.38"/>
    <n v="0"/>
    <n v="0"/>
    <n v="18.68"/>
    <n v="9.34"/>
    <n v="0"/>
    <n v="1.21"/>
    <s v="No"/>
    <n v="0"/>
    <n v="31.38"/>
    <n v="29.23"/>
    <n v="2.15"/>
    <n v="0"/>
  </r>
  <r>
    <s v="ORD-001091"/>
    <s v="C-0224"/>
    <d v="2025-05-18T00:00:00"/>
    <s v="Website"/>
    <s v="Credit Card"/>
    <s v="Southeast"/>
    <n v="1"/>
    <x v="5"/>
    <n v="28.96"/>
    <n v="10"/>
    <n v="2.9"/>
    <n v="9.02"/>
    <n v="8.3000000000000007"/>
    <n v="0"/>
    <n v="1.06"/>
    <s v="No"/>
    <n v="0"/>
    <n v="26.06"/>
    <n v="18.38"/>
    <n v="7.68"/>
    <n v="0"/>
  </r>
  <r>
    <s v="ORD-001092"/>
    <s v="C-0165"/>
    <d v="2024-08-30T00:00:00"/>
    <s v="Marketplace"/>
    <s v="Debit Card"/>
    <s v="Midwest"/>
    <n v="2"/>
    <x v="0"/>
    <n v="118.17"/>
    <n v="15"/>
    <n v="17.73"/>
    <n v="14.36"/>
    <n v="42.06"/>
    <n v="15.07"/>
    <n v="3.21"/>
    <s v="No"/>
    <n v="0"/>
    <n v="100.44"/>
    <n v="74.7"/>
    <n v="25.74"/>
    <n v="0"/>
  </r>
  <r>
    <s v="ORD-001093"/>
    <s v="C-0636"/>
    <d v="2024-06-20T00:00:00"/>
    <s v="Marketplace"/>
    <s v="Debit Card"/>
    <s v="Southwest"/>
    <n v="2"/>
    <x v="0"/>
    <n v="285.38"/>
    <n v="0"/>
    <n v="0"/>
    <n v="18.84"/>
    <n v="92.69"/>
    <n v="42.81"/>
    <n v="8.58"/>
    <s v="No"/>
    <n v="0"/>
    <n v="285.38"/>
    <n v="162.91999999999999"/>
    <n v="122.46"/>
    <n v="0"/>
  </r>
  <r>
    <s v="ORD-001094"/>
    <s v="C-0586"/>
    <d v="2025-05-08T00:00:00"/>
    <s v="Marketplace"/>
    <s v="Credit Card"/>
    <s v="Midwest"/>
    <n v="1"/>
    <x v="4"/>
    <n v="90.19"/>
    <n v="25"/>
    <n v="22.55"/>
    <n v="13.42"/>
    <n v="33.04"/>
    <n v="10.15"/>
    <n v="2.2599999999999998"/>
    <s v="No"/>
    <n v="0"/>
    <n v="67.64"/>
    <n v="58.87"/>
    <n v="8.77"/>
    <n v="0"/>
  </r>
  <r>
    <s v="ORD-001095"/>
    <s v="C-0221"/>
    <d v="2024-12-08T00:00:00"/>
    <s v="Website"/>
    <s v="Credit Card"/>
    <s v="Southwest"/>
    <n v="2"/>
    <x v="4"/>
    <n v="162.77000000000001"/>
    <n v="25"/>
    <n v="40.69"/>
    <n v="42.96"/>
    <n v="104.53"/>
    <n v="0"/>
    <n v="3.84"/>
    <s v="No"/>
    <n v="0"/>
    <n v="122.08"/>
    <n v="151.33000000000001"/>
    <n v="-29.25"/>
    <n v="0"/>
  </r>
  <r>
    <s v="ORD-001096"/>
    <s v="C-0481"/>
    <d v="2024-04-03T00:00:00"/>
    <s v="Website"/>
    <s v="PayPal"/>
    <s v="West Coast"/>
    <n v="2"/>
    <x v="6"/>
    <n v="28.38"/>
    <n v="15"/>
    <n v="4.26"/>
    <n v="11.96"/>
    <n v="12.35"/>
    <n v="0"/>
    <n v="1"/>
    <s v="No"/>
    <n v="0"/>
    <n v="24.12"/>
    <n v="25.31"/>
    <n v="-1.19"/>
    <n v="0"/>
  </r>
  <r>
    <s v="ORD-001097"/>
    <s v="C-0776"/>
    <d v="2024-10-15T00:00:00"/>
    <s v="Website"/>
    <s v="Credit Card"/>
    <s v="Southwest"/>
    <n v="1"/>
    <x v="2"/>
    <n v="138.24"/>
    <n v="5"/>
    <n v="6.91"/>
    <n v="18.2"/>
    <n v="41.76"/>
    <n v="0"/>
    <n v="4.1100000000000003"/>
    <s v="Yes"/>
    <n v="131.33000000000001"/>
    <n v="0"/>
    <n v="64.069999999999993"/>
    <n v="-64.069999999999993"/>
    <n v="0"/>
  </r>
  <r>
    <s v="ORD-001098"/>
    <s v="C-0639"/>
    <d v="2025-08-26T00:00:00"/>
    <s v="Social Commerce"/>
    <s v="Gift Card"/>
    <s v="Midwest"/>
    <n v="4"/>
    <x v="6"/>
    <n v="171.12"/>
    <n v="0"/>
    <n v="0"/>
    <n v="44.94"/>
    <n v="61.38"/>
    <n v="13.69"/>
    <n v="5.26"/>
    <s v="No"/>
    <n v="0"/>
    <n v="171.12"/>
    <n v="125.27"/>
    <n v="45.85"/>
    <n v="0"/>
  </r>
  <r>
    <s v="ORD-001099"/>
    <s v="C-0700"/>
    <d v="2024-09-13T00:00:00"/>
    <s v="Mobile App"/>
    <s v="Credit Card"/>
    <s v="West Coast"/>
    <n v="2"/>
    <x v="3"/>
    <n v="80.56"/>
    <n v="5"/>
    <n v="4.03"/>
    <n v="18.28"/>
    <n v="35.01"/>
    <n v="0"/>
    <n v="2.52"/>
    <s v="No"/>
    <n v="0"/>
    <n v="76.53"/>
    <n v="55.81"/>
    <n v="20.72"/>
    <n v="1"/>
  </r>
  <r>
    <s v="ORD-001100"/>
    <s v="C-0279"/>
    <d v="2025-07-17T00:00:00"/>
    <s v="Website"/>
    <s v="Credit Card"/>
    <s v="Midwest"/>
    <n v="1"/>
    <x v="6"/>
    <n v="10"/>
    <n v="20"/>
    <n v="2"/>
    <n v="6.14"/>
    <n v="3.35"/>
    <n v="0"/>
    <n v="0.53"/>
    <s v="No"/>
    <n v="0"/>
    <n v="8"/>
    <n v="10.02"/>
    <n v="-2.02"/>
    <n v="0"/>
  </r>
  <r>
    <s v="ORD-001101"/>
    <s v="C-0362"/>
    <d v="2024-10-22T00:00:00"/>
    <s v="Mobile App"/>
    <s v="Credit Card"/>
    <s v="Southwest"/>
    <n v="3"/>
    <x v="2"/>
    <n v="198.75"/>
    <n v="0"/>
    <n v="0"/>
    <n v="41.52"/>
    <n v="92.52"/>
    <n v="0"/>
    <n v="6.06"/>
    <s v="Yes"/>
    <n v="198.75"/>
    <n v="0"/>
    <n v="140.1"/>
    <n v="-140.1"/>
    <n v="0"/>
  </r>
  <r>
    <s v="ORD-001102"/>
    <s v="C-0204"/>
    <d v="2024-07-13T00:00:00"/>
    <s v="Website"/>
    <s v="Debit Card"/>
    <s v="West Coast"/>
    <n v="1"/>
    <x v="7"/>
    <n v="114.16"/>
    <n v="10"/>
    <n v="11.42"/>
    <n v="22.52"/>
    <n v="53.3"/>
    <n v="0"/>
    <n v="3.28"/>
    <s v="No"/>
    <n v="0"/>
    <n v="102.74"/>
    <n v="79.099999999999994"/>
    <n v="23.64"/>
    <n v="0"/>
  </r>
  <r>
    <s v="ORD-001103"/>
    <s v="C-0213"/>
    <d v="2024-11-01T00:00:00"/>
    <s v="Marketplace"/>
    <s v="Credit Card"/>
    <s v="Northeast"/>
    <n v="2"/>
    <x v="6"/>
    <n v="168.24"/>
    <n v="0"/>
    <n v="0"/>
    <n v="34.799999999999997"/>
    <n v="88.72"/>
    <n v="25.24"/>
    <n v="5.18"/>
    <s v="No"/>
    <n v="0"/>
    <n v="168.24"/>
    <n v="153.94"/>
    <n v="14.3"/>
    <n v="1"/>
  </r>
  <r>
    <s v="ORD-001104"/>
    <s v="C-0763"/>
    <d v="2025-09-04T00:00:00"/>
    <s v="Website"/>
    <s v="Debit Card"/>
    <s v="Northeast"/>
    <n v="1"/>
    <x v="5"/>
    <n v="52.69"/>
    <n v="15"/>
    <n v="7.9"/>
    <n v="5.82"/>
    <n v="23.14"/>
    <n v="0"/>
    <n v="1.6"/>
    <s v="No"/>
    <n v="0"/>
    <n v="44.79"/>
    <n v="30.56"/>
    <n v="14.23"/>
    <n v="0"/>
  </r>
  <r>
    <s v="ORD-001105"/>
    <s v="C-0369"/>
    <d v="2025-03-06T00:00:00"/>
    <s v="Marketplace"/>
    <s v="PayPal"/>
    <s v="Southeast"/>
    <n v="1"/>
    <x v="6"/>
    <n v="10"/>
    <n v="20"/>
    <n v="2"/>
    <n v="6.14"/>
    <n v="3.35"/>
    <n v="1.2"/>
    <n v="0.53"/>
    <s v="No"/>
    <n v="0"/>
    <n v="8"/>
    <n v="11.22"/>
    <n v="-3.22"/>
    <n v="0"/>
  </r>
  <r>
    <s v="ORD-001106"/>
    <s v="C-0682"/>
    <d v="2025-03-20T00:00:00"/>
    <s v="Website"/>
    <s v="Gift Card"/>
    <s v="Northeast"/>
    <n v="2"/>
    <x v="0"/>
    <n v="113.9"/>
    <n v="0"/>
    <n v="0"/>
    <n v="17.3"/>
    <n v="47.73"/>
    <n v="0"/>
    <n v="3.6"/>
    <s v="No"/>
    <n v="0"/>
    <n v="113.9"/>
    <n v="68.63"/>
    <n v="45.27"/>
    <n v="0"/>
  </r>
  <r>
    <s v="ORD-001107"/>
    <s v="C-0063"/>
    <d v="2025-06-21T00:00:00"/>
    <s v="Marketplace"/>
    <s v="Credit Card"/>
    <s v="Southeast"/>
    <n v="1"/>
    <x v="6"/>
    <n v="31.87"/>
    <n v="0"/>
    <n v="0"/>
    <n v="9.58"/>
    <n v="10.3"/>
    <n v="4.78"/>
    <n v="1.22"/>
    <s v="No"/>
    <n v="0"/>
    <n v="31.87"/>
    <n v="25.88"/>
    <n v="5.99"/>
    <n v="0"/>
  </r>
  <r>
    <s v="ORD-001108"/>
    <s v="C-0586"/>
    <d v="2024-10-11T00:00:00"/>
    <s v="Mobile App"/>
    <s v="Credit Card"/>
    <s v="West Coast"/>
    <n v="1"/>
    <x v="0"/>
    <n v="68.98"/>
    <n v="0"/>
    <n v="0"/>
    <n v="14.54"/>
    <n v="25.39"/>
    <n v="0"/>
    <n v="2.2999999999999998"/>
    <s v="No"/>
    <n v="0"/>
    <n v="68.98"/>
    <n v="42.23"/>
    <n v="26.75"/>
    <n v="0"/>
  </r>
  <r>
    <s v="ORD-001109"/>
    <s v="C-0670"/>
    <d v="2025-06-29T00:00:00"/>
    <s v="Social Commerce"/>
    <s v="PayPal"/>
    <s v="Southeast"/>
    <n v="1"/>
    <x v="5"/>
    <n v="11.52"/>
    <n v="15"/>
    <n v="1.73"/>
    <n v="7.58"/>
    <n v="3.71"/>
    <n v="0.78"/>
    <n v="0.57999999999999996"/>
    <s v="No"/>
    <n v="0"/>
    <n v="9.7899999999999991"/>
    <n v="12.65"/>
    <n v="-2.86"/>
    <n v="0"/>
  </r>
  <r>
    <s v="ORD-001110"/>
    <s v="C-0065"/>
    <d v="2024-08-22T00:00:00"/>
    <s v="Marketplace"/>
    <s v="Credit Card"/>
    <s v="Midwest"/>
    <n v="3"/>
    <x v="2"/>
    <n v="273.64999999999998"/>
    <n v="15"/>
    <n v="41.05"/>
    <n v="31.22"/>
    <n v="95.48"/>
    <n v="34.89"/>
    <n v="7.05"/>
    <s v="No"/>
    <n v="0"/>
    <n v="232.6"/>
    <n v="168.64"/>
    <n v="63.96"/>
    <n v="0"/>
  </r>
  <r>
    <s v="ORD-001111"/>
    <s v="C-0303"/>
    <d v="2025-02-26T00:00:00"/>
    <s v="Mobile App"/>
    <s v="Credit Card"/>
    <s v="Southeast"/>
    <n v="1"/>
    <x v="7"/>
    <n v="329.7"/>
    <n v="0"/>
    <n v="0"/>
    <n v="9.4"/>
    <n v="99.76"/>
    <n v="0"/>
    <n v="9.86"/>
    <s v="No"/>
    <n v="0"/>
    <n v="329.7"/>
    <n v="119.02"/>
    <n v="210.68"/>
    <n v="0"/>
  </r>
  <r>
    <s v="ORD-001112"/>
    <s v="C-0272"/>
    <d v="2025-03-19T00:00:00"/>
    <s v="Mobile App"/>
    <s v="Credit Card"/>
    <s v="Southwest"/>
    <n v="1"/>
    <x v="5"/>
    <n v="136.04"/>
    <n v="10"/>
    <n v="13.6"/>
    <n v="6.3"/>
    <n v="39.68"/>
    <n v="0"/>
    <n v="3.85"/>
    <s v="No"/>
    <n v="0"/>
    <n v="122.44"/>
    <n v="49.83"/>
    <n v="72.61"/>
    <n v="0"/>
  </r>
  <r>
    <s v="ORD-001113"/>
    <s v="C-0453"/>
    <d v="2025-04-01T00:00:00"/>
    <s v="Mobile App"/>
    <s v="PayPal"/>
    <s v="Midwest"/>
    <n v="1"/>
    <x v="5"/>
    <n v="408.12"/>
    <n v="10"/>
    <n v="40.81"/>
    <n v="18.899999999999999"/>
    <n v="119.04"/>
    <n v="0"/>
    <n v="10.95"/>
    <s v="No"/>
    <n v="0"/>
    <n v="367.31"/>
    <n v="148.88999999999999"/>
    <n v="218.42"/>
    <n v="0"/>
  </r>
  <r>
    <s v="ORD-001114"/>
    <s v="C-0270"/>
    <d v="2024-10-14T00:00:00"/>
    <s v="Social Commerce"/>
    <s v="PayPal"/>
    <s v="Southwest"/>
    <n v="2"/>
    <x v="5"/>
    <n v="248.16"/>
    <n v="0"/>
    <n v="0"/>
    <n v="32.18"/>
    <n v="123.44"/>
    <n v="19.850000000000001"/>
    <n v="7.5"/>
    <s v="No"/>
    <n v="0"/>
    <n v="248.16"/>
    <n v="182.97"/>
    <n v="65.19"/>
    <n v="0"/>
  </r>
  <r>
    <s v="ORD-001115"/>
    <s v="C-0413"/>
    <d v="2025-03-03T00:00:00"/>
    <s v="Mobile App"/>
    <s v="PayPal"/>
    <s v="West Coast"/>
    <n v="4"/>
    <x v="3"/>
    <n v="198.43"/>
    <n v="0"/>
    <n v="0"/>
    <n v="75.319999999999993"/>
    <n v="95.19"/>
    <n v="0"/>
    <n v="6.05"/>
    <s v="No"/>
    <n v="0"/>
    <n v="198.43"/>
    <n v="176.56"/>
    <n v="21.87"/>
    <n v="0"/>
  </r>
  <r>
    <s v="ORD-001116"/>
    <s v="C-0368"/>
    <d v="2025-07-26T00:00:00"/>
    <s v="Website"/>
    <s v="Buy Now Pay Later"/>
    <s v="West Coast"/>
    <n v="1"/>
    <x v="4"/>
    <n v="56"/>
    <n v="20"/>
    <n v="11.2"/>
    <n v="12.86"/>
    <n v="19.82"/>
    <n v="0"/>
    <n v="1.6"/>
    <s v="No"/>
    <n v="0"/>
    <n v="44.8"/>
    <n v="34.28"/>
    <n v="10.52"/>
    <n v="0"/>
  </r>
  <r>
    <s v="ORD-001117"/>
    <s v="C-0347"/>
    <d v="2025-06-13T00:00:00"/>
    <s v="Mobile App"/>
    <s v="PayPal"/>
    <s v="West Coast"/>
    <n v="1"/>
    <x v="3"/>
    <n v="41.97"/>
    <n v="5"/>
    <n v="2.1"/>
    <n v="13.42"/>
    <n v="12.24"/>
    <n v="0"/>
    <n v="1.46"/>
    <s v="No"/>
    <n v="0"/>
    <n v="39.869999999999997"/>
    <n v="27.12"/>
    <n v="12.75"/>
    <n v="0"/>
  </r>
  <r>
    <s v="ORD-001118"/>
    <s v="C-0791"/>
    <d v="2024-06-15T00:00:00"/>
    <s v="Website"/>
    <s v="Credit Card"/>
    <s v="Southwest"/>
    <n v="3"/>
    <x v="6"/>
    <n v="62.03"/>
    <n v="0"/>
    <n v="0"/>
    <n v="30.08"/>
    <n v="25.92"/>
    <n v="0"/>
    <n v="2.1"/>
    <s v="No"/>
    <n v="0"/>
    <n v="62.03"/>
    <n v="58.1"/>
    <n v="3.93"/>
    <n v="0"/>
  </r>
  <r>
    <s v="ORD-001119"/>
    <s v="C-0553"/>
    <d v="2025-03-24T00:00:00"/>
    <s v="Marketplace"/>
    <s v="Debit Card"/>
    <s v="West Coast"/>
    <n v="1"/>
    <x v="6"/>
    <n v="17.64"/>
    <n v="5"/>
    <n v="0.88"/>
    <n v="15.42"/>
    <n v="10.55"/>
    <n v="2.5099999999999998"/>
    <n v="0.79"/>
    <s v="No"/>
    <n v="0"/>
    <n v="16.760000000000002"/>
    <n v="29.27"/>
    <n v="-12.51"/>
    <n v="0"/>
  </r>
  <r>
    <s v="ORD-001120"/>
    <s v="C-0075"/>
    <d v="2025-08-04T00:00:00"/>
    <s v="Mobile App"/>
    <s v="Credit Card"/>
    <s v="Northeast"/>
    <n v="2"/>
    <x v="2"/>
    <n v="84.38"/>
    <n v="0"/>
    <n v="0"/>
    <n v="22.6"/>
    <n v="39.89"/>
    <n v="0"/>
    <n v="2.75"/>
    <s v="No"/>
    <n v="0"/>
    <n v="84.38"/>
    <n v="65.239999999999995"/>
    <n v="19.14"/>
    <n v="0"/>
  </r>
  <r>
    <s v="ORD-001121"/>
    <s v="C-0357"/>
    <d v="2025-06-20T00:00:00"/>
    <s v="Website"/>
    <s v="PayPal"/>
    <s v="Southeast"/>
    <n v="1"/>
    <x v="5"/>
    <n v="55.68"/>
    <n v="5"/>
    <n v="2.78"/>
    <n v="14.84"/>
    <n v="16.48"/>
    <n v="0"/>
    <n v="1.83"/>
    <s v="No"/>
    <n v="0"/>
    <n v="52.9"/>
    <n v="33.15"/>
    <n v="19.75"/>
    <n v="0"/>
  </r>
  <r>
    <s v="ORD-001122"/>
    <s v="C-0182"/>
    <d v="2025-03-22T00:00:00"/>
    <s v="Marketplace"/>
    <s v="PayPal"/>
    <s v="Northeast"/>
    <n v="4"/>
    <x v="5"/>
    <n v="74.41"/>
    <n v="10"/>
    <n v="7.44"/>
    <n v="60.22"/>
    <n v="30.7"/>
    <n v="10.050000000000001"/>
    <n v="2.2400000000000002"/>
    <s v="No"/>
    <n v="0"/>
    <n v="66.97"/>
    <n v="103.21"/>
    <n v="-36.24"/>
    <n v="0"/>
  </r>
  <r>
    <s v="ORD-001123"/>
    <s v="C-0228"/>
    <d v="2025-02-12T00:00:00"/>
    <s v="Marketplace"/>
    <s v="Credit Card"/>
    <s v="Southeast"/>
    <n v="1"/>
    <x v="6"/>
    <n v="23.61"/>
    <n v="0"/>
    <n v="0"/>
    <n v="8.2200000000000006"/>
    <n v="7.31"/>
    <n v="3.54"/>
    <n v="0.98"/>
    <s v="No"/>
    <n v="0"/>
    <n v="23.61"/>
    <n v="20.05"/>
    <n v="3.56"/>
    <n v="0"/>
  </r>
  <r>
    <s v="ORD-001124"/>
    <s v="C-0369"/>
    <d v="2024-09-28T00:00:00"/>
    <s v="Website"/>
    <s v="PayPal"/>
    <s v="Midwest"/>
    <n v="3"/>
    <x v="3"/>
    <n v="146.54"/>
    <n v="15"/>
    <n v="21.98"/>
    <n v="45.6"/>
    <n v="65.459999999999994"/>
    <n v="0"/>
    <n v="3.91"/>
    <s v="No"/>
    <n v="0"/>
    <n v="124.56"/>
    <n v="114.97"/>
    <n v="9.59"/>
    <n v="0"/>
  </r>
  <r>
    <s v="ORD-001125"/>
    <s v="C-0512"/>
    <d v="2025-04-14T00:00:00"/>
    <s v="Marketplace"/>
    <s v="PayPal"/>
    <s v="Southwest"/>
    <n v="3"/>
    <x v="4"/>
    <n v="144.31"/>
    <n v="10"/>
    <n v="14.43"/>
    <n v="29.2"/>
    <n v="85.77"/>
    <n v="19.48"/>
    <n v="4.07"/>
    <s v="No"/>
    <n v="0"/>
    <n v="129.88"/>
    <n v="138.52000000000001"/>
    <n v="-8.64"/>
    <n v="0"/>
  </r>
  <r>
    <s v="ORD-001126"/>
    <s v="C-0387"/>
    <d v="2025-01-25T00:00:00"/>
    <s v="Marketplace"/>
    <s v="PayPal"/>
    <s v="Southwest"/>
    <n v="3"/>
    <x v="3"/>
    <n v="69.72"/>
    <n v="0"/>
    <n v="0"/>
    <n v="34.26"/>
    <n v="29.4"/>
    <n v="10.46"/>
    <n v="2.3199999999999998"/>
    <s v="No"/>
    <n v="0"/>
    <n v="69.72"/>
    <n v="76.44"/>
    <n v="-6.72"/>
    <n v="0"/>
  </r>
  <r>
    <s v="ORD-001127"/>
    <s v="C-0792"/>
    <d v="2025-02-27T00:00:00"/>
    <s v="Mobile App"/>
    <s v="PayPal"/>
    <s v="Midwest"/>
    <n v="3"/>
    <x v="2"/>
    <n v="266.99"/>
    <n v="20"/>
    <n v="53.4"/>
    <n v="49.52"/>
    <n v="91.69"/>
    <n v="0"/>
    <n v="6.49"/>
    <s v="No"/>
    <n v="0"/>
    <n v="213.59"/>
    <n v="147.69999999999999"/>
    <n v="65.89"/>
    <n v="0"/>
  </r>
  <r>
    <s v="ORD-001128"/>
    <s v="C-0102"/>
    <d v="2025-05-03T00:00:00"/>
    <s v="Website"/>
    <s v="Debit Card"/>
    <s v="Midwest"/>
    <n v="2"/>
    <x v="1"/>
    <n v="164.83"/>
    <n v="20"/>
    <n v="32.97"/>
    <n v="21.3"/>
    <n v="54.15"/>
    <n v="0"/>
    <n v="4.12"/>
    <s v="No"/>
    <n v="0"/>
    <n v="131.86000000000001"/>
    <n v="79.569999999999993"/>
    <n v="52.29"/>
    <n v="0"/>
  </r>
  <r>
    <s v="ORD-001129"/>
    <s v="C-0285"/>
    <d v="2024-07-10T00:00:00"/>
    <s v="Marketplace"/>
    <s v="Credit Card"/>
    <s v="Northeast"/>
    <n v="1"/>
    <x v="0"/>
    <n v="91.57"/>
    <n v="5"/>
    <n v="4.58"/>
    <n v="15.5"/>
    <n v="26.92"/>
    <n v="13.05"/>
    <n v="2.82"/>
    <s v="No"/>
    <n v="0"/>
    <n v="86.99"/>
    <n v="58.29"/>
    <n v="28.7"/>
    <n v="0"/>
  </r>
  <r>
    <s v="ORD-001130"/>
    <s v="C-0527"/>
    <d v="2024-06-19T00:00:00"/>
    <s v="Marketplace"/>
    <s v="Credit Card"/>
    <s v="Southwest"/>
    <n v="4"/>
    <x v="0"/>
    <n v="451.05"/>
    <n v="25"/>
    <n v="112.76"/>
    <n v="54.04"/>
    <n v="153.13999999999999"/>
    <n v="50.74"/>
    <n v="10.11"/>
    <s v="No"/>
    <n v="0"/>
    <n v="338.29"/>
    <n v="268.02999999999997"/>
    <n v="70.260000000000005"/>
    <n v="0"/>
  </r>
  <r>
    <s v="ORD-001131"/>
    <s v="C-0254"/>
    <d v="2025-07-21T00:00:00"/>
    <s v="Website"/>
    <s v="Debit Card"/>
    <s v="West Coast"/>
    <n v="1"/>
    <x v="1"/>
    <n v="36.6"/>
    <n v="15"/>
    <n v="5.49"/>
    <n v="10.62"/>
    <n v="14.64"/>
    <n v="0"/>
    <n v="1.2"/>
    <s v="No"/>
    <n v="0"/>
    <n v="31.11"/>
    <n v="26.46"/>
    <n v="4.6500000000000004"/>
    <n v="0"/>
  </r>
  <r>
    <s v="ORD-001132"/>
    <s v="C-0715"/>
    <d v="2025-01-12T00:00:00"/>
    <s v="Mobile App"/>
    <s v="PayPal"/>
    <s v="Southwest"/>
    <n v="1"/>
    <x v="1"/>
    <n v="16.16"/>
    <n v="10"/>
    <n v="1.62"/>
    <n v="4.54"/>
    <n v="7.01"/>
    <n v="0"/>
    <n v="0.72"/>
    <s v="No"/>
    <n v="0"/>
    <n v="14.54"/>
    <n v="12.27"/>
    <n v="2.27"/>
    <n v="0"/>
  </r>
  <r>
    <s v="ORD-001133"/>
    <s v="C-0619"/>
    <d v="2025-01-22T00:00:00"/>
    <s v="Mobile App"/>
    <s v="Buy Now Pay Later"/>
    <s v="Northeast"/>
    <n v="1"/>
    <x v="4"/>
    <n v="94.4"/>
    <n v="0"/>
    <n v="0"/>
    <n v="21.88"/>
    <n v="51.18"/>
    <n v="0"/>
    <n v="3.04"/>
    <s v="No"/>
    <n v="0"/>
    <n v="94.4"/>
    <n v="76.099999999999994"/>
    <n v="18.3"/>
    <n v="0"/>
  </r>
  <r>
    <s v="ORD-001134"/>
    <s v="C-0279"/>
    <d v="2025-08-09T00:00:00"/>
    <s v="Website"/>
    <s v="PayPal"/>
    <s v="West Coast"/>
    <n v="3"/>
    <x v="6"/>
    <n v="245.17"/>
    <n v="0"/>
    <n v="0"/>
    <n v="32.78"/>
    <n v="128.91999999999999"/>
    <n v="0"/>
    <n v="7.41"/>
    <s v="No"/>
    <n v="0"/>
    <n v="245.17"/>
    <n v="169.11"/>
    <n v="76.06"/>
    <n v="0"/>
  </r>
  <r>
    <s v="ORD-001135"/>
    <s v="C-0211"/>
    <d v="2025-07-03T00:00:00"/>
    <s v="Website"/>
    <s v="Buy Now Pay Later"/>
    <s v="Southwest"/>
    <n v="2"/>
    <x v="3"/>
    <n v="102.82"/>
    <n v="0"/>
    <n v="0"/>
    <n v="37.86"/>
    <n v="55.27"/>
    <n v="0"/>
    <n v="3.28"/>
    <s v="No"/>
    <n v="0"/>
    <n v="102.82"/>
    <n v="96.41"/>
    <n v="6.41"/>
    <n v="0"/>
  </r>
  <r>
    <s v="ORD-001136"/>
    <s v="C-0384"/>
    <d v="2025-09-12T00:00:00"/>
    <s v="Website"/>
    <s v="Credit Card"/>
    <s v="West Coast"/>
    <n v="4"/>
    <x v="6"/>
    <n v="145.63999999999999"/>
    <n v="5"/>
    <n v="7.28"/>
    <n v="35.44"/>
    <n v="49.99"/>
    <n v="0"/>
    <n v="4.3099999999999996"/>
    <s v="No"/>
    <n v="0"/>
    <n v="138.36000000000001"/>
    <n v="89.74"/>
    <n v="48.62"/>
    <n v="0"/>
  </r>
  <r>
    <s v="ORD-001137"/>
    <s v="C-0498"/>
    <d v="2025-08-04T00:00:00"/>
    <s v="Mobile App"/>
    <s v="PayPal"/>
    <s v="Northeast"/>
    <n v="1"/>
    <x v="5"/>
    <n v="63.96"/>
    <n v="0"/>
    <n v="0"/>
    <n v="11.42"/>
    <n v="37.28"/>
    <n v="0"/>
    <n v="2.15"/>
    <s v="No"/>
    <n v="0"/>
    <n v="63.96"/>
    <n v="50.85"/>
    <n v="13.11"/>
    <n v="0"/>
  </r>
  <r>
    <s v="ORD-001138"/>
    <s v="C-0103"/>
    <d v="2025-06-29T00:00:00"/>
    <s v="Social Commerce"/>
    <s v="Credit Card"/>
    <s v="Southwest"/>
    <n v="1"/>
    <x v="1"/>
    <n v="20.45"/>
    <n v="20"/>
    <n v="4.09"/>
    <n v="10.220000000000001"/>
    <n v="7.45"/>
    <n v="1.31"/>
    <n v="0.77"/>
    <s v="No"/>
    <n v="0"/>
    <n v="16.36"/>
    <n v="19.75"/>
    <n v="-3.39"/>
    <n v="0"/>
  </r>
  <r>
    <s v="ORD-001139"/>
    <s v="C-0103"/>
    <d v="2024-09-24T00:00:00"/>
    <s v="Mobile App"/>
    <s v="Debit Card"/>
    <s v="Northeast"/>
    <n v="1"/>
    <x v="3"/>
    <n v="13.96"/>
    <n v="0"/>
    <n v="0"/>
    <n v="5.18"/>
    <n v="7.06"/>
    <n v="0"/>
    <n v="0.7"/>
    <s v="No"/>
    <n v="0"/>
    <n v="13.96"/>
    <n v="12.94"/>
    <n v="1.02"/>
    <n v="0"/>
  </r>
  <r>
    <s v="ORD-001140"/>
    <s v="C-0589"/>
    <d v="2025-07-16T00:00:00"/>
    <s v="Website"/>
    <s v="Credit Card"/>
    <s v="Northeast"/>
    <n v="1"/>
    <x v="4"/>
    <n v="73.510000000000005"/>
    <n v="10"/>
    <n v="7.35"/>
    <n v="10.54"/>
    <n v="25.02"/>
    <n v="0"/>
    <n v="2.2200000000000002"/>
    <s v="No"/>
    <n v="0"/>
    <n v="66.16"/>
    <n v="37.78"/>
    <n v="28.38"/>
    <n v="0"/>
  </r>
  <r>
    <s v="ORD-001141"/>
    <s v="C-0204"/>
    <d v="2024-12-10T00:00:00"/>
    <s v="Website"/>
    <s v="Credit Card"/>
    <s v="Southwest"/>
    <n v="1"/>
    <x v="5"/>
    <n v="52.69"/>
    <n v="10"/>
    <n v="5.27"/>
    <n v="5.82"/>
    <n v="23.14"/>
    <n v="0"/>
    <n v="1.68"/>
    <s v="No"/>
    <n v="0"/>
    <n v="47.42"/>
    <n v="30.64"/>
    <n v="16.78"/>
    <n v="0"/>
  </r>
  <r>
    <s v="ORD-001142"/>
    <s v="C-0059"/>
    <d v="2025-08-14T00:00:00"/>
    <s v="Website"/>
    <s v="Buy Now Pay Later"/>
    <s v="Midwest"/>
    <n v="1"/>
    <x v="5"/>
    <n v="35.64"/>
    <n v="5"/>
    <n v="1.78"/>
    <n v="13.18"/>
    <n v="10.44"/>
    <n v="0"/>
    <n v="1.28"/>
    <s v="No"/>
    <n v="0"/>
    <n v="33.86"/>
    <n v="24.9"/>
    <n v="8.9600000000000009"/>
    <n v="0"/>
  </r>
  <r>
    <s v="ORD-001143"/>
    <s v="C-0575"/>
    <d v="2025-06-09T00:00:00"/>
    <s v="Social Commerce"/>
    <s v="Debit Card"/>
    <s v="Southeast"/>
    <n v="2"/>
    <x v="4"/>
    <n v="85.49"/>
    <n v="5"/>
    <n v="4.2699999999999996"/>
    <n v="20.16"/>
    <n v="40.700000000000003"/>
    <n v="6.5"/>
    <n v="2.66"/>
    <s v="No"/>
    <n v="0"/>
    <n v="81.22"/>
    <n v="70.02"/>
    <n v="11.2"/>
    <n v="0"/>
  </r>
  <r>
    <s v="ORD-001144"/>
    <s v="C-0489"/>
    <d v="2024-12-27T00:00:00"/>
    <s v="Mobile App"/>
    <s v="Credit Card"/>
    <s v="Southwest"/>
    <n v="3"/>
    <x v="0"/>
    <n v="319.8"/>
    <n v="0"/>
    <n v="0"/>
    <n v="28.18"/>
    <n v="117.4"/>
    <n v="0"/>
    <n v="9.57"/>
    <s v="No"/>
    <n v="0"/>
    <n v="319.8"/>
    <n v="155.15"/>
    <n v="164.65"/>
    <n v="0"/>
  </r>
  <r>
    <s v="ORD-001145"/>
    <s v="C-0455"/>
    <d v="2025-02-03T00:00:00"/>
    <s v="Mobile App"/>
    <s v="Debit Card"/>
    <s v="Northeast"/>
    <n v="2"/>
    <x v="6"/>
    <n v="96.4"/>
    <n v="0"/>
    <n v="0"/>
    <n v="29.22"/>
    <n v="36.049999999999997"/>
    <n v="0"/>
    <n v="3.1"/>
    <s v="Yes"/>
    <n v="96.4"/>
    <n v="0"/>
    <n v="68.37"/>
    <n v="-68.37"/>
    <n v="0"/>
  </r>
  <r>
    <s v="ORD-001146"/>
    <s v="C-0392"/>
    <d v="2025-11-08T00:00:00"/>
    <s v="Social Commerce"/>
    <s v="PayPal"/>
    <s v="Southeast"/>
    <n v="4"/>
    <x v="4"/>
    <n v="228.81"/>
    <n v="0"/>
    <n v="0"/>
    <n v="54.44"/>
    <n v="105.17"/>
    <n v="18.3"/>
    <n v="6.94"/>
    <s v="No"/>
    <n v="0"/>
    <n v="228.81"/>
    <n v="184.85"/>
    <n v="43.96"/>
    <n v="0"/>
  </r>
  <r>
    <s v="ORD-001147"/>
    <s v="C-0055"/>
    <d v="2025-06-01T00:00:00"/>
    <s v="Mobile App"/>
    <s v="PayPal"/>
    <s v="Southwest"/>
    <n v="1"/>
    <x v="5"/>
    <n v="41.34"/>
    <n v="15"/>
    <n v="6.2"/>
    <n v="11.18"/>
    <n v="21.84"/>
    <n v="0"/>
    <n v="1.32"/>
    <s v="No"/>
    <n v="0"/>
    <n v="35.14"/>
    <n v="34.340000000000003"/>
    <n v="0.8"/>
    <n v="1"/>
  </r>
  <r>
    <s v="ORD-001148"/>
    <s v="C-0398"/>
    <d v="2025-11-12T00:00:00"/>
    <s v="Website"/>
    <s v="Credit Card"/>
    <s v="Southwest"/>
    <n v="2"/>
    <x v="3"/>
    <n v="310.83999999999997"/>
    <n v="0"/>
    <n v="0"/>
    <n v="24.58"/>
    <n v="94.94"/>
    <n v="0"/>
    <n v="9.31"/>
    <s v="No"/>
    <n v="0"/>
    <n v="310.83999999999997"/>
    <n v="128.83000000000001"/>
    <n v="182.01"/>
    <n v="0"/>
  </r>
  <r>
    <s v="ORD-001149"/>
    <s v="C-0396"/>
    <d v="2025-03-22T00:00:00"/>
    <s v="Website"/>
    <s v="Credit Card"/>
    <s v="Southeast"/>
    <n v="1"/>
    <x v="7"/>
    <n v="62.18"/>
    <n v="0"/>
    <n v="0"/>
    <n v="6.06"/>
    <n v="26.96"/>
    <n v="0"/>
    <n v="2.1"/>
    <s v="No"/>
    <n v="0"/>
    <n v="62.18"/>
    <n v="35.119999999999997"/>
    <n v="27.06"/>
    <n v="0"/>
  </r>
  <r>
    <s v="ORD-001150"/>
    <s v="C-0459"/>
    <d v="2025-10-30T00:00:00"/>
    <s v="Website"/>
    <s v="Gift Card"/>
    <s v="Southwest"/>
    <n v="3"/>
    <x v="0"/>
    <n v="128.85"/>
    <n v="0"/>
    <n v="0"/>
    <n v="65.400000000000006"/>
    <n v="71.959999999999994"/>
    <n v="0"/>
    <n v="4.04"/>
    <s v="No"/>
    <n v="0"/>
    <n v="128.85"/>
    <n v="141.4"/>
    <n v="-12.55"/>
    <n v="0"/>
  </r>
  <r>
    <s v="ORD-001151"/>
    <s v="C-0723"/>
    <d v="2025-07-06T00:00:00"/>
    <s v="Website"/>
    <s v="Gift Card"/>
    <s v="Northeast"/>
    <n v="1"/>
    <x v="2"/>
    <n v="45.16"/>
    <n v="20"/>
    <n v="9.0299999999999994"/>
    <n v="9.9"/>
    <n v="21.86"/>
    <n v="0"/>
    <n v="1.35"/>
    <s v="No"/>
    <n v="0"/>
    <n v="36.130000000000003"/>
    <n v="33.11"/>
    <n v="3.02"/>
    <n v="0"/>
  </r>
  <r>
    <s v="ORD-001152"/>
    <s v="C-0247"/>
    <d v="2024-12-16T00:00:00"/>
    <s v="Mobile App"/>
    <s v="Credit Card"/>
    <s v="West Coast"/>
    <n v="1"/>
    <x v="0"/>
    <n v="78.790000000000006"/>
    <n v="0"/>
    <n v="0"/>
    <n v="13.5"/>
    <n v="31.36"/>
    <n v="0"/>
    <n v="2.58"/>
    <s v="No"/>
    <n v="0"/>
    <n v="78.790000000000006"/>
    <n v="47.44"/>
    <n v="31.35"/>
    <n v="0"/>
  </r>
  <r>
    <s v="ORD-001153"/>
    <s v="C-0770"/>
    <d v="2024-09-20T00:00:00"/>
    <s v="Website"/>
    <s v="Credit Card"/>
    <s v="Southeast"/>
    <n v="1"/>
    <x v="5"/>
    <n v="27.84"/>
    <n v="0"/>
    <n v="0"/>
    <n v="7.42"/>
    <n v="8.24"/>
    <n v="0"/>
    <n v="1.1100000000000001"/>
    <s v="No"/>
    <n v="0"/>
    <n v="27.84"/>
    <n v="16.77"/>
    <n v="11.07"/>
    <n v="0"/>
  </r>
  <r>
    <s v="ORD-001154"/>
    <s v="C-0443"/>
    <d v="2025-04-12T00:00:00"/>
    <s v="Mobile App"/>
    <s v="PayPal"/>
    <s v="Midwest"/>
    <n v="2"/>
    <x v="4"/>
    <n v="119.1"/>
    <n v="0"/>
    <n v="0"/>
    <n v="19.559999999999999"/>
    <n v="46.76"/>
    <n v="0"/>
    <n v="3.75"/>
    <s v="No"/>
    <n v="0"/>
    <n v="119.1"/>
    <n v="70.069999999999993"/>
    <n v="49.03"/>
    <n v="0"/>
  </r>
  <r>
    <s v="ORD-001155"/>
    <s v="C-0667"/>
    <d v="2025-06-23T00:00:00"/>
    <s v="Website"/>
    <s v="Gift Card"/>
    <s v="Midwest"/>
    <n v="1"/>
    <x v="1"/>
    <n v="17.62"/>
    <n v="0"/>
    <n v="0"/>
    <n v="11.66"/>
    <n v="8.5299999999999994"/>
    <n v="0"/>
    <n v="0.81"/>
    <s v="No"/>
    <n v="0"/>
    <n v="17.62"/>
    <n v="21"/>
    <n v="-3.38"/>
    <n v="0"/>
  </r>
  <r>
    <s v="ORD-001156"/>
    <s v="C-0029"/>
    <d v="2024-08-29T00:00:00"/>
    <s v="Website"/>
    <s v="Credit Card"/>
    <s v="West Coast"/>
    <n v="2"/>
    <x v="4"/>
    <n v="87.85"/>
    <n v="20"/>
    <n v="17.57"/>
    <n v="43.14"/>
    <n v="36.56"/>
    <n v="0"/>
    <n v="2.34"/>
    <s v="No"/>
    <n v="0"/>
    <n v="70.28"/>
    <n v="82.04"/>
    <n v="-11.76"/>
    <n v="0"/>
  </r>
  <r>
    <s v="ORD-001157"/>
    <s v="C-0296"/>
    <d v="2024-04-30T00:00:00"/>
    <s v="Mobile App"/>
    <s v="PayPal"/>
    <s v="Southwest"/>
    <n v="5"/>
    <x v="0"/>
    <n v="541.83000000000004"/>
    <n v="0"/>
    <n v="0"/>
    <n v="76"/>
    <n v="197.75"/>
    <n v="0"/>
    <n v="16.010000000000002"/>
    <s v="No"/>
    <n v="0"/>
    <n v="541.83000000000004"/>
    <n v="289.76"/>
    <n v="252.07"/>
    <n v="0"/>
  </r>
  <r>
    <s v="ORD-001158"/>
    <s v="C-0138"/>
    <d v="2025-08-25T00:00:00"/>
    <s v="Social Commerce"/>
    <s v="PayPal"/>
    <s v="Southwest"/>
    <n v="1"/>
    <x v="1"/>
    <n v="18.829999999999998"/>
    <n v="0"/>
    <n v="0"/>
    <n v="9.9"/>
    <n v="11.04"/>
    <n v="1.51"/>
    <n v="0.85"/>
    <s v="No"/>
    <n v="0"/>
    <n v="18.829999999999998"/>
    <n v="23.3"/>
    <n v="-4.47"/>
    <n v="0"/>
  </r>
  <r>
    <s v="ORD-001159"/>
    <s v="C-0705"/>
    <d v="2025-06-11T00:00:00"/>
    <s v="Website"/>
    <s v="PayPal"/>
    <s v="Northeast"/>
    <n v="1"/>
    <x v="2"/>
    <n v="168.08"/>
    <n v="20"/>
    <n v="33.619999999999997"/>
    <n v="8.44"/>
    <n v="51.94"/>
    <n v="0"/>
    <n v="4.2"/>
    <s v="No"/>
    <n v="0"/>
    <n v="134.46"/>
    <n v="64.58"/>
    <n v="69.88"/>
    <n v="0"/>
  </r>
  <r>
    <s v="ORD-001160"/>
    <s v="C-0512"/>
    <d v="2024-09-22T00:00:00"/>
    <s v="Marketplace"/>
    <s v="Buy Now Pay Later"/>
    <s v="Northeast"/>
    <n v="1"/>
    <x v="5"/>
    <n v="50.95"/>
    <n v="25"/>
    <n v="12.74"/>
    <n v="14.38"/>
    <n v="18.739999999999998"/>
    <n v="5.73"/>
    <n v="1.41"/>
    <s v="No"/>
    <n v="0"/>
    <n v="38.21"/>
    <n v="40.26"/>
    <n v="-2.0499999999999998"/>
    <n v="0"/>
  </r>
  <r>
    <s v="ORD-001161"/>
    <s v="C-0614"/>
    <d v="2025-07-21T00:00:00"/>
    <s v="Marketplace"/>
    <s v="PayPal"/>
    <s v="Midwest"/>
    <n v="3"/>
    <x v="7"/>
    <n v="268.01"/>
    <n v="0"/>
    <n v="0"/>
    <n v="30.74"/>
    <n v="91.05"/>
    <n v="40.200000000000003"/>
    <n v="8.07"/>
    <s v="Yes"/>
    <n v="268.01"/>
    <n v="0"/>
    <n v="170.06"/>
    <n v="-170.06"/>
    <n v="0"/>
  </r>
  <r>
    <s v="ORD-001162"/>
    <s v="C-0275"/>
    <d v="2025-07-03T00:00:00"/>
    <s v="Marketplace"/>
    <s v="Credit Card"/>
    <s v="Northeast"/>
    <n v="1"/>
    <x v="3"/>
    <n v="53.21"/>
    <n v="15"/>
    <n v="7.98"/>
    <n v="3.98"/>
    <n v="36.39"/>
    <n v="6.78"/>
    <n v="1.61"/>
    <s v="No"/>
    <n v="0"/>
    <n v="45.23"/>
    <n v="48.76"/>
    <n v="-3.53"/>
    <n v="0"/>
  </r>
  <r>
    <s v="ORD-001163"/>
    <s v="C-0554"/>
    <d v="2025-05-20T00:00:00"/>
    <s v="Social Commerce"/>
    <s v="Debit Card"/>
    <s v="Southeast"/>
    <n v="3"/>
    <x v="6"/>
    <n v="106.82"/>
    <n v="10"/>
    <n v="10.68"/>
    <n v="38.9"/>
    <n v="39.299999999999997"/>
    <n v="7.69"/>
    <n v="3.09"/>
    <s v="No"/>
    <n v="0"/>
    <n v="96.14"/>
    <n v="88.98"/>
    <n v="7.16"/>
    <n v="1"/>
  </r>
  <r>
    <s v="ORD-001164"/>
    <s v="C-0179"/>
    <d v="2025-11-02T00:00:00"/>
    <s v="Website"/>
    <s v="Gift Card"/>
    <s v="Southwest"/>
    <n v="2"/>
    <x v="5"/>
    <n v="228.02"/>
    <n v="5"/>
    <n v="11.4"/>
    <n v="23.24"/>
    <n v="83.03"/>
    <n v="0"/>
    <n v="6.58"/>
    <s v="No"/>
    <n v="0"/>
    <n v="216.62"/>
    <n v="112.85"/>
    <n v="103.77"/>
    <n v="0"/>
  </r>
  <r>
    <s v="ORD-001165"/>
    <s v="C-0044"/>
    <d v="2025-05-21T00:00:00"/>
    <s v="Marketplace"/>
    <s v="Gift Card"/>
    <s v="West Coast"/>
    <n v="2"/>
    <x v="0"/>
    <n v="276.70999999999998"/>
    <n v="0"/>
    <n v="0"/>
    <n v="15.48"/>
    <n v="107.05"/>
    <n v="41.51"/>
    <n v="8.32"/>
    <s v="No"/>
    <n v="0"/>
    <n v="276.70999999999998"/>
    <n v="172.36"/>
    <n v="104.35"/>
    <n v="0"/>
  </r>
  <r>
    <s v="ORD-001166"/>
    <s v="C-0744"/>
    <d v="2025-06-20T00:00:00"/>
    <s v="Website"/>
    <s v="Buy Now Pay Later"/>
    <s v="Southeast"/>
    <n v="1"/>
    <x v="4"/>
    <n v="40.89"/>
    <n v="10"/>
    <n v="4.09"/>
    <n v="15.1"/>
    <n v="16.21"/>
    <n v="0"/>
    <n v="1.37"/>
    <s v="No"/>
    <n v="0"/>
    <n v="36.799999999999997"/>
    <n v="32.68"/>
    <n v="4.12"/>
    <n v="0"/>
  </r>
  <r>
    <s v="ORD-001167"/>
    <s v="C-0742"/>
    <d v="2025-01-09T00:00:00"/>
    <s v="Website"/>
    <s v="Credit Card"/>
    <s v="West Coast"/>
    <n v="2"/>
    <x v="6"/>
    <n v="66.11"/>
    <n v="20"/>
    <n v="13.22"/>
    <n v="15.8"/>
    <n v="25.44"/>
    <n v="0"/>
    <n v="1.83"/>
    <s v="No"/>
    <n v="0"/>
    <n v="52.89"/>
    <n v="43.07"/>
    <n v="9.82"/>
    <n v="0"/>
  </r>
  <r>
    <s v="ORD-001168"/>
    <s v="C-0064"/>
    <d v="2025-07-18T00:00:00"/>
    <s v="Mobile App"/>
    <s v="Credit Card"/>
    <s v="West Coast"/>
    <n v="1"/>
    <x v="3"/>
    <n v="124.64"/>
    <n v="5"/>
    <n v="6.23"/>
    <n v="26.36"/>
    <n v="69.58"/>
    <n v="0"/>
    <n v="3.73"/>
    <s v="No"/>
    <n v="0"/>
    <n v="118.41"/>
    <n v="99.67"/>
    <n v="18.739999999999998"/>
    <n v="0"/>
  </r>
  <r>
    <s v="ORD-001169"/>
    <s v="C-0516"/>
    <d v="2025-10-21T00:00:00"/>
    <s v="Mobile App"/>
    <s v="Credit Card"/>
    <s v="West Coast"/>
    <n v="1"/>
    <x v="5"/>
    <n v="111.44"/>
    <n v="5"/>
    <n v="5.57"/>
    <n v="9.02"/>
    <n v="36.340000000000003"/>
    <n v="0"/>
    <n v="3.37"/>
    <s v="No"/>
    <n v="0"/>
    <n v="105.87"/>
    <n v="48.73"/>
    <n v="57.14"/>
    <n v="0"/>
  </r>
  <r>
    <s v="ORD-001170"/>
    <s v="C-0498"/>
    <d v="2024-08-01T00:00:00"/>
    <s v="Social Commerce"/>
    <s v="Credit Card"/>
    <s v="Southwest"/>
    <n v="1"/>
    <x v="1"/>
    <n v="25.01"/>
    <n v="0"/>
    <n v="0"/>
    <n v="7.9"/>
    <n v="9.01"/>
    <n v="2"/>
    <n v="1.03"/>
    <s v="No"/>
    <n v="0"/>
    <n v="25.01"/>
    <n v="19.940000000000001"/>
    <n v="5.07"/>
    <n v="0"/>
  </r>
  <r>
    <s v="ORD-001171"/>
    <s v="C-0100"/>
    <d v="2025-03-18T00:00:00"/>
    <s v="Marketplace"/>
    <s v="Buy Now Pay Later"/>
    <s v="Midwest"/>
    <n v="2"/>
    <x v="4"/>
    <n v="78.27"/>
    <n v="0"/>
    <n v="0"/>
    <n v="26.04"/>
    <n v="38.090000000000003"/>
    <n v="11.74"/>
    <n v="2.57"/>
    <s v="No"/>
    <n v="0"/>
    <n v="78.27"/>
    <n v="78.44"/>
    <n v="-0.17"/>
    <n v="0"/>
  </r>
  <r>
    <s v="ORD-001172"/>
    <s v="C-0371"/>
    <d v="2025-10-02T00:00:00"/>
    <s v="Website"/>
    <s v="Buy Now Pay Later"/>
    <s v="Southwest"/>
    <n v="2"/>
    <x v="7"/>
    <n v="110.14"/>
    <n v="10"/>
    <n v="11.01"/>
    <n v="16.28"/>
    <n v="47.93"/>
    <n v="0"/>
    <n v="3.17"/>
    <s v="No"/>
    <n v="0"/>
    <n v="99.13"/>
    <n v="67.38"/>
    <n v="31.75"/>
    <n v="0"/>
  </r>
  <r>
    <s v="ORD-001173"/>
    <s v="C-0509"/>
    <d v="2025-05-10T00:00:00"/>
    <s v="Marketplace"/>
    <s v="Buy Now Pay Later"/>
    <s v="Southwest"/>
    <n v="2"/>
    <x v="2"/>
    <n v="53.18"/>
    <n v="0"/>
    <n v="0"/>
    <n v="22.68"/>
    <n v="27.55"/>
    <n v="7.98"/>
    <n v="1.84"/>
    <s v="No"/>
    <n v="0"/>
    <n v="53.18"/>
    <n v="60.05"/>
    <n v="-6.87"/>
    <n v="0"/>
  </r>
  <r>
    <s v="ORD-001174"/>
    <s v="C-0676"/>
    <d v="2025-12-23T00:00:00"/>
    <s v="Mobile App"/>
    <s v="Credit Card"/>
    <s v="Southwest"/>
    <n v="2"/>
    <x v="2"/>
    <n v="170.11"/>
    <n v="25"/>
    <n v="42.53"/>
    <n v="20.28"/>
    <n v="71.680000000000007"/>
    <n v="0"/>
    <n v="4"/>
    <s v="No"/>
    <n v="0"/>
    <n v="127.58"/>
    <n v="95.96"/>
    <n v="31.62"/>
    <n v="0"/>
  </r>
  <r>
    <s v="ORD-001175"/>
    <s v="C-0060"/>
    <d v="2025-10-04T00:00:00"/>
    <s v="Social Commerce"/>
    <s v="Credit Card"/>
    <s v="Northeast"/>
    <n v="1"/>
    <x v="3"/>
    <n v="49.35"/>
    <n v="5"/>
    <n v="2.4700000000000002"/>
    <n v="8.3800000000000008"/>
    <n v="26.77"/>
    <n v="3.75"/>
    <n v="1.66"/>
    <s v="No"/>
    <n v="0"/>
    <n v="46.88"/>
    <n v="40.56"/>
    <n v="6.32"/>
    <n v="0"/>
  </r>
  <r>
    <s v="ORD-001176"/>
    <s v="C-0015"/>
    <d v="2025-02-01T00:00:00"/>
    <s v="Website"/>
    <s v="Credit Card"/>
    <s v="Southwest"/>
    <n v="2"/>
    <x v="4"/>
    <n v="88.65"/>
    <n v="20"/>
    <n v="17.73"/>
    <n v="23.72"/>
    <n v="27.97"/>
    <n v="0"/>
    <n v="2.36"/>
    <s v="No"/>
    <n v="0"/>
    <n v="70.92"/>
    <n v="54.05"/>
    <n v="16.87"/>
    <n v="0"/>
  </r>
  <r>
    <s v="ORD-001177"/>
    <s v="C-0078"/>
    <d v="2024-12-25T00:00:00"/>
    <s v="Mobile App"/>
    <s v="Credit Card"/>
    <s v="West Coast"/>
    <n v="2"/>
    <x v="4"/>
    <n v="72.099999999999994"/>
    <n v="5"/>
    <n v="3.61"/>
    <n v="50.48"/>
    <n v="36.54"/>
    <n v="0"/>
    <n v="2.29"/>
    <s v="No"/>
    <n v="0"/>
    <n v="68.489999999999995"/>
    <n v="89.31"/>
    <n v="-20.82"/>
    <n v="0"/>
  </r>
  <r>
    <s v="ORD-001178"/>
    <s v="C-0085"/>
    <d v="2025-02-09T00:00:00"/>
    <s v="Mobile App"/>
    <s v="Buy Now Pay Later"/>
    <s v="Midwest"/>
    <n v="1"/>
    <x v="0"/>
    <n v="37.71"/>
    <n v="0"/>
    <n v="0"/>
    <n v="14.46"/>
    <n v="11.89"/>
    <n v="0"/>
    <n v="1.39"/>
    <s v="No"/>
    <n v="0"/>
    <n v="37.71"/>
    <n v="27.74"/>
    <n v="9.9700000000000006"/>
    <n v="0"/>
  </r>
  <r>
    <s v="ORD-001179"/>
    <s v="C-0677"/>
    <d v="2024-10-20T00:00:00"/>
    <s v="Marketplace"/>
    <s v="Credit Card"/>
    <s v="Midwest"/>
    <n v="2"/>
    <x v="6"/>
    <n v="71.209999999999994"/>
    <n v="0"/>
    <n v="0"/>
    <n v="23.8"/>
    <n v="24.29"/>
    <n v="10.68"/>
    <n v="2.37"/>
    <s v="No"/>
    <n v="0"/>
    <n v="71.209999999999994"/>
    <n v="61.14"/>
    <n v="10.07"/>
    <n v="0"/>
  </r>
  <r>
    <s v="ORD-001180"/>
    <s v="C-0588"/>
    <d v="2024-11-09T00:00:00"/>
    <s v="Mobile App"/>
    <s v="Gift Card"/>
    <s v="Southeast"/>
    <n v="1"/>
    <x v="6"/>
    <n v="16.190000000000001"/>
    <n v="10"/>
    <n v="1.62"/>
    <n v="14.7"/>
    <n v="5.89"/>
    <n v="0"/>
    <n v="0.72"/>
    <s v="No"/>
    <n v="0"/>
    <n v="14.57"/>
    <n v="21.31"/>
    <n v="-6.74"/>
    <n v="0"/>
  </r>
  <r>
    <s v="ORD-001181"/>
    <s v="C-0438"/>
    <d v="2024-12-22T00:00:00"/>
    <s v="Mobile App"/>
    <s v="PayPal"/>
    <s v="Midwest"/>
    <n v="3"/>
    <x v="7"/>
    <n v="256.37"/>
    <n v="0"/>
    <n v="0"/>
    <n v="41.04"/>
    <n v="106.75"/>
    <n v="0"/>
    <n v="7.73"/>
    <s v="No"/>
    <n v="0"/>
    <n v="256.37"/>
    <n v="155.52000000000001"/>
    <n v="100.85"/>
    <n v="0"/>
  </r>
  <r>
    <s v="ORD-001182"/>
    <s v="C-0717"/>
    <d v="2024-03-14T00:00:00"/>
    <s v="Website"/>
    <s v="PayPal"/>
    <s v="West Coast"/>
    <n v="3"/>
    <x v="7"/>
    <n v="232.38"/>
    <n v="5"/>
    <n v="11.62"/>
    <n v="44.94"/>
    <n v="78.09"/>
    <n v="0"/>
    <n v="6.7"/>
    <s v="No"/>
    <n v="0"/>
    <n v="220.76"/>
    <n v="129.72999999999999"/>
    <n v="91.03"/>
    <n v="0"/>
  </r>
  <r>
    <s v="ORD-001183"/>
    <s v="C-0023"/>
    <d v="2024-11-30T00:00:00"/>
    <s v="Marketplace"/>
    <s v="Credit Card"/>
    <s v="West Coast"/>
    <n v="1"/>
    <x v="5"/>
    <n v="41.34"/>
    <n v="15"/>
    <n v="6.2"/>
    <n v="11.18"/>
    <n v="21.84"/>
    <n v="5.27"/>
    <n v="1.32"/>
    <s v="No"/>
    <n v="0"/>
    <n v="35.14"/>
    <n v="39.61"/>
    <n v="-4.47"/>
    <n v="0"/>
  </r>
  <r>
    <s v="ORD-001184"/>
    <s v="C-0160"/>
    <d v="2025-03-15T00:00:00"/>
    <s v="Mobile App"/>
    <s v="Credit Card"/>
    <s v="Midwest"/>
    <n v="2"/>
    <x v="4"/>
    <n v="245.81"/>
    <n v="0"/>
    <n v="0"/>
    <n v="37.840000000000003"/>
    <n v="93.47"/>
    <n v="0"/>
    <n v="7.43"/>
    <s v="No"/>
    <n v="0"/>
    <n v="245.81"/>
    <n v="138.74"/>
    <n v="107.07"/>
    <n v="0"/>
  </r>
  <r>
    <s v="ORD-001185"/>
    <s v="C-0086"/>
    <d v="2024-10-09T00:00:00"/>
    <s v="Mobile App"/>
    <s v="Credit Card"/>
    <s v="Northeast"/>
    <n v="2"/>
    <x v="6"/>
    <n v="195.03"/>
    <n v="5"/>
    <n v="9.75"/>
    <n v="11.56"/>
    <n v="70.040000000000006"/>
    <n v="0"/>
    <n v="5.67"/>
    <s v="No"/>
    <n v="0"/>
    <n v="185.28"/>
    <n v="87.27"/>
    <n v="98.01"/>
    <n v="0"/>
  </r>
  <r>
    <s v="ORD-001186"/>
    <s v="C-0619"/>
    <d v="2024-04-30T00:00:00"/>
    <s v="Mobile App"/>
    <s v="Credit Card"/>
    <s v="Midwest"/>
    <n v="1"/>
    <x v="5"/>
    <n v="86.62"/>
    <n v="20"/>
    <n v="17.32"/>
    <n v="7.58"/>
    <n v="37.79"/>
    <n v="0"/>
    <n v="2.31"/>
    <s v="No"/>
    <n v="0"/>
    <n v="69.3"/>
    <n v="47.68"/>
    <n v="21.62"/>
    <n v="0"/>
  </r>
  <r>
    <s v="ORD-001187"/>
    <s v="C-0088"/>
    <d v="2025-10-29T00:00:00"/>
    <s v="Website"/>
    <s v="Debit Card"/>
    <s v="Midwest"/>
    <n v="1"/>
    <x v="1"/>
    <n v="73.2"/>
    <n v="20"/>
    <n v="14.64"/>
    <n v="21.24"/>
    <n v="29.28"/>
    <n v="0"/>
    <n v="2"/>
    <s v="No"/>
    <n v="0"/>
    <n v="58.56"/>
    <n v="52.52"/>
    <n v="6.04"/>
    <n v="0"/>
  </r>
  <r>
    <s v="ORD-001188"/>
    <s v="C-0600"/>
    <d v="2024-08-09T00:00:00"/>
    <s v="Mobile App"/>
    <s v="Buy Now Pay Later"/>
    <s v="Southeast"/>
    <n v="1"/>
    <x v="3"/>
    <n v="13.96"/>
    <n v="15"/>
    <n v="2.09"/>
    <n v="5.18"/>
    <n v="7.06"/>
    <n v="0"/>
    <n v="0.64"/>
    <s v="No"/>
    <n v="0"/>
    <n v="11.87"/>
    <n v="12.88"/>
    <n v="-1.01"/>
    <n v="0"/>
  </r>
  <r>
    <s v="ORD-001189"/>
    <s v="C-0241"/>
    <d v="2025-09-09T00:00:00"/>
    <s v="Website"/>
    <s v="PayPal"/>
    <s v="Northeast"/>
    <n v="3"/>
    <x v="4"/>
    <n v="55.44"/>
    <n v="10"/>
    <n v="5.54"/>
    <n v="30.26"/>
    <n v="30.09"/>
    <n v="0"/>
    <n v="1.75"/>
    <s v="No"/>
    <n v="0"/>
    <n v="49.9"/>
    <n v="62.1"/>
    <n v="-12.2"/>
    <n v="0"/>
  </r>
  <r>
    <s v="ORD-001190"/>
    <s v="C-0699"/>
    <d v="2025-03-18T00:00:00"/>
    <s v="Marketplace"/>
    <s v="Debit Card"/>
    <s v="Northeast"/>
    <n v="2"/>
    <x v="0"/>
    <n v="136.63999999999999"/>
    <n v="5"/>
    <n v="6.83"/>
    <n v="16.68"/>
    <n v="57.2"/>
    <n v="19.47"/>
    <n v="4.0599999999999996"/>
    <s v="No"/>
    <n v="0"/>
    <n v="129.81"/>
    <n v="97.41"/>
    <n v="32.4"/>
    <n v="0"/>
  </r>
  <r>
    <s v="ORD-001191"/>
    <s v="C-0445"/>
    <d v="2025-03-25T00:00:00"/>
    <s v="Mobile App"/>
    <s v="Debit Card"/>
    <s v="West Coast"/>
    <n v="1"/>
    <x v="1"/>
    <n v="33.33"/>
    <n v="0"/>
    <n v="0"/>
    <n v="32.82"/>
    <n v="21.93"/>
    <n v="0"/>
    <n v="1.27"/>
    <s v="No"/>
    <n v="0"/>
    <n v="33.33"/>
    <n v="56.02"/>
    <n v="-22.69"/>
    <n v="0"/>
  </r>
  <r>
    <s v="ORD-001192"/>
    <s v="C-0367"/>
    <d v="2024-03-11T00:00:00"/>
    <s v="Mobile App"/>
    <s v="PayPal"/>
    <s v="Midwest"/>
    <n v="3"/>
    <x v="2"/>
    <n v="399.55"/>
    <n v="0"/>
    <n v="0"/>
    <n v="79.38"/>
    <n v="215.71"/>
    <n v="0"/>
    <n v="11.89"/>
    <s v="No"/>
    <n v="0"/>
    <n v="399.55"/>
    <n v="306.98"/>
    <n v="92.57"/>
    <n v="0"/>
  </r>
  <r>
    <s v="ORD-001193"/>
    <s v="C-0794"/>
    <d v="2024-07-08T00:00:00"/>
    <s v="Mobile App"/>
    <s v="PayPal"/>
    <s v="Southeast"/>
    <n v="3"/>
    <x v="1"/>
    <n v="115.4"/>
    <n v="10"/>
    <n v="11.54"/>
    <n v="32.72"/>
    <n v="42.5"/>
    <n v="0"/>
    <n v="3.31"/>
    <s v="No"/>
    <n v="0"/>
    <n v="103.86"/>
    <n v="78.53"/>
    <n v="25.33"/>
    <n v="0"/>
  </r>
  <r>
    <s v="ORD-001194"/>
    <s v="C-0118"/>
    <d v="2024-12-24T00:00:00"/>
    <s v="Mobile App"/>
    <s v="Credit Card"/>
    <s v="West Coast"/>
    <n v="1"/>
    <x v="6"/>
    <n v="23.61"/>
    <n v="20"/>
    <n v="4.72"/>
    <n v="8.2200000000000006"/>
    <n v="7.31"/>
    <n v="0"/>
    <n v="0.85"/>
    <s v="No"/>
    <n v="0"/>
    <n v="18.89"/>
    <n v="16.38"/>
    <n v="2.5099999999999998"/>
    <n v="0"/>
  </r>
  <r>
    <s v="ORD-001195"/>
    <s v="C-0025"/>
    <d v="2024-11-02T00:00:00"/>
    <s v="Website"/>
    <s v="PayPal"/>
    <s v="West Coast"/>
    <n v="2"/>
    <x v="2"/>
    <n v="48.39"/>
    <n v="10"/>
    <n v="4.84"/>
    <n v="43.76"/>
    <n v="17.3"/>
    <n v="0"/>
    <n v="1.56"/>
    <s v="No"/>
    <n v="0"/>
    <n v="43.55"/>
    <n v="62.62"/>
    <n v="-19.07"/>
    <n v="0"/>
  </r>
  <r>
    <s v="ORD-001196"/>
    <s v="C-0053"/>
    <d v="2025-03-23T00:00:00"/>
    <s v="Social Commerce"/>
    <s v="PayPal"/>
    <s v="Southwest"/>
    <n v="1"/>
    <x v="1"/>
    <n v="23.64"/>
    <n v="5"/>
    <n v="1.18"/>
    <n v="23.8"/>
    <n v="11.62"/>
    <n v="1.8"/>
    <n v="0.95"/>
    <s v="Yes"/>
    <n v="22.46"/>
    <n v="0"/>
    <n v="38.17"/>
    <n v="-38.17"/>
    <n v="0"/>
  </r>
  <r>
    <s v="ORD-001197"/>
    <s v="C-0028"/>
    <d v="2024-12-16T00:00:00"/>
    <s v="Social Commerce"/>
    <s v="Buy Now Pay Later"/>
    <s v="Southwest"/>
    <n v="3"/>
    <x v="5"/>
    <n v="153.55000000000001"/>
    <n v="10"/>
    <n v="15.36"/>
    <n v="26.98"/>
    <n v="70.150000000000006"/>
    <n v="11.06"/>
    <n v="4.3099999999999996"/>
    <s v="No"/>
    <n v="0"/>
    <n v="138.19"/>
    <n v="112.5"/>
    <n v="25.69"/>
    <n v="0"/>
  </r>
  <r>
    <s v="ORD-001198"/>
    <s v="C-0517"/>
    <d v="2024-12-17T00:00:00"/>
    <s v="Website"/>
    <s v="Debit Card"/>
    <s v="West Coast"/>
    <n v="1"/>
    <x v="5"/>
    <n v="223.28"/>
    <n v="15"/>
    <n v="33.49"/>
    <n v="28.44"/>
    <n v="75.680000000000007"/>
    <n v="0"/>
    <n v="5.8"/>
    <s v="No"/>
    <n v="0"/>
    <n v="189.79"/>
    <n v="109.92"/>
    <n v="79.87"/>
    <n v="1"/>
  </r>
  <r>
    <s v="ORD-001199"/>
    <s v="C-0781"/>
    <d v="2025-02-22T00:00:00"/>
    <s v="Website"/>
    <s v="Gift Card"/>
    <s v="Northeast"/>
    <n v="4"/>
    <x v="1"/>
    <n v="338.73"/>
    <n v="0"/>
    <n v="0"/>
    <n v="58.6"/>
    <n v="130.09"/>
    <n v="0"/>
    <n v="10.119999999999999"/>
    <s v="No"/>
    <n v="0"/>
    <n v="338.73"/>
    <n v="198.81"/>
    <n v="139.91999999999999"/>
    <n v="0"/>
  </r>
  <r>
    <s v="ORD-001200"/>
    <s v="C-0651"/>
    <d v="2025-03-26T00:00:00"/>
    <s v="Mobile App"/>
    <s v="PayPal"/>
    <s v="Northeast"/>
    <n v="2"/>
    <x v="4"/>
    <n v="144.19999999999999"/>
    <n v="15"/>
    <n v="21.63"/>
    <n v="52.4"/>
    <n v="72.040000000000006"/>
    <n v="0"/>
    <n v="3.85"/>
    <s v="No"/>
    <n v="0"/>
    <n v="122.57"/>
    <n v="128.29"/>
    <n v="-5.72"/>
    <n v="0"/>
  </r>
  <r>
    <s v="ORD-001201"/>
    <s v="C-0117"/>
    <d v="2025-02-11T00:00:00"/>
    <s v="Marketplace"/>
    <s v="Buy Now Pay Later"/>
    <s v="Midwest"/>
    <n v="1"/>
    <x v="7"/>
    <n v="13.82"/>
    <n v="10"/>
    <n v="1.38"/>
    <n v="15.18"/>
    <n v="6.6"/>
    <n v="1.87"/>
    <n v="0.66"/>
    <s v="No"/>
    <n v="0"/>
    <n v="12.44"/>
    <n v="24.31"/>
    <n v="-11.87"/>
    <n v="0"/>
  </r>
  <r>
    <s v="ORD-001202"/>
    <s v="C-0444"/>
    <d v="2025-11-23T00:00:00"/>
    <s v="Social Commerce"/>
    <s v="Credit Card"/>
    <s v="Southwest"/>
    <n v="2"/>
    <x v="0"/>
    <n v="241.64"/>
    <n v="0"/>
    <n v="0"/>
    <n v="38.24"/>
    <n v="151.96"/>
    <n v="19.329999999999998"/>
    <n v="7.31"/>
    <s v="No"/>
    <n v="0"/>
    <n v="241.64"/>
    <n v="216.84"/>
    <n v="24.8"/>
    <n v="0"/>
  </r>
  <r>
    <s v="ORD-001203"/>
    <s v="C-0038"/>
    <d v="2025-01-09T00:00:00"/>
    <s v="Social Commerce"/>
    <s v="Credit Card"/>
    <s v="Southeast"/>
    <n v="2"/>
    <x v="6"/>
    <n v="79.47"/>
    <n v="20"/>
    <n v="15.89"/>
    <n v="31.78"/>
    <n v="33.18"/>
    <n v="5.09"/>
    <n v="2.14"/>
    <s v="No"/>
    <n v="0"/>
    <n v="63.58"/>
    <n v="72.19"/>
    <n v="-8.61"/>
    <n v="0"/>
  </r>
  <r>
    <s v="ORD-001204"/>
    <s v="C-0679"/>
    <d v="2024-11-03T00:00:00"/>
    <s v="Marketplace"/>
    <s v="Credit Card"/>
    <s v="Northeast"/>
    <n v="1"/>
    <x v="3"/>
    <n v="72.69"/>
    <n v="0"/>
    <n v="0"/>
    <n v="20.100000000000001"/>
    <n v="38.909999999999997"/>
    <n v="10.9"/>
    <n v="2.41"/>
    <s v="No"/>
    <n v="0"/>
    <n v="72.69"/>
    <n v="72.319999999999993"/>
    <n v="0.37"/>
    <n v="0"/>
  </r>
  <r>
    <s v="ORD-001205"/>
    <s v="C-0373"/>
    <d v="2025-12-11T00:00:00"/>
    <s v="Mobile App"/>
    <s v="Buy Now Pay Later"/>
    <s v="West Coast"/>
    <n v="1"/>
    <x v="0"/>
    <n v="68.98"/>
    <n v="15"/>
    <n v="10.35"/>
    <n v="14.54"/>
    <n v="25.39"/>
    <n v="0"/>
    <n v="2"/>
    <s v="No"/>
    <n v="0"/>
    <n v="58.63"/>
    <n v="41.93"/>
    <n v="16.7"/>
    <n v="0"/>
  </r>
  <r>
    <s v="ORD-001206"/>
    <s v="C-0752"/>
    <d v="2025-11-30T00:00:00"/>
    <s v="Social Commerce"/>
    <s v="PayPal"/>
    <s v="Southeast"/>
    <n v="5"/>
    <x v="5"/>
    <n v="386.97"/>
    <n v="15"/>
    <n v="58.05"/>
    <n v="65.44"/>
    <n v="150.94"/>
    <n v="26.31"/>
    <n v="9.84"/>
    <s v="No"/>
    <n v="0"/>
    <n v="328.92"/>
    <n v="252.53"/>
    <n v="76.39"/>
    <n v="0"/>
  </r>
  <r>
    <s v="ORD-001207"/>
    <s v="C-0078"/>
    <d v="2025-05-10T00:00:00"/>
    <s v="Website"/>
    <s v="Buy Now Pay Later"/>
    <s v="Southeast"/>
    <n v="1"/>
    <x v="6"/>
    <n v="16.100000000000001"/>
    <n v="10"/>
    <n v="1.61"/>
    <n v="12.62"/>
    <n v="5.42"/>
    <n v="0"/>
    <n v="0.72"/>
    <s v="No"/>
    <n v="0"/>
    <n v="14.49"/>
    <n v="18.760000000000002"/>
    <n v="-4.2699999999999996"/>
    <n v="0"/>
  </r>
  <r>
    <s v="ORD-001208"/>
    <s v="C-0041"/>
    <d v="2024-12-27T00:00:00"/>
    <s v="Mobile App"/>
    <s v="Credit Card"/>
    <s v="West Coast"/>
    <n v="3"/>
    <x v="6"/>
    <n v="244.16"/>
    <n v="5"/>
    <n v="12.21"/>
    <n v="42.72"/>
    <n v="82.33"/>
    <n v="0"/>
    <n v="7.03"/>
    <s v="No"/>
    <n v="0"/>
    <n v="231.95"/>
    <n v="132.08000000000001"/>
    <n v="99.87"/>
    <n v="0"/>
  </r>
  <r>
    <s v="ORD-001209"/>
    <s v="C-0454"/>
    <d v="2025-08-19T00:00:00"/>
    <s v="Mobile App"/>
    <s v="Debit Card"/>
    <s v="West Coast"/>
    <n v="2"/>
    <x v="0"/>
    <n v="496.37"/>
    <n v="5"/>
    <n v="24.82"/>
    <n v="35.78"/>
    <n v="148.88"/>
    <n v="0"/>
    <n v="13.97"/>
    <s v="No"/>
    <n v="0"/>
    <n v="471.55"/>
    <n v="198.63"/>
    <n v="272.92"/>
    <n v="0"/>
  </r>
  <r>
    <s v="ORD-001210"/>
    <s v="C-0041"/>
    <d v="2024-12-21T00:00:00"/>
    <s v="Website"/>
    <s v="Debit Card"/>
    <s v="Northeast"/>
    <n v="3"/>
    <x v="3"/>
    <n v="355.16"/>
    <n v="20"/>
    <n v="71.03"/>
    <n v="62.54"/>
    <n v="117.04"/>
    <n v="0"/>
    <n v="8.5399999999999991"/>
    <s v="No"/>
    <n v="0"/>
    <n v="284.13"/>
    <n v="188.12"/>
    <n v="96.01"/>
    <n v="0"/>
  </r>
  <r>
    <s v="ORD-001211"/>
    <s v="C-0271"/>
    <d v="2025-10-17T00:00:00"/>
    <s v="Website"/>
    <s v="Credit Card"/>
    <s v="Southwest"/>
    <n v="1"/>
    <x v="2"/>
    <n v="246.87"/>
    <n v="20"/>
    <n v="49.37"/>
    <n v="39.06"/>
    <n v="112.95"/>
    <n v="0"/>
    <n v="6.03"/>
    <s v="No"/>
    <n v="0"/>
    <n v="197.5"/>
    <n v="158.04"/>
    <n v="39.46"/>
    <n v="0"/>
  </r>
  <r>
    <s v="ORD-001212"/>
    <s v="C-0159"/>
    <d v="2025-06-17T00:00:00"/>
    <s v="Mobile App"/>
    <s v="PayPal"/>
    <s v="Northeast"/>
    <n v="1"/>
    <x v="6"/>
    <n v="31.87"/>
    <n v="0"/>
    <n v="0"/>
    <n v="9.58"/>
    <n v="10.3"/>
    <n v="0"/>
    <n v="1.22"/>
    <s v="No"/>
    <n v="0"/>
    <n v="31.87"/>
    <n v="21.1"/>
    <n v="10.77"/>
    <n v="0"/>
  </r>
  <r>
    <s v="ORD-001213"/>
    <s v="C-0742"/>
    <d v="2025-09-06T00:00:00"/>
    <s v="Marketplace"/>
    <s v="Credit Card"/>
    <s v="Midwest"/>
    <n v="1"/>
    <x v="4"/>
    <n v="20.57"/>
    <n v="20"/>
    <n v="4.1100000000000003"/>
    <n v="7.02"/>
    <n v="7.36"/>
    <n v="2.4700000000000002"/>
    <n v="0.78"/>
    <s v="No"/>
    <n v="0"/>
    <n v="16.46"/>
    <n v="17.63"/>
    <n v="-1.17"/>
    <n v="0"/>
  </r>
  <r>
    <s v="ORD-001214"/>
    <s v="C-0703"/>
    <d v="2024-05-19T00:00:00"/>
    <s v="Website"/>
    <s v="Credit Card"/>
    <s v="Southwest"/>
    <n v="1"/>
    <x v="0"/>
    <n v="20.67"/>
    <n v="0"/>
    <n v="0"/>
    <n v="4.3"/>
    <n v="5.96"/>
    <n v="0"/>
    <n v="0.9"/>
    <s v="No"/>
    <n v="0"/>
    <n v="20.67"/>
    <n v="11.16"/>
    <n v="9.51"/>
    <n v="0"/>
  </r>
  <r>
    <s v="ORD-001215"/>
    <s v="C-0112"/>
    <d v="2025-10-24T00:00:00"/>
    <s v="Website"/>
    <s v="Credit Card"/>
    <s v="Northeast"/>
    <n v="2"/>
    <x v="3"/>
    <n v="77.89"/>
    <n v="25"/>
    <n v="19.47"/>
    <n v="36.82"/>
    <n v="39.049999999999997"/>
    <n v="0"/>
    <n v="1.99"/>
    <s v="No"/>
    <n v="0"/>
    <n v="58.42"/>
    <n v="77.86"/>
    <n v="-19.440000000000001"/>
    <n v="0"/>
  </r>
  <r>
    <s v="ORD-001216"/>
    <s v="C-0199"/>
    <d v="2025-07-11T00:00:00"/>
    <s v="Website"/>
    <s v="Debit Card"/>
    <s v="Southwest"/>
    <n v="1"/>
    <x v="2"/>
    <n v="10.050000000000001"/>
    <n v="15"/>
    <n v="1.51"/>
    <n v="9.18"/>
    <n v="6.91"/>
    <n v="0"/>
    <n v="0.55000000000000004"/>
    <s v="No"/>
    <n v="0"/>
    <n v="8.5399999999999991"/>
    <n v="16.64"/>
    <n v="-8.1"/>
    <n v="0"/>
  </r>
  <r>
    <s v="ORD-001217"/>
    <s v="C-0541"/>
    <d v="2025-07-18T00:00:00"/>
    <s v="Mobile App"/>
    <s v="Gift Card"/>
    <s v="Midwest"/>
    <n v="1"/>
    <x v="6"/>
    <n v="16.8"/>
    <n v="0"/>
    <n v="0"/>
    <n v="4.1399999999999997"/>
    <n v="8.25"/>
    <n v="0"/>
    <n v="0.79"/>
    <s v="No"/>
    <n v="0"/>
    <n v="16.8"/>
    <n v="13.18"/>
    <n v="3.62"/>
    <n v="0"/>
  </r>
  <r>
    <s v="ORD-001218"/>
    <s v="C-0115"/>
    <d v="2024-10-26T00:00:00"/>
    <s v="Marketplace"/>
    <s v="Debit Card"/>
    <s v="Midwest"/>
    <n v="1"/>
    <x v="7"/>
    <n v="57.08"/>
    <n v="0"/>
    <n v="0"/>
    <n v="11.26"/>
    <n v="26.65"/>
    <n v="8.56"/>
    <n v="1.96"/>
    <s v="No"/>
    <n v="0"/>
    <n v="57.08"/>
    <n v="48.43"/>
    <n v="8.65"/>
    <n v="0"/>
  </r>
  <r>
    <s v="ORD-001219"/>
    <s v="C-0792"/>
    <d v="2024-12-28T00:00:00"/>
    <s v="Mobile App"/>
    <s v="PayPal"/>
    <s v="Southwest"/>
    <n v="2"/>
    <x v="7"/>
    <n v="214.73"/>
    <n v="0"/>
    <n v="0"/>
    <n v="32.1"/>
    <n v="83.14"/>
    <n v="0"/>
    <n v="6.53"/>
    <s v="No"/>
    <n v="0"/>
    <n v="214.73"/>
    <n v="121.77"/>
    <n v="92.96"/>
    <n v="0"/>
  </r>
  <r>
    <s v="ORD-001220"/>
    <s v="C-0596"/>
    <d v="2025-02-28T00:00:00"/>
    <s v="Social Commerce"/>
    <s v="Buy Now Pay Later"/>
    <s v="Midwest"/>
    <n v="1"/>
    <x v="7"/>
    <n v="62.18"/>
    <n v="0"/>
    <n v="0"/>
    <n v="6.06"/>
    <n v="26.96"/>
    <n v="4.97"/>
    <n v="2.1"/>
    <s v="No"/>
    <n v="0"/>
    <n v="62.18"/>
    <n v="40.090000000000003"/>
    <n v="22.09"/>
    <n v="0"/>
  </r>
  <r>
    <s v="ORD-001221"/>
    <s v="C-0386"/>
    <d v="2025-03-12T00:00:00"/>
    <s v="Social Commerce"/>
    <s v="Credit Card"/>
    <s v="Northeast"/>
    <n v="5"/>
    <x v="6"/>
    <n v="334.11"/>
    <n v="10"/>
    <n v="33.409999999999997"/>
    <n v="71.239999999999995"/>
    <n v="139.51"/>
    <n v="24.06"/>
    <n v="9.02"/>
    <s v="No"/>
    <n v="0"/>
    <n v="300.7"/>
    <n v="243.83"/>
    <n v="56.87"/>
    <n v="0"/>
  </r>
  <r>
    <s v="ORD-001222"/>
    <s v="C-0730"/>
    <d v="2024-11-08T00:00:00"/>
    <s v="Mobile App"/>
    <s v="PayPal"/>
    <s v="Southeast"/>
    <n v="2"/>
    <x v="3"/>
    <n v="115.34"/>
    <n v="0"/>
    <n v="0"/>
    <n v="25.94"/>
    <n v="45.01"/>
    <n v="0"/>
    <n v="3.64"/>
    <s v="No"/>
    <n v="0"/>
    <n v="115.34"/>
    <n v="74.59"/>
    <n v="40.75"/>
    <n v="0"/>
  </r>
  <r>
    <s v="ORD-001223"/>
    <s v="C-0239"/>
    <d v="2025-11-10T00:00:00"/>
    <s v="Website"/>
    <s v="Buy Now Pay Later"/>
    <s v="Northeast"/>
    <n v="2"/>
    <x v="2"/>
    <n v="45.58"/>
    <n v="25"/>
    <n v="11.39"/>
    <n v="10.44"/>
    <n v="16.13"/>
    <n v="0"/>
    <n v="1.29"/>
    <s v="No"/>
    <n v="0"/>
    <n v="34.19"/>
    <n v="27.86"/>
    <n v="6.33"/>
    <n v="0"/>
  </r>
  <r>
    <s v="ORD-001224"/>
    <s v="C-0382"/>
    <d v="2025-03-01T00:00:00"/>
    <s v="Website"/>
    <s v="Debit Card"/>
    <s v="Southeast"/>
    <n v="1"/>
    <x v="6"/>
    <n v="10"/>
    <n v="0"/>
    <n v="0"/>
    <n v="6.14"/>
    <n v="3.35"/>
    <n v="0"/>
    <n v="0.59"/>
    <s v="No"/>
    <n v="0"/>
    <n v="10"/>
    <n v="10.08"/>
    <n v="-0.08"/>
    <n v="0"/>
  </r>
  <r>
    <s v="ORD-001225"/>
    <s v="C-0105"/>
    <d v="2025-05-11T00:00:00"/>
    <s v="Website"/>
    <s v="Gift Card"/>
    <s v="West Coast"/>
    <n v="1"/>
    <x v="7"/>
    <n v="115.01"/>
    <n v="0"/>
    <n v="0"/>
    <n v="13.18"/>
    <n v="35.49"/>
    <n v="0"/>
    <n v="3.64"/>
    <s v="No"/>
    <n v="0"/>
    <n v="115.01"/>
    <n v="52.31"/>
    <n v="62.7"/>
    <n v="0"/>
  </r>
  <r>
    <s v="ORD-001226"/>
    <s v="C-0421"/>
    <d v="2025-03-01T00:00:00"/>
    <s v="Social Commerce"/>
    <s v="Buy Now Pay Later"/>
    <s v="West Coast"/>
    <n v="1"/>
    <x v="2"/>
    <n v="52.54"/>
    <n v="25"/>
    <n v="13.13"/>
    <n v="5.82"/>
    <n v="30.58"/>
    <n v="3.15"/>
    <n v="1.44"/>
    <s v="No"/>
    <n v="0"/>
    <n v="39.409999999999997"/>
    <n v="40.99"/>
    <n v="-1.58"/>
    <n v="0"/>
  </r>
  <r>
    <s v="ORD-001227"/>
    <s v="C-0743"/>
    <d v="2024-06-21T00:00:00"/>
    <s v="Mobile App"/>
    <s v="Debit Card"/>
    <s v="Midwest"/>
    <n v="3"/>
    <x v="4"/>
    <n v="139.26"/>
    <n v="5"/>
    <n v="6.96"/>
    <n v="32.9"/>
    <n v="62.85"/>
    <n v="0"/>
    <n v="4.1399999999999997"/>
    <s v="No"/>
    <n v="0"/>
    <n v="132.30000000000001"/>
    <n v="99.89"/>
    <n v="32.409999999999997"/>
    <n v="0"/>
  </r>
  <r>
    <s v="ORD-001228"/>
    <s v="C-0476"/>
    <d v="2025-02-09T00:00:00"/>
    <s v="Mobile App"/>
    <s v="Debit Card"/>
    <s v="Midwest"/>
    <n v="1"/>
    <x v="3"/>
    <n v="19.260000000000002"/>
    <n v="0"/>
    <n v="0"/>
    <n v="5.26"/>
    <n v="7.33"/>
    <n v="0"/>
    <n v="0.86"/>
    <s v="No"/>
    <n v="0"/>
    <n v="19.260000000000002"/>
    <n v="13.45"/>
    <n v="5.81"/>
    <n v="0"/>
  </r>
  <r>
    <s v="ORD-001229"/>
    <s v="C-0493"/>
    <d v="2024-12-03T00:00:00"/>
    <s v="Marketplace"/>
    <s v="Credit Card"/>
    <s v="West Coast"/>
    <n v="3"/>
    <x v="1"/>
    <n v="131.04"/>
    <n v="0"/>
    <n v="0"/>
    <n v="44.48"/>
    <n v="53.91"/>
    <n v="19.66"/>
    <n v="4.0999999999999996"/>
    <s v="No"/>
    <n v="0"/>
    <n v="131.04"/>
    <n v="122.15"/>
    <n v="8.89"/>
    <n v="0"/>
  </r>
  <r>
    <s v="ORD-001230"/>
    <s v="C-0220"/>
    <d v="2025-08-14T00:00:00"/>
    <s v="Website"/>
    <s v="Credit Card"/>
    <s v="Southeast"/>
    <n v="2"/>
    <x v="6"/>
    <n v="35.86"/>
    <n v="20"/>
    <n v="7.17"/>
    <n v="24.04"/>
    <n v="17.760000000000002"/>
    <n v="0"/>
    <n v="1.1299999999999999"/>
    <s v="Yes"/>
    <n v="28.69"/>
    <n v="0"/>
    <n v="42.93"/>
    <n v="-42.93"/>
    <n v="0"/>
  </r>
  <r>
    <s v="ORD-001231"/>
    <s v="C-0728"/>
    <d v="2025-07-10T00:00:00"/>
    <s v="Social Commerce"/>
    <s v="Debit Card"/>
    <s v="Northeast"/>
    <n v="3"/>
    <x v="3"/>
    <n v="176.11"/>
    <n v="20"/>
    <n v="35.22"/>
    <n v="38.700000000000003"/>
    <n v="84.4"/>
    <n v="11.27"/>
    <n v="4.3899999999999997"/>
    <s v="No"/>
    <n v="0"/>
    <n v="140.88999999999999"/>
    <n v="138.76"/>
    <n v="2.13"/>
    <n v="0"/>
  </r>
  <r>
    <s v="ORD-001232"/>
    <s v="C-0349"/>
    <d v="2025-09-21T00:00:00"/>
    <s v="Mobile App"/>
    <s v="Debit Card"/>
    <s v="Northeast"/>
    <n v="1"/>
    <x v="3"/>
    <n v="91.38"/>
    <n v="10"/>
    <n v="9.14"/>
    <n v="23.16"/>
    <n v="56.42"/>
    <n v="0"/>
    <n v="2.68"/>
    <s v="No"/>
    <n v="0"/>
    <n v="82.24"/>
    <n v="82.26"/>
    <n v="-0.02"/>
    <n v="1"/>
  </r>
  <r>
    <s v="ORD-001233"/>
    <s v="C-0222"/>
    <d v="2024-09-22T00:00:00"/>
    <s v="Marketplace"/>
    <s v="PayPal"/>
    <s v="Midwest"/>
    <n v="2"/>
    <x v="4"/>
    <n v="119.28"/>
    <n v="15"/>
    <n v="17.89"/>
    <n v="28.9"/>
    <n v="64.95"/>
    <n v="15.21"/>
    <n v="3.24"/>
    <s v="No"/>
    <n v="0"/>
    <n v="101.39"/>
    <n v="112.3"/>
    <n v="-10.91"/>
    <n v="0"/>
  </r>
  <r>
    <s v="ORD-001234"/>
    <s v="C-0538"/>
    <d v="2024-12-01T00:00:00"/>
    <s v="Mobile App"/>
    <s v="Credit Card"/>
    <s v="Northeast"/>
    <n v="2"/>
    <x v="6"/>
    <n v="131.80000000000001"/>
    <n v="10"/>
    <n v="13.18"/>
    <n v="20.2"/>
    <n v="44.92"/>
    <n v="0"/>
    <n v="3.74"/>
    <s v="No"/>
    <n v="0"/>
    <n v="118.62"/>
    <n v="68.86"/>
    <n v="49.76"/>
    <n v="0"/>
  </r>
  <r>
    <s v="ORD-001235"/>
    <s v="C-0044"/>
    <d v="2024-11-02T00:00:00"/>
    <s v="Website"/>
    <s v="Debit Card"/>
    <s v="Midwest"/>
    <n v="3"/>
    <x v="4"/>
    <n v="237.42"/>
    <n v="0"/>
    <n v="0"/>
    <n v="35.92"/>
    <n v="107.46"/>
    <n v="0"/>
    <n v="7.19"/>
    <s v="No"/>
    <n v="0"/>
    <n v="237.42"/>
    <n v="150.57"/>
    <n v="86.85"/>
    <n v="0"/>
  </r>
  <r>
    <s v="ORD-001236"/>
    <s v="C-0253"/>
    <d v="2024-12-15T00:00:00"/>
    <s v="Website"/>
    <s v="Credit Card"/>
    <s v="Northeast"/>
    <n v="1"/>
    <x v="0"/>
    <n v="126.75"/>
    <n v="10"/>
    <n v="12.68"/>
    <n v="40.74"/>
    <n v="68.849999999999994"/>
    <n v="0"/>
    <n v="3.61"/>
    <s v="No"/>
    <n v="0"/>
    <n v="114.07"/>
    <n v="113.2"/>
    <n v="0.87"/>
    <n v="0"/>
  </r>
  <r>
    <s v="ORD-001237"/>
    <s v="C-0543"/>
    <d v="2025-03-25T00:00:00"/>
    <s v="Website"/>
    <s v="Credit Card"/>
    <s v="Midwest"/>
    <n v="1"/>
    <x v="2"/>
    <n v="76.83"/>
    <n v="25"/>
    <n v="19.21"/>
    <n v="9.02"/>
    <n v="27.31"/>
    <n v="0"/>
    <n v="1.97"/>
    <s v="No"/>
    <n v="0"/>
    <n v="57.62"/>
    <n v="38.299999999999997"/>
    <n v="19.32"/>
    <n v="0"/>
  </r>
  <r>
    <s v="ORD-001238"/>
    <s v="C-0101"/>
    <d v="2025-09-16T00:00:00"/>
    <s v="Marketplace"/>
    <s v="Credit Card"/>
    <s v="Southwest"/>
    <n v="1"/>
    <x v="4"/>
    <n v="6.07"/>
    <n v="10"/>
    <n v="0.61"/>
    <n v="12.94"/>
    <n v="4.1399999999999997"/>
    <n v="0.82"/>
    <n v="0.46"/>
    <s v="Yes"/>
    <n v="5.46"/>
    <n v="0"/>
    <n v="18.36"/>
    <n v="-18.36"/>
    <n v="0"/>
  </r>
  <r>
    <s v="ORD-001239"/>
    <s v="C-0183"/>
    <d v="2025-01-10T00:00:00"/>
    <s v="Website"/>
    <s v="PayPal"/>
    <s v="West Coast"/>
    <n v="2"/>
    <x v="4"/>
    <n v="112.48"/>
    <n v="0"/>
    <n v="0"/>
    <n v="28.28"/>
    <n v="58.74"/>
    <n v="0"/>
    <n v="3.56"/>
    <s v="No"/>
    <n v="0"/>
    <n v="112.48"/>
    <n v="90.58"/>
    <n v="21.9"/>
    <n v="0"/>
  </r>
  <r>
    <s v="ORD-001240"/>
    <s v="C-0408"/>
    <d v="2025-06-19T00:00:00"/>
    <s v="Marketplace"/>
    <s v="Debit Card"/>
    <s v="Southwest"/>
    <n v="1"/>
    <x v="4"/>
    <n v="46.68"/>
    <n v="0"/>
    <n v="0"/>
    <n v="10.3"/>
    <n v="15.73"/>
    <n v="7"/>
    <n v="1.65"/>
    <s v="No"/>
    <n v="0"/>
    <n v="46.68"/>
    <n v="34.68"/>
    <n v="12"/>
    <n v="1"/>
  </r>
  <r>
    <s v="ORD-001241"/>
    <s v="C-0390"/>
    <d v="2025-05-01T00:00:00"/>
    <s v="Website"/>
    <s v="Gift Card"/>
    <s v="Southwest"/>
    <n v="1"/>
    <x v="1"/>
    <n v="24.9"/>
    <n v="0"/>
    <n v="0"/>
    <n v="39.54"/>
    <n v="10.95"/>
    <n v="0"/>
    <n v="1.02"/>
    <s v="No"/>
    <n v="0"/>
    <n v="24.9"/>
    <n v="51.51"/>
    <n v="-26.61"/>
    <n v="0"/>
  </r>
  <r>
    <s v="ORD-001242"/>
    <s v="C-0596"/>
    <d v="2025-08-20T00:00:00"/>
    <s v="Marketplace"/>
    <s v="PayPal"/>
    <s v="Southwest"/>
    <n v="2"/>
    <x v="6"/>
    <n v="64.95"/>
    <n v="10"/>
    <n v="6.5"/>
    <n v="19.399999999999999"/>
    <n v="29.15"/>
    <n v="8.77"/>
    <n v="2"/>
    <s v="No"/>
    <n v="0"/>
    <n v="58.45"/>
    <n v="59.32"/>
    <n v="-0.87"/>
    <n v="0"/>
  </r>
  <r>
    <s v="ORD-001243"/>
    <s v="C-0333"/>
    <d v="2025-05-26T00:00:00"/>
    <s v="Mobile App"/>
    <s v="PayPal"/>
    <s v="West Coast"/>
    <n v="2"/>
    <x v="4"/>
    <n v="41.77"/>
    <n v="0"/>
    <n v="0"/>
    <n v="18.36"/>
    <n v="26.5"/>
    <n v="0"/>
    <n v="1.51"/>
    <s v="No"/>
    <n v="0"/>
    <n v="41.77"/>
    <n v="46.37"/>
    <n v="-4.5999999999999996"/>
    <n v="0"/>
  </r>
  <r>
    <s v="ORD-001244"/>
    <s v="C-0699"/>
    <d v="2025-07-13T00:00:00"/>
    <s v="Website"/>
    <s v="Gift Card"/>
    <s v="Northeast"/>
    <n v="2"/>
    <x v="4"/>
    <n v="114.78"/>
    <n v="25"/>
    <n v="28.7"/>
    <n v="24.9"/>
    <n v="44.88"/>
    <n v="0"/>
    <n v="2.8"/>
    <s v="No"/>
    <n v="0"/>
    <n v="86.08"/>
    <n v="72.58"/>
    <n v="13.5"/>
    <n v="0"/>
  </r>
  <r>
    <s v="ORD-001245"/>
    <s v="C-0069"/>
    <d v="2025-03-11T00:00:00"/>
    <s v="Mobile App"/>
    <s v="Credit Card"/>
    <s v="Southwest"/>
    <n v="2"/>
    <x v="3"/>
    <n v="96.06"/>
    <n v="20"/>
    <n v="19.21"/>
    <n v="16.84"/>
    <n v="60.53"/>
    <n v="0"/>
    <n v="2.5299999999999998"/>
    <s v="No"/>
    <n v="0"/>
    <n v="76.849999999999994"/>
    <n v="79.900000000000006"/>
    <n v="-3.05"/>
    <n v="0"/>
  </r>
  <r>
    <s v="ORD-001246"/>
    <s v="C-0259"/>
    <d v="2025-07-27T00:00:00"/>
    <s v="Website"/>
    <s v="PayPal"/>
    <s v="West Coast"/>
    <n v="1"/>
    <x v="0"/>
    <n v="42.25"/>
    <n v="0"/>
    <n v="0"/>
    <n v="13.58"/>
    <n v="22.95"/>
    <n v="0"/>
    <n v="1.53"/>
    <s v="No"/>
    <n v="0"/>
    <n v="42.25"/>
    <n v="38.06"/>
    <n v="4.1900000000000004"/>
    <n v="0"/>
  </r>
  <r>
    <s v="ORD-001247"/>
    <s v="C-0036"/>
    <d v="2025-11-15T00:00:00"/>
    <s v="Marketplace"/>
    <s v="PayPal"/>
    <s v="Southeast"/>
    <n v="2"/>
    <x v="4"/>
    <n v="144.84"/>
    <n v="0"/>
    <n v="0"/>
    <n v="20.52"/>
    <n v="51.55"/>
    <n v="21.73"/>
    <n v="4.5"/>
    <s v="No"/>
    <n v="0"/>
    <n v="144.84"/>
    <n v="98.3"/>
    <n v="46.54"/>
    <n v="0"/>
  </r>
  <r>
    <s v="ORD-001248"/>
    <s v="C-0782"/>
    <d v="2025-05-15T00:00:00"/>
    <s v="Website"/>
    <s v="PayPal"/>
    <s v="Southwest"/>
    <n v="1"/>
    <x v="6"/>
    <n v="35.979999999999997"/>
    <n v="5"/>
    <n v="1.8"/>
    <n v="23.48"/>
    <n v="15.76"/>
    <n v="0"/>
    <n v="1.29"/>
    <s v="No"/>
    <n v="0"/>
    <n v="34.18"/>
    <n v="40.53"/>
    <n v="-6.35"/>
    <n v="0"/>
  </r>
  <r>
    <s v="ORD-001249"/>
    <s v="C-0475"/>
    <d v="2025-07-23T00:00:00"/>
    <s v="Website"/>
    <s v="Credit Card"/>
    <s v="Midwest"/>
    <n v="1"/>
    <x v="2"/>
    <n v="69.12"/>
    <n v="0"/>
    <n v="0"/>
    <n v="9.1"/>
    <n v="20.88"/>
    <n v="0"/>
    <n v="2.2999999999999998"/>
    <s v="No"/>
    <n v="0"/>
    <n v="69.12"/>
    <n v="32.28"/>
    <n v="36.840000000000003"/>
    <n v="0"/>
  </r>
  <r>
    <s v="ORD-001250"/>
    <s v="C-0080"/>
    <d v="2024-08-27T00:00:00"/>
    <s v="Mobile App"/>
    <s v="Credit Card"/>
    <s v="Southeast"/>
    <n v="2"/>
    <x v="2"/>
    <n v="147.91"/>
    <n v="15"/>
    <n v="22.19"/>
    <n v="22.6"/>
    <n v="52.24"/>
    <n v="0"/>
    <n v="3.95"/>
    <s v="No"/>
    <n v="0"/>
    <n v="125.72"/>
    <n v="78.790000000000006"/>
    <n v="46.93"/>
    <n v="0"/>
  </r>
  <r>
    <s v="ORD-001251"/>
    <s v="C-0043"/>
    <d v="2025-05-07T00:00:00"/>
    <s v="Social Commerce"/>
    <s v="Debit Card"/>
    <s v="Southeast"/>
    <n v="2"/>
    <x v="4"/>
    <n v="198.83"/>
    <n v="20"/>
    <n v="39.770000000000003"/>
    <n v="54.64"/>
    <n v="98.51"/>
    <n v="12.72"/>
    <n v="4.91"/>
    <s v="No"/>
    <n v="0"/>
    <n v="159.06"/>
    <n v="170.78"/>
    <n v="-11.72"/>
    <n v="0"/>
  </r>
  <r>
    <s v="ORD-001252"/>
    <s v="C-0097"/>
    <d v="2025-03-18T00:00:00"/>
    <s v="Marketplace"/>
    <s v="Buy Now Pay Later"/>
    <s v="Northeast"/>
    <n v="5"/>
    <x v="5"/>
    <n v="244.46"/>
    <n v="15"/>
    <n v="36.67"/>
    <n v="92.62"/>
    <n v="103"/>
    <n v="31.17"/>
    <n v="6.33"/>
    <s v="No"/>
    <n v="0"/>
    <n v="207.79"/>
    <n v="233.12"/>
    <n v="-25.33"/>
    <n v="0"/>
  </r>
  <r>
    <s v="ORD-001253"/>
    <s v="C-0769"/>
    <d v="2024-08-06T00:00:00"/>
    <s v="Website"/>
    <s v="Credit Card"/>
    <s v="Northeast"/>
    <n v="1"/>
    <x v="6"/>
    <n v="16.190000000000001"/>
    <n v="10"/>
    <n v="1.62"/>
    <n v="14.7"/>
    <n v="5.89"/>
    <n v="0"/>
    <n v="0.72"/>
    <s v="No"/>
    <n v="0"/>
    <n v="14.57"/>
    <n v="21.31"/>
    <n v="-6.74"/>
    <n v="0"/>
  </r>
  <r>
    <s v="ORD-001254"/>
    <s v="C-0113"/>
    <d v="2025-08-08T00:00:00"/>
    <s v="Website"/>
    <s v="Credit Card"/>
    <s v="Northeast"/>
    <n v="1"/>
    <x v="3"/>
    <n v="45.69"/>
    <n v="0"/>
    <n v="0"/>
    <n v="11.58"/>
    <n v="28.21"/>
    <n v="0"/>
    <n v="1.63"/>
    <s v="No"/>
    <n v="0"/>
    <n v="45.69"/>
    <n v="41.42"/>
    <n v="4.2699999999999996"/>
    <n v="0"/>
  </r>
  <r>
    <s v="ORD-001255"/>
    <s v="C-0161"/>
    <d v="2025-06-16T00:00:00"/>
    <s v="Mobile App"/>
    <s v="Buy Now Pay Later"/>
    <s v="West Coast"/>
    <n v="2"/>
    <x v="4"/>
    <n v="74.69"/>
    <n v="15"/>
    <n v="11.2"/>
    <n v="17.8"/>
    <n v="27.67"/>
    <n v="0"/>
    <n v="2.14"/>
    <s v="No"/>
    <n v="0"/>
    <n v="63.49"/>
    <n v="47.61"/>
    <n v="15.88"/>
    <n v="0"/>
  </r>
  <r>
    <s v="ORD-001256"/>
    <s v="C-0377"/>
    <d v="2024-08-03T00:00:00"/>
    <s v="Website"/>
    <s v="PayPal"/>
    <s v="Southeast"/>
    <n v="3"/>
    <x v="2"/>
    <n v="332.74"/>
    <n v="15"/>
    <n v="49.91"/>
    <n v="55.74"/>
    <n v="116.83"/>
    <n v="0"/>
    <n v="8.5"/>
    <s v="No"/>
    <n v="0"/>
    <n v="282.83"/>
    <n v="181.07"/>
    <n v="101.76"/>
    <n v="0"/>
  </r>
  <r>
    <s v="ORD-001257"/>
    <s v="C-0599"/>
    <d v="2024-09-07T00:00:00"/>
    <s v="Mobile App"/>
    <s v="PayPal"/>
    <s v="West Coast"/>
    <n v="2"/>
    <x v="4"/>
    <n v="199.19"/>
    <n v="10"/>
    <n v="19.920000000000002"/>
    <n v="40.880000000000003"/>
    <n v="66.55"/>
    <n v="0"/>
    <n v="5.5"/>
    <s v="No"/>
    <n v="0"/>
    <n v="179.27"/>
    <n v="112.93"/>
    <n v="66.34"/>
    <n v="0"/>
  </r>
  <r>
    <s v="ORD-001258"/>
    <s v="C-0329"/>
    <d v="2024-12-30T00:00:00"/>
    <s v="Website"/>
    <s v="Buy Now Pay Later"/>
    <s v="Midwest"/>
    <n v="1"/>
    <x v="2"/>
    <n v="14.74"/>
    <n v="20"/>
    <n v="2.95"/>
    <n v="5.58"/>
    <n v="4.57"/>
    <n v="0"/>
    <n v="0.64"/>
    <s v="No"/>
    <n v="0"/>
    <n v="11.79"/>
    <n v="10.79"/>
    <n v="1"/>
    <n v="0"/>
  </r>
  <r>
    <s v="ORD-001259"/>
    <s v="C-0528"/>
    <d v="2024-12-14T00:00:00"/>
    <s v="Marketplace"/>
    <s v="Gift Card"/>
    <s v="Southeast"/>
    <n v="3"/>
    <x v="0"/>
    <n v="394.07"/>
    <n v="10"/>
    <n v="39.409999999999997"/>
    <n v="60.06"/>
    <n v="158.02000000000001"/>
    <n v="53.2"/>
    <n v="10.59"/>
    <s v="No"/>
    <n v="0"/>
    <n v="354.66"/>
    <n v="281.87"/>
    <n v="72.790000000000006"/>
    <n v="0"/>
  </r>
  <r>
    <s v="ORD-001260"/>
    <s v="C-0038"/>
    <d v="2025-08-18T00:00:00"/>
    <s v="Marketplace"/>
    <s v="Buy Now Pay Later"/>
    <s v="Northeast"/>
    <n v="1"/>
    <x v="3"/>
    <n v="29.69"/>
    <n v="15"/>
    <n v="4.45"/>
    <n v="6.06"/>
    <n v="18.66"/>
    <n v="3.79"/>
    <n v="1.03"/>
    <s v="No"/>
    <n v="0"/>
    <n v="25.24"/>
    <n v="29.54"/>
    <n v="-4.3"/>
    <n v="0"/>
  </r>
  <r>
    <s v="ORD-001261"/>
    <s v="C-0651"/>
    <d v="2025-04-30T00:00:00"/>
    <s v="Mobile App"/>
    <s v="Credit Card"/>
    <s v="Midwest"/>
    <n v="2"/>
    <x v="1"/>
    <n v="193.27"/>
    <n v="0"/>
    <n v="0"/>
    <n v="37.36"/>
    <n v="88.69"/>
    <n v="0"/>
    <n v="5.9"/>
    <s v="No"/>
    <n v="0"/>
    <n v="193.27"/>
    <n v="131.94999999999999"/>
    <n v="61.32"/>
    <n v="0"/>
  </r>
  <r>
    <s v="ORD-001262"/>
    <s v="C-0579"/>
    <d v="2025-01-24T00:00:00"/>
    <s v="Website"/>
    <s v="Gift Card"/>
    <s v="West Coast"/>
    <n v="1"/>
    <x v="3"/>
    <n v="103.35"/>
    <n v="0"/>
    <n v="0"/>
    <n v="5.0199999999999996"/>
    <n v="30.95"/>
    <n v="0"/>
    <n v="3.3"/>
    <s v="No"/>
    <n v="0"/>
    <n v="103.35"/>
    <n v="39.270000000000003"/>
    <n v="64.08"/>
    <n v="0"/>
  </r>
  <r>
    <s v="ORD-001263"/>
    <s v="C-0196"/>
    <d v="2024-02-22T00:00:00"/>
    <s v="Marketplace"/>
    <s v="Credit Card"/>
    <s v="West Coast"/>
    <n v="3"/>
    <x v="7"/>
    <n v="259.8"/>
    <n v="5"/>
    <n v="12.99"/>
    <n v="35.42"/>
    <n v="98.18"/>
    <n v="37.020000000000003"/>
    <n v="7.46"/>
    <s v="No"/>
    <n v="0"/>
    <n v="246.81"/>
    <n v="178.08"/>
    <n v="68.73"/>
    <n v="0"/>
  </r>
  <r>
    <s v="ORD-001264"/>
    <s v="C-0692"/>
    <d v="2025-08-18T00:00:00"/>
    <s v="Mobile App"/>
    <s v="Credit Card"/>
    <s v="Midwest"/>
    <n v="4"/>
    <x v="3"/>
    <n v="96.25"/>
    <n v="15"/>
    <n v="14.44"/>
    <n v="52"/>
    <n v="41.35"/>
    <n v="0"/>
    <n v="2.67"/>
    <s v="No"/>
    <n v="0"/>
    <n v="81.81"/>
    <n v="96.02"/>
    <n v="-14.21"/>
    <n v="0"/>
  </r>
  <r>
    <s v="ORD-001265"/>
    <s v="C-0506"/>
    <d v="2025-07-29T00:00:00"/>
    <s v="Mobile App"/>
    <s v="Credit Card"/>
    <s v="Northeast"/>
    <n v="1"/>
    <x v="3"/>
    <n v="17.399999999999999"/>
    <n v="0"/>
    <n v="0"/>
    <n v="12.3"/>
    <n v="7.23"/>
    <n v="0"/>
    <n v="0.8"/>
    <s v="No"/>
    <n v="0"/>
    <n v="17.399999999999999"/>
    <n v="20.329999999999998"/>
    <n v="-2.93"/>
    <n v="0"/>
  </r>
  <r>
    <s v="ORD-001266"/>
    <s v="C-0405"/>
    <d v="2024-09-02T00:00:00"/>
    <s v="Website"/>
    <s v="Debit Card"/>
    <s v="Southwest"/>
    <n v="2"/>
    <x v="6"/>
    <n v="75.989999999999995"/>
    <n v="20"/>
    <n v="15.2"/>
    <n v="22.2"/>
    <n v="30.15"/>
    <n v="0"/>
    <n v="2.06"/>
    <s v="No"/>
    <n v="0"/>
    <n v="60.79"/>
    <n v="54.41"/>
    <n v="6.38"/>
    <n v="0"/>
  </r>
  <r>
    <s v="ORD-001267"/>
    <s v="C-0578"/>
    <d v="2025-11-28T00:00:00"/>
    <s v="Mobile App"/>
    <s v="PayPal"/>
    <s v="Southeast"/>
    <n v="1"/>
    <x v="6"/>
    <n v="53"/>
    <n v="20"/>
    <n v="10.6"/>
    <n v="11"/>
    <n v="16.12"/>
    <n v="0"/>
    <n v="1.53"/>
    <s v="No"/>
    <n v="0"/>
    <n v="42.4"/>
    <n v="28.65"/>
    <n v="13.75"/>
    <n v="0"/>
  </r>
  <r>
    <s v="ORD-001268"/>
    <s v="C-0171"/>
    <d v="2025-01-25T00:00:00"/>
    <s v="Marketplace"/>
    <s v="Credit Card"/>
    <s v="Southeast"/>
    <n v="1"/>
    <x v="4"/>
    <n v="267.3"/>
    <n v="0"/>
    <n v="0"/>
    <n v="20.34"/>
    <n v="97.65"/>
    <n v="40.090000000000003"/>
    <n v="8.0500000000000007"/>
    <s v="Yes"/>
    <n v="267.3"/>
    <n v="0"/>
    <n v="166.13"/>
    <n v="-166.13"/>
    <n v="0"/>
  </r>
  <r>
    <s v="ORD-001269"/>
    <s v="C-0728"/>
    <d v="2024-10-15T00:00:00"/>
    <s v="Website"/>
    <s v="Buy Now Pay Later"/>
    <s v="Midwest"/>
    <n v="2"/>
    <x v="6"/>
    <n v="49.02"/>
    <n v="10"/>
    <n v="4.9000000000000004"/>
    <n v="24.04"/>
    <n v="19.440000000000001"/>
    <n v="0"/>
    <n v="1.58"/>
    <s v="No"/>
    <n v="0"/>
    <n v="44.12"/>
    <n v="45.06"/>
    <n v="-0.94"/>
    <n v="0"/>
  </r>
  <r>
    <s v="ORD-001270"/>
    <s v="C-0600"/>
    <d v="2025-06-30T00:00:00"/>
    <s v="Social Commerce"/>
    <s v="Credit Card"/>
    <s v="West Coast"/>
    <n v="1"/>
    <x v="1"/>
    <n v="18.829999999999998"/>
    <n v="0"/>
    <n v="0"/>
    <n v="9.9"/>
    <n v="11.04"/>
    <n v="1.51"/>
    <n v="0.85"/>
    <s v="No"/>
    <n v="0"/>
    <n v="18.829999999999998"/>
    <n v="23.3"/>
    <n v="-4.47"/>
    <n v="1"/>
  </r>
  <r>
    <s v="ORD-001271"/>
    <s v="C-0629"/>
    <d v="2025-05-01T00:00:00"/>
    <s v="Mobile App"/>
    <s v="PayPal"/>
    <s v="Southeast"/>
    <n v="2"/>
    <x v="5"/>
    <n v="32.520000000000003"/>
    <n v="10"/>
    <n v="3.25"/>
    <n v="26.36"/>
    <n v="16.579999999999998"/>
    <n v="0"/>
    <n v="1.1499999999999999"/>
    <s v="No"/>
    <n v="0"/>
    <n v="29.27"/>
    <n v="44.09"/>
    <n v="-14.82"/>
    <n v="0"/>
  </r>
  <r>
    <s v="ORD-001272"/>
    <s v="C-0276"/>
    <d v="2025-08-14T00:00:00"/>
    <s v="Social Commerce"/>
    <s v="PayPal"/>
    <s v="Northeast"/>
    <n v="1"/>
    <x v="4"/>
    <n v="75.72"/>
    <n v="10"/>
    <n v="7.57"/>
    <n v="18.04"/>
    <n v="53.68"/>
    <n v="5.45"/>
    <n v="2.2799999999999998"/>
    <s v="No"/>
    <n v="0"/>
    <n v="68.150000000000006"/>
    <n v="79.45"/>
    <n v="-11.3"/>
    <n v="0"/>
  </r>
  <r>
    <s v="ORD-001273"/>
    <s v="C-0669"/>
    <d v="2025-01-06T00:00:00"/>
    <s v="Website"/>
    <s v="Credit Card"/>
    <s v="Southeast"/>
    <n v="1"/>
    <x v="2"/>
    <n v="29.5"/>
    <n v="20"/>
    <n v="5.9"/>
    <n v="11.74"/>
    <n v="16.62"/>
    <n v="0"/>
    <n v="0.98"/>
    <s v="No"/>
    <n v="0"/>
    <n v="23.6"/>
    <n v="29.34"/>
    <n v="-5.74"/>
    <n v="0"/>
  </r>
  <r>
    <s v="ORD-001274"/>
    <s v="C-0439"/>
    <d v="2025-04-24T00:00:00"/>
    <s v="Social Commerce"/>
    <s v="Gift Card"/>
    <s v="Southeast"/>
    <n v="2"/>
    <x v="2"/>
    <n v="778.86"/>
    <n v="5"/>
    <n v="38.94"/>
    <n v="53.16"/>
    <n v="267.27"/>
    <n v="59.19"/>
    <n v="21.76"/>
    <s v="No"/>
    <n v="0"/>
    <n v="739.92"/>
    <n v="401.38"/>
    <n v="338.54"/>
    <n v="0"/>
  </r>
  <r>
    <s v="ORD-001275"/>
    <s v="C-0514"/>
    <d v="2025-05-29T00:00:00"/>
    <s v="Social Commerce"/>
    <s v="Debit Card"/>
    <s v="Southeast"/>
    <n v="2"/>
    <x v="3"/>
    <n v="105.92"/>
    <n v="10"/>
    <n v="10.59"/>
    <n v="32.82"/>
    <n v="49.93"/>
    <n v="7.63"/>
    <n v="3.06"/>
    <s v="No"/>
    <n v="0"/>
    <n v="95.33"/>
    <n v="93.44"/>
    <n v="1.89"/>
    <n v="0"/>
  </r>
  <r>
    <s v="ORD-001276"/>
    <s v="C-0797"/>
    <d v="2025-08-12T00:00:00"/>
    <s v="Website"/>
    <s v="PayPal"/>
    <s v="Midwest"/>
    <n v="1"/>
    <x v="5"/>
    <n v="389.4"/>
    <n v="0"/>
    <n v="0"/>
    <n v="11.46"/>
    <n v="115.92"/>
    <n v="0"/>
    <n v="11.59"/>
    <s v="No"/>
    <n v="0"/>
    <n v="389.4"/>
    <n v="138.97"/>
    <n v="250.43"/>
    <n v="0"/>
  </r>
  <r>
    <s v="ORD-001277"/>
    <s v="C-0284"/>
    <d v="2025-03-30T00:00:00"/>
    <s v="Social Commerce"/>
    <s v="Debit Card"/>
    <s v="West Coast"/>
    <n v="1"/>
    <x v="4"/>
    <n v="59.15"/>
    <n v="5"/>
    <n v="2.96"/>
    <n v="9.98"/>
    <n v="19.36"/>
    <n v="4.5"/>
    <n v="1.93"/>
    <s v="No"/>
    <n v="0"/>
    <n v="56.19"/>
    <n v="35.770000000000003"/>
    <n v="20.420000000000002"/>
    <n v="0"/>
  </r>
  <r>
    <s v="ORD-001278"/>
    <s v="C-0039"/>
    <d v="2025-07-20T00:00:00"/>
    <s v="Marketplace"/>
    <s v="PayPal"/>
    <s v="Northeast"/>
    <n v="2"/>
    <x v="0"/>
    <n v="142.32"/>
    <n v="10"/>
    <n v="14.23"/>
    <n v="20.04"/>
    <n v="54.77"/>
    <n v="19.21"/>
    <n v="4.01"/>
    <s v="No"/>
    <n v="0"/>
    <n v="128.09"/>
    <n v="98.03"/>
    <n v="30.06"/>
    <n v="0"/>
  </r>
  <r>
    <s v="ORD-001279"/>
    <s v="C-0038"/>
    <d v="2025-07-12T00:00:00"/>
    <s v="Marketplace"/>
    <s v="Credit Card"/>
    <s v="West Coast"/>
    <n v="2"/>
    <x v="7"/>
    <n v="121.15"/>
    <n v="10"/>
    <n v="12.12"/>
    <n v="23.8"/>
    <n v="49.45"/>
    <n v="16.350000000000001"/>
    <n v="3.46"/>
    <s v="No"/>
    <n v="0"/>
    <n v="109.03"/>
    <n v="93.06"/>
    <n v="15.97"/>
    <n v="0"/>
  </r>
  <r>
    <s v="ORD-001280"/>
    <s v="C-0422"/>
    <d v="2025-01-21T00:00:00"/>
    <s v="Website"/>
    <s v="Credit Card"/>
    <s v="Northeast"/>
    <n v="1"/>
    <x v="6"/>
    <n v="10.41"/>
    <n v="15"/>
    <n v="1.56"/>
    <n v="9.58"/>
    <n v="4.5599999999999996"/>
    <n v="0"/>
    <n v="0.56000000000000005"/>
    <s v="No"/>
    <n v="0"/>
    <n v="8.85"/>
    <n v="14.7"/>
    <n v="-5.85"/>
    <n v="0"/>
  </r>
  <r>
    <s v="ORD-001281"/>
    <s v="C-0028"/>
    <d v="2025-01-12T00:00:00"/>
    <s v="Marketplace"/>
    <s v="Credit Card"/>
    <s v="Northeast"/>
    <n v="1"/>
    <x v="7"/>
    <n v="33.22"/>
    <n v="20"/>
    <n v="6.64"/>
    <n v="8.94"/>
    <n v="19.46"/>
    <n v="3.99"/>
    <n v="1.07"/>
    <s v="No"/>
    <n v="0"/>
    <n v="26.58"/>
    <n v="33.46"/>
    <n v="-6.88"/>
    <n v="0"/>
  </r>
  <r>
    <s v="ORD-001282"/>
    <s v="C-0786"/>
    <d v="2025-05-18T00:00:00"/>
    <s v="Website"/>
    <s v="PayPal"/>
    <s v="West Coast"/>
    <n v="1"/>
    <x v="5"/>
    <n v="28.96"/>
    <n v="10"/>
    <n v="2.9"/>
    <n v="9.02"/>
    <n v="8.3000000000000007"/>
    <n v="0"/>
    <n v="1.06"/>
    <s v="No"/>
    <n v="0"/>
    <n v="26.06"/>
    <n v="18.38"/>
    <n v="7.68"/>
    <n v="0"/>
  </r>
  <r>
    <s v="ORD-001283"/>
    <s v="C-0482"/>
    <d v="2025-07-18T00:00:00"/>
    <s v="Website"/>
    <s v="Credit Card"/>
    <s v="West Coast"/>
    <n v="2"/>
    <x v="0"/>
    <n v="172.3"/>
    <n v="0"/>
    <n v="0"/>
    <n v="19.079999999999998"/>
    <n v="78.36"/>
    <n v="0"/>
    <n v="5.3"/>
    <s v="No"/>
    <n v="0"/>
    <n v="172.3"/>
    <n v="102.74"/>
    <n v="69.56"/>
    <n v="0"/>
  </r>
  <r>
    <s v="ORD-001284"/>
    <s v="C-0540"/>
    <d v="2024-09-27T00:00:00"/>
    <s v="Website"/>
    <s v="Gift Card"/>
    <s v="Southwest"/>
    <n v="1"/>
    <x v="0"/>
    <n v="260.5"/>
    <n v="15"/>
    <n v="39.08"/>
    <n v="11.82"/>
    <n v="78.92"/>
    <n v="0"/>
    <n v="6.72"/>
    <s v="No"/>
    <n v="0"/>
    <n v="221.42"/>
    <n v="97.46"/>
    <n v="123.96"/>
    <n v="0"/>
  </r>
  <r>
    <s v="ORD-001285"/>
    <s v="C-0115"/>
    <d v="2025-07-06T00:00:00"/>
    <s v="Marketplace"/>
    <s v="Buy Now Pay Later"/>
    <s v="West Coast"/>
    <n v="3"/>
    <x v="2"/>
    <n v="138.51"/>
    <n v="0"/>
    <n v="0"/>
    <n v="39.6"/>
    <n v="57.25"/>
    <n v="20.78"/>
    <n v="4.32"/>
    <s v="No"/>
    <n v="0"/>
    <n v="138.51"/>
    <n v="121.95"/>
    <n v="16.559999999999999"/>
    <n v="0"/>
  </r>
  <r>
    <s v="ORD-001286"/>
    <s v="C-0064"/>
    <d v="2025-03-27T00:00:00"/>
    <s v="Website"/>
    <s v="Credit Card"/>
    <s v="Northeast"/>
    <n v="1"/>
    <x v="0"/>
    <n v="56.08"/>
    <n v="0"/>
    <n v="0"/>
    <n v="13.42"/>
    <n v="29.44"/>
    <n v="0"/>
    <n v="1.93"/>
    <s v="No"/>
    <n v="0"/>
    <n v="56.08"/>
    <n v="44.79"/>
    <n v="11.29"/>
    <n v="0"/>
  </r>
  <r>
    <s v="ORD-001287"/>
    <s v="C-0574"/>
    <d v="2025-06-24T00:00:00"/>
    <s v="Mobile App"/>
    <s v="Credit Card"/>
    <s v="Northeast"/>
    <n v="1"/>
    <x v="1"/>
    <n v="18.829999999999998"/>
    <n v="15"/>
    <n v="2.82"/>
    <n v="9.9"/>
    <n v="11.04"/>
    <n v="0"/>
    <n v="0.76"/>
    <s v="Yes"/>
    <n v="16.010000000000002"/>
    <n v="0"/>
    <n v="21.7"/>
    <n v="-21.7"/>
    <n v="0"/>
  </r>
  <r>
    <s v="ORD-001288"/>
    <s v="C-0565"/>
    <d v="2025-08-08T00:00:00"/>
    <s v="Website"/>
    <s v="PayPal"/>
    <s v="Midwest"/>
    <n v="1"/>
    <x v="1"/>
    <n v="52.86"/>
    <n v="10"/>
    <n v="5.29"/>
    <n v="34.979999999999997"/>
    <n v="25.59"/>
    <n v="0"/>
    <n v="1.68"/>
    <s v="No"/>
    <n v="0"/>
    <n v="47.57"/>
    <n v="62.25"/>
    <n v="-14.68"/>
    <n v="0"/>
  </r>
  <r>
    <s v="ORD-001289"/>
    <s v="C-0091"/>
    <d v="2024-06-25T00:00:00"/>
    <s v="Website"/>
    <s v="PayPal"/>
    <s v="West Coast"/>
    <n v="2"/>
    <x v="4"/>
    <n v="93.71"/>
    <n v="10"/>
    <n v="9.3699999999999992"/>
    <n v="22.76"/>
    <n v="46.89"/>
    <n v="0"/>
    <n v="2.75"/>
    <s v="No"/>
    <n v="0"/>
    <n v="84.34"/>
    <n v="72.400000000000006"/>
    <n v="11.94"/>
    <n v="1"/>
  </r>
  <r>
    <s v="ORD-001290"/>
    <s v="C-0254"/>
    <d v="2025-11-11T00:00:00"/>
    <s v="Marketplace"/>
    <s v="Credit Card"/>
    <s v="West Coast"/>
    <n v="2"/>
    <x v="5"/>
    <n v="52.07"/>
    <n v="10"/>
    <n v="5.21"/>
    <n v="14.12"/>
    <n v="21.21"/>
    <n v="7.03"/>
    <n v="1.66"/>
    <s v="No"/>
    <n v="0"/>
    <n v="46.86"/>
    <n v="44.02"/>
    <n v="2.84"/>
    <n v="0"/>
  </r>
  <r>
    <s v="ORD-001291"/>
    <s v="C-0571"/>
    <d v="2025-07-24T00:00:00"/>
    <s v="Website"/>
    <s v="Credit Card"/>
    <s v="Southeast"/>
    <n v="3"/>
    <x v="7"/>
    <n v="237.9"/>
    <n v="15"/>
    <n v="35.69"/>
    <n v="61.24"/>
    <n v="100.09"/>
    <n v="0"/>
    <n v="6.16"/>
    <s v="No"/>
    <n v="0"/>
    <n v="202.21"/>
    <n v="167.49"/>
    <n v="34.72"/>
    <n v="0"/>
  </r>
  <r>
    <s v="ORD-001292"/>
    <s v="C-0498"/>
    <d v="2025-06-06T00:00:00"/>
    <s v="Website"/>
    <s v="Credit Card"/>
    <s v="Midwest"/>
    <n v="1"/>
    <x v="4"/>
    <n v="51.68"/>
    <n v="5"/>
    <n v="2.58"/>
    <n v="29.56"/>
    <n v="19.78"/>
    <n v="0"/>
    <n v="1.72"/>
    <s v="No"/>
    <n v="0"/>
    <n v="49.1"/>
    <n v="51.06"/>
    <n v="-1.96"/>
    <n v="0"/>
  </r>
  <r>
    <s v="ORD-001293"/>
    <s v="C-0293"/>
    <d v="2025-09-15T00:00:00"/>
    <s v="Marketplace"/>
    <s v="PayPal"/>
    <s v="West Coast"/>
    <n v="2"/>
    <x v="3"/>
    <n v="44.26"/>
    <n v="20"/>
    <n v="8.85"/>
    <n v="17.079999999999998"/>
    <n v="19.78"/>
    <n v="5.31"/>
    <n v="1.33"/>
    <s v="No"/>
    <n v="0"/>
    <n v="35.409999999999997"/>
    <n v="43.5"/>
    <n v="-8.09"/>
    <n v="0"/>
  </r>
  <r>
    <s v="ORD-001294"/>
    <s v="C-0384"/>
    <d v="2025-06-23T00:00:00"/>
    <s v="Mobile App"/>
    <s v="Debit Card"/>
    <s v="Midwest"/>
    <n v="4"/>
    <x v="6"/>
    <n v="357.64"/>
    <n v="0"/>
    <n v="0"/>
    <n v="68.42"/>
    <n v="161.26"/>
    <n v="0"/>
    <n v="10.67"/>
    <s v="No"/>
    <n v="0"/>
    <n v="357.64"/>
    <n v="240.35"/>
    <n v="117.29"/>
    <n v="0"/>
  </r>
  <r>
    <s v="ORD-001295"/>
    <s v="C-0012"/>
    <d v="2025-09-06T00:00:00"/>
    <s v="Website"/>
    <s v="PayPal"/>
    <s v="West Coast"/>
    <n v="1"/>
    <x v="1"/>
    <n v="75.03"/>
    <n v="0"/>
    <n v="0"/>
    <n v="23.7"/>
    <n v="27.03"/>
    <n v="0"/>
    <n v="2.48"/>
    <s v="No"/>
    <n v="0"/>
    <n v="75.03"/>
    <n v="53.21"/>
    <n v="21.82"/>
    <n v="0"/>
  </r>
  <r>
    <s v="ORD-001296"/>
    <s v="C-0713"/>
    <d v="2024-08-13T00:00:00"/>
    <s v="Mobile App"/>
    <s v="Buy Now Pay Later"/>
    <s v="Midwest"/>
    <n v="2"/>
    <x v="3"/>
    <n v="73.989999999999995"/>
    <n v="0"/>
    <n v="0"/>
    <n v="20.74"/>
    <n v="40.51"/>
    <n v="0"/>
    <n v="2.4500000000000002"/>
    <s v="No"/>
    <n v="0"/>
    <n v="73.989999999999995"/>
    <n v="63.7"/>
    <n v="10.29"/>
    <n v="0"/>
  </r>
  <r>
    <s v="ORD-001297"/>
    <s v="C-0239"/>
    <d v="2024-12-28T00:00:00"/>
    <s v="Website"/>
    <s v="Credit Card"/>
    <s v="Southeast"/>
    <n v="1"/>
    <x v="4"/>
    <n v="44.72"/>
    <n v="10"/>
    <n v="4.47"/>
    <n v="9.42"/>
    <n v="31.09"/>
    <n v="0"/>
    <n v="1.47"/>
    <s v="No"/>
    <n v="0"/>
    <n v="40.25"/>
    <n v="41.98"/>
    <n v="-1.73"/>
    <n v="0"/>
  </r>
  <r>
    <s v="ORD-001298"/>
    <s v="C-0226"/>
    <d v="2025-06-20T00:00:00"/>
    <s v="Marketplace"/>
    <s v="Gift Card"/>
    <s v="Northeast"/>
    <n v="4"/>
    <x v="6"/>
    <n v="170.21"/>
    <n v="0"/>
    <n v="0"/>
    <n v="71.040000000000006"/>
    <n v="60.13"/>
    <n v="25.53"/>
    <n v="5.24"/>
    <s v="No"/>
    <n v="0"/>
    <n v="170.21"/>
    <n v="161.94"/>
    <n v="8.27"/>
    <n v="0"/>
  </r>
  <r>
    <s v="ORD-001299"/>
    <s v="C-0232"/>
    <d v="2024-12-18T00:00:00"/>
    <s v="Website"/>
    <s v="PayPal"/>
    <s v="West Coast"/>
    <n v="3"/>
    <x v="7"/>
    <n v="253.98"/>
    <n v="15"/>
    <n v="38.1"/>
    <n v="37.68"/>
    <n v="81.39"/>
    <n v="0"/>
    <n v="6.56"/>
    <s v="No"/>
    <n v="0"/>
    <n v="215.88"/>
    <n v="125.63"/>
    <n v="90.25"/>
    <n v="0"/>
  </r>
  <r>
    <s v="ORD-001300"/>
    <s v="C-0118"/>
    <d v="2025-04-24T00:00:00"/>
    <s v="Website"/>
    <s v="Buy Now Pay Later"/>
    <s v="Midwest"/>
    <n v="1"/>
    <x v="3"/>
    <n v="206.7"/>
    <n v="0"/>
    <n v="0"/>
    <n v="10.039999999999999"/>
    <n v="61.9"/>
    <n v="0"/>
    <n v="6.29"/>
    <s v="No"/>
    <n v="0"/>
    <n v="206.7"/>
    <n v="78.23"/>
    <n v="128.47"/>
    <n v="0"/>
  </r>
  <r>
    <s v="ORD-001301"/>
    <s v="C-0086"/>
    <d v="2025-06-08T00:00:00"/>
    <s v="Mobile App"/>
    <s v="Debit Card"/>
    <s v="Northeast"/>
    <n v="1"/>
    <x v="0"/>
    <n v="109.6"/>
    <n v="0"/>
    <n v="0"/>
    <n v="11.58"/>
    <n v="57.57"/>
    <n v="0"/>
    <n v="3.48"/>
    <s v="No"/>
    <n v="0"/>
    <n v="109.6"/>
    <n v="72.63"/>
    <n v="36.97"/>
    <n v="0"/>
  </r>
  <r>
    <s v="ORD-001302"/>
    <s v="C-0086"/>
    <d v="2025-06-17T00:00:00"/>
    <s v="Website"/>
    <s v="Debit Card"/>
    <s v="Northeast"/>
    <n v="1"/>
    <x v="4"/>
    <n v="49.76"/>
    <n v="20"/>
    <n v="9.9499999999999993"/>
    <n v="14.04"/>
    <n v="27.54"/>
    <n v="0"/>
    <n v="1.45"/>
    <s v="No"/>
    <n v="0"/>
    <n v="39.81"/>
    <n v="43.03"/>
    <n v="-3.22"/>
    <n v="0"/>
  </r>
  <r>
    <s v="ORD-001303"/>
    <s v="C-0111"/>
    <d v="2024-12-20T00:00:00"/>
    <s v="Website"/>
    <s v="Buy Now Pay Later"/>
    <s v="West Coast"/>
    <n v="1"/>
    <x v="5"/>
    <n v="41.34"/>
    <n v="15"/>
    <n v="6.2"/>
    <n v="11.18"/>
    <n v="21.84"/>
    <n v="0"/>
    <n v="1.32"/>
    <s v="No"/>
    <n v="0"/>
    <n v="35.14"/>
    <n v="34.340000000000003"/>
    <n v="0.8"/>
    <n v="0"/>
  </r>
  <r>
    <s v="ORD-001304"/>
    <s v="C-0610"/>
    <d v="2025-03-28T00:00:00"/>
    <s v="Website"/>
    <s v="Credit Card"/>
    <s v="Midwest"/>
    <n v="1"/>
    <x v="3"/>
    <n v="91.38"/>
    <n v="10"/>
    <n v="9.14"/>
    <n v="23.16"/>
    <n v="56.42"/>
    <n v="0"/>
    <n v="2.68"/>
    <s v="No"/>
    <n v="0"/>
    <n v="82.24"/>
    <n v="82.26"/>
    <n v="-0.02"/>
    <n v="0"/>
  </r>
  <r>
    <s v="ORD-001305"/>
    <s v="C-0184"/>
    <d v="2025-07-31T00:00:00"/>
    <s v="Marketplace"/>
    <s v="Credit Card"/>
    <s v="Northeast"/>
    <n v="1"/>
    <x v="2"/>
    <n v="10.050000000000001"/>
    <n v="0"/>
    <n v="0"/>
    <n v="9.18"/>
    <n v="6.91"/>
    <n v="1.51"/>
    <n v="0.59"/>
    <s v="No"/>
    <n v="0"/>
    <n v="10.050000000000001"/>
    <n v="18.190000000000001"/>
    <n v="-8.14"/>
    <n v="0"/>
  </r>
  <r>
    <s v="ORD-001306"/>
    <s v="C-0464"/>
    <d v="2025-03-08T00:00:00"/>
    <s v="Mobile App"/>
    <s v="PayPal"/>
    <s v="West Coast"/>
    <n v="1"/>
    <x v="1"/>
    <n v="36.6"/>
    <n v="0"/>
    <n v="0"/>
    <n v="10.62"/>
    <n v="14.64"/>
    <n v="0"/>
    <n v="1.36"/>
    <s v="Yes"/>
    <n v="36.6"/>
    <n v="0"/>
    <n v="26.62"/>
    <n v="-26.62"/>
    <n v="0"/>
  </r>
  <r>
    <s v="ORD-001307"/>
    <s v="C-0088"/>
    <d v="2025-01-02T00:00:00"/>
    <s v="Website"/>
    <s v="PayPal"/>
    <s v="Northeast"/>
    <n v="1"/>
    <x v="3"/>
    <n v="45.69"/>
    <n v="0"/>
    <n v="0"/>
    <n v="11.58"/>
    <n v="28.21"/>
    <n v="0"/>
    <n v="1.63"/>
    <s v="No"/>
    <n v="0"/>
    <n v="45.69"/>
    <n v="41.42"/>
    <n v="4.2699999999999996"/>
    <n v="0"/>
  </r>
  <r>
    <s v="ORD-001308"/>
    <s v="C-0495"/>
    <d v="2025-06-16T00:00:00"/>
    <s v="Website"/>
    <s v="Debit Card"/>
    <s v="Southeast"/>
    <n v="2"/>
    <x v="1"/>
    <n v="204.46"/>
    <n v="0"/>
    <n v="0"/>
    <n v="43.28"/>
    <n v="78.489999999999995"/>
    <n v="0"/>
    <n v="6.23"/>
    <s v="No"/>
    <n v="0"/>
    <n v="204.46"/>
    <n v="128"/>
    <n v="76.459999999999994"/>
    <n v="1"/>
  </r>
  <r>
    <s v="ORD-001309"/>
    <s v="C-0367"/>
    <d v="2025-03-20T00:00:00"/>
    <s v="Mobile App"/>
    <s v="Gift Card"/>
    <s v="Southwest"/>
    <n v="1"/>
    <x v="6"/>
    <n v="33.6"/>
    <n v="0"/>
    <n v="0"/>
    <n v="8.2799999999999994"/>
    <n v="16.5"/>
    <n v="0"/>
    <n v="1.27"/>
    <s v="Yes"/>
    <n v="33.6"/>
    <n v="0"/>
    <n v="26.05"/>
    <n v="-26.05"/>
    <n v="0"/>
  </r>
  <r>
    <s v="ORD-001310"/>
    <s v="C-0773"/>
    <d v="2025-06-03T00:00:00"/>
    <s v="Marketplace"/>
    <s v="PayPal"/>
    <s v="Northeast"/>
    <n v="1"/>
    <x v="5"/>
    <n v="27.16"/>
    <n v="5"/>
    <n v="1.36"/>
    <n v="11.34"/>
    <n v="13.64"/>
    <n v="3.87"/>
    <n v="1.05"/>
    <s v="No"/>
    <n v="0"/>
    <n v="25.8"/>
    <n v="29.9"/>
    <n v="-4.0999999999999996"/>
    <n v="0"/>
  </r>
  <r>
    <s v="ORD-001311"/>
    <s v="C-0730"/>
    <d v="2024-12-24T00:00:00"/>
    <s v="Marketplace"/>
    <s v="Credit Card"/>
    <s v="West Coast"/>
    <n v="4"/>
    <x v="2"/>
    <n v="230.96"/>
    <n v="0"/>
    <n v="0"/>
    <n v="89.28"/>
    <n v="92.49"/>
    <n v="34.64"/>
    <n v="7"/>
    <s v="No"/>
    <n v="0"/>
    <n v="230.96"/>
    <n v="223.41"/>
    <n v="7.55"/>
    <n v="1"/>
  </r>
  <r>
    <s v="ORD-001312"/>
    <s v="C-0595"/>
    <d v="2024-07-28T00:00:00"/>
    <s v="Website"/>
    <s v="Gift Card"/>
    <s v="Southwest"/>
    <n v="2"/>
    <x v="5"/>
    <n v="152.72999999999999"/>
    <n v="25"/>
    <n v="38.18"/>
    <n v="34.020000000000003"/>
    <n v="55.26"/>
    <n v="0"/>
    <n v="3.62"/>
    <s v="No"/>
    <n v="0"/>
    <n v="114.55"/>
    <n v="92.9"/>
    <n v="21.65"/>
    <n v="0"/>
  </r>
  <r>
    <s v="ORD-001313"/>
    <s v="C-0042"/>
    <d v="2025-08-02T00:00:00"/>
    <s v="Mobile App"/>
    <s v="Credit Card"/>
    <s v="Southeast"/>
    <n v="2"/>
    <x v="0"/>
    <n v="92.75"/>
    <n v="10"/>
    <n v="9.2799999999999994"/>
    <n v="18.68"/>
    <n v="38.42"/>
    <n v="0"/>
    <n v="2.72"/>
    <s v="No"/>
    <n v="0"/>
    <n v="83.47"/>
    <n v="59.82"/>
    <n v="23.65"/>
    <n v="0"/>
  </r>
  <r>
    <s v="ORD-001314"/>
    <s v="C-0149"/>
    <d v="2025-09-01T00:00:00"/>
    <s v="Website"/>
    <s v="Debit Card"/>
    <s v="Midwest"/>
    <n v="1"/>
    <x v="6"/>
    <n v="18.27"/>
    <n v="20"/>
    <n v="3.65"/>
    <n v="9.26"/>
    <n v="11.45"/>
    <n v="0"/>
    <n v="0.72"/>
    <s v="No"/>
    <n v="0"/>
    <n v="14.62"/>
    <n v="21.43"/>
    <n v="-6.81"/>
    <n v="0"/>
  </r>
  <r>
    <s v="ORD-001315"/>
    <s v="C-0375"/>
    <d v="2025-03-23T00:00:00"/>
    <s v="Mobile App"/>
    <s v="Credit Card"/>
    <s v="Southeast"/>
    <n v="4"/>
    <x v="1"/>
    <n v="256.32"/>
    <n v="0"/>
    <n v="0"/>
    <n v="56.3"/>
    <n v="93.01"/>
    <n v="0"/>
    <n v="7.73"/>
    <s v="No"/>
    <n v="0"/>
    <n v="256.32"/>
    <n v="157.04"/>
    <n v="99.28"/>
    <n v="0"/>
  </r>
  <r>
    <s v="ORD-001316"/>
    <s v="C-0173"/>
    <d v="2025-05-22T00:00:00"/>
    <s v="Website"/>
    <s v="Debit Card"/>
    <s v="Midwest"/>
    <n v="2"/>
    <x v="5"/>
    <n v="68.92"/>
    <n v="25"/>
    <n v="17.23"/>
    <n v="23.46"/>
    <n v="31.27"/>
    <n v="0"/>
    <n v="1.8"/>
    <s v="No"/>
    <n v="0"/>
    <n v="51.69"/>
    <n v="56.53"/>
    <n v="-4.84"/>
    <n v="0"/>
  </r>
  <r>
    <s v="ORD-001317"/>
    <s v="C-0345"/>
    <d v="2025-03-10T00:00:00"/>
    <s v="Marketplace"/>
    <s v="Debit Card"/>
    <s v="Midwest"/>
    <n v="2"/>
    <x v="6"/>
    <n v="87.55"/>
    <n v="15"/>
    <n v="13.13"/>
    <n v="16.68"/>
    <n v="27.82"/>
    <n v="11.16"/>
    <n v="2.46"/>
    <s v="No"/>
    <n v="0"/>
    <n v="74.42"/>
    <n v="58.12"/>
    <n v="16.3"/>
    <n v="0"/>
  </r>
  <r>
    <s v="ORD-001318"/>
    <s v="C-0722"/>
    <d v="2025-06-04T00:00:00"/>
    <s v="Marketplace"/>
    <s v="Credit Card"/>
    <s v="West Coast"/>
    <n v="1"/>
    <x v="6"/>
    <n v="54.81"/>
    <n v="25"/>
    <n v="13.7"/>
    <n v="27.78"/>
    <n v="34.35"/>
    <n v="6.17"/>
    <n v="1.49"/>
    <s v="No"/>
    <n v="0"/>
    <n v="41.11"/>
    <n v="69.790000000000006"/>
    <n v="-28.68"/>
    <n v="0"/>
  </r>
  <r>
    <s v="ORD-001319"/>
    <s v="C-0080"/>
    <d v="2025-10-23T00:00:00"/>
    <s v="Mobile App"/>
    <s v="PayPal"/>
    <s v="Southeast"/>
    <n v="3"/>
    <x v="1"/>
    <n v="184.26"/>
    <n v="0"/>
    <n v="0"/>
    <n v="24.96"/>
    <n v="94.57"/>
    <n v="0"/>
    <n v="5.64"/>
    <s v="No"/>
    <n v="0"/>
    <n v="184.26"/>
    <n v="125.17"/>
    <n v="59.09"/>
    <n v="0"/>
  </r>
  <r>
    <s v="ORD-001320"/>
    <s v="C-0438"/>
    <d v="2025-06-02T00:00:00"/>
    <s v="Marketplace"/>
    <s v="Credit Card"/>
    <s v="Northeast"/>
    <n v="1"/>
    <x v="3"/>
    <n v="96.35"/>
    <n v="0"/>
    <n v="0"/>
    <n v="3.82"/>
    <n v="38.61"/>
    <n v="14.45"/>
    <n v="3.09"/>
    <s v="No"/>
    <n v="0"/>
    <n v="96.35"/>
    <n v="59.97"/>
    <n v="36.380000000000003"/>
    <n v="0"/>
  </r>
  <r>
    <s v="ORD-001321"/>
    <s v="C-0448"/>
    <d v="2024-09-30T00:00:00"/>
    <s v="Social Commerce"/>
    <s v="Credit Card"/>
    <s v="West Coast"/>
    <n v="3"/>
    <x v="4"/>
    <n v="125.85"/>
    <n v="5"/>
    <n v="6.29"/>
    <n v="29.06"/>
    <n v="52.37"/>
    <n v="9.56"/>
    <n v="3.77"/>
    <s v="No"/>
    <n v="0"/>
    <n v="119.56"/>
    <n v="94.76"/>
    <n v="24.8"/>
    <n v="0"/>
  </r>
  <r>
    <s v="ORD-001322"/>
    <s v="C-0315"/>
    <d v="2025-08-14T00:00:00"/>
    <s v="Website"/>
    <s v="PayPal"/>
    <s v="Southwest"/>
    <n v="1"/>
    <x v="1"/>
    <n v="16.16"/>
    <n v="20"/>
    <n v="3.23"/>
    <n v="4.54"/>
    <n v="7.01"/>
    <n v="0"/>
    <n v="0.67"/>
    <s v="No"/>
    <n v="0"/>
    <n v="12.93"/>
    <n v="12.22"/>
    <n v="0.71"/>
    <n v="0"/>
  </r>
  <r>
    <s v="ORD-001323"/>
    <s v="C-0063"/>
    <d v="2024-04-29T00:00:00"/>
    <s v="Marketplace"/>
    <s v="Credit Card"/>
    <s v="Northeast"/>
    <n v="4"/>
    <x v="5"/>
    <n v="360.08"/>
    <n v="20"/>
    <n v="72.02"/>
    <n v="49.5"/>
    <n v="175.69"/>
    <n v="43.21"/>
    <n v="8.65"/>
    <s v="No"/>
    <n v="0"/>
    <n v="288.06"/>
    <n v="277.05"/>
    <n v="11.01"/>
    <n v="0"/>
  </r>
  <r>
    <s v="ORD-001324"/>
    <s v="C-0452"/>
    <d v="2024-08-31T00:00:00"/>
    <s v="Marketplace"/>
    <s v="Credit Card"/>
    <s v="Southwest"/>
    <n v="1"/>
    <x v="3"/>
    <n v="19.260000000000002"/>
    <n v="0"/>
    <n v="0"/>
    <n v="5.26"/>
    <n v="7.33"/>
    <n v="2.89"/>
    <n v="0.86"/>
    <s v="No"/>
    <n v="0"/>
    <n v="19.260000000000002"/>
    <n v="16.34"/>
    <n v="2.92"/>
    <n v="0"/>
  </r>
  <r>
    <s v="ORD-001325"/>
    <s v="C-0057"/>
    <d v="2025-01-24T00:00:00"/>
    <s v="Marketplace"/>
    <s v="Buy Now Pay Later"/>
    <s v="Midwest"/>
    <n v="1"/>
    <x v="2"/>
    <n v="94.27"/>
    <n v="0"/>
    <n v="0"/>
    <n v="7.98"/>
    <n v="37.200000000000003"/>
    <n v="14.14"/>
    <n v="3.03"/>
    <s v="No"/>
    <n v="0"/>
    <n v="94.27"/>
    <n v="62.35"/>
    <n v="31.92"/>
    <n v="0"/>
  </r>
  <r>
    <s v="ORD-001326"/>
    <s v="C-0121"/>
    <d v="2024-08-17T00:00:00"/>
    <s v="Website"/>
    <s v="Credit Card"/>
    <s v="Midwest"/>
    <n v="1"/>
    <x v="0"/>
    <n v="20.67"/>
    <n v="0"/>
    <n v="0"/>
    <n v="4.3"/>
    <n v="5.96"/>
    <n v="0"/>
    <n v="0.9"/>
    <s v="No"/>
    <n v="0"/>
    <n v="20.67"/>
    <n v="11.16"/>
    <n v="9.51"/>
    <n v="0"/>
  </r>
  <r>
    <s v="ORD-001327"/>
    <s v="C-0457"/>
    <d v="2024-12-04T00:00:00"/>
    <s v="Website"/>
    <s v="PayPal"/>
    <s v="Northeast"/>
    <n v="1"/>
    <x v="7"/>
    <n v="58.8"/>
    <n v="20"/>
    <n v="11.76"/>
    <n v="12.44"/>
    <n v="22.82"/>
    <n v="0"/>
    <n v="1.66"/>
    <s v="No"/>
    <n v="0"/>
    <n v="47.04"/>
    <n v="36.92"/>
    <n v="10.119999999999999"/>
    <n v="0"/>
  </r>
  <r>
    <s v="ORD-001328"/>
    <s v="C-0568"/>
    <d v="2025-10-28T00:00:00"/>
    <s v="Mobile App"/>
    <s v="Debit Card"/>
    <s v="West Coast"/>
    <n v="2"/>
    <x v="1"/>
    <n v="91.03"/>
    <n v="20"/>
    <n v="18.21"/>
    <n v="24.66"/>
    <n v="46.54"/>
    <n v="0"/>
    <n v="2.41"/>
    <s v="No"/>
    <n v="0"/>
    <n v="72.819999999999993"/>
    <n v="73.61"/>
    <n v="-0.79"/>
    <n v="0"/>
  </r>
  <r>
    <s v="ORD-001329"/>
    <s v="C-0484"/>
    <d v="2025-10-27T00:00:00"/>
    <s v="Social Commerce"/>
    <s v="Credit Card"/>
    <s v="West Coast"/>
    <n v="3"/>
    <x v="7"/>
    <n v="227.61"/>
    <n v="5"/>
    <n v="11.38"/>
    <n v="38.4"/>
    <n v="100.89"/>
    <n v="17.3"/>
    <n v="6.57"/>
    <s v="No"/>
    <n v="0"/>
    <n v="216.23"/>
    <n v="163.16"/>
    <n v="53.07"/>
    <n v="0"/>
  </r>
  <r>
    <s v="ORD-001330"/>
    <s v="C-0682"/>
    <d v="2025-05-06T00:00:00"/>
    <s v="Marketplace"/>
    <s v="PayPal"/>
    <s v="Southwest"/>
    <n v="1"/>
    <x v="3"/>
    <n v="13.9"/>
    <n v="10"/>
    <n v="1.39"/>
    <n v="15.96"/>
    <n v="9.6999999999999993"/>
    <n v="1.88"/>
    <n v="0.66"/>
    <s v="No"/>
    <n v="0"/>
    <n v="12.51"/>
    <n v="28.2"/>
    <n v="-15.69"/>
    <n v="0"/>
  </r>
  <r>
    <s v="ORD-001331"/>
    <s v="C-0649"/>
    <d v="2024-12-20T00:00:00"/>
    <s v="Website"/>
    <s v="Credit Card"/>
    <s v="Northeast"/>
    <n v="1"/>
    <x v="7"/>
    <n v="58.8"/>
    <n v="0"/>
    <n v="0"/>
    <n v="12.44"/>
    <n v="22.82"/>
    <n v="0"/>
    <n v="2.0099999999999998"/>
    <s v="No"/>
    <n v="0"/>
    <n v="58.8"/>
    <n v="37.270000000000003"/>
    <n v="21.53"/>
    <n v="0"/>
  </r>
  <r>
    <s v="ORD-001332"/>
    <s v="C-0041"/>
    <d v="2025-12-16T00:00:00"/>
    <s v="Marketplace"/>
    <s v="Credit Card"/>
    <s v="Southeast"/>
    <n v="1"/>
    <x v="5"/>
    <n v="28.96"/>
    <n v="0"/>
    <n v="0"/>
    <n v="9.02"/>
    <n v="8.3000000000000007"/>
    <n v="4.34"/>
    <n v="1.1399999999999999"/>
    <s v="No"/>
    <n v="0"/>
    <n v="28.96"/>
    <n v="22.8"/>
    <n v="6.16"/>
    <n v="0"/>
  </r>
  <r>
    <s v="ORD-001333"/>
    <s v="C-0695"/>
    <d v="2024-11-28T00:00:00"/>
    <s v="Marketplace"/>
    <s v="PayPal"/>
    <s v="Southeast"/>
    <n v="3"/>
    <x v="2"/>
    <n v="224.95"/>
    <n v="5"/>
    <n v="11.25"/>
    <n v="25.28"/>
    <n v="81.38"/>
    <n v="32.049999999999997"/>
    <n v="6.5"/>
    <s v="No"/>
    <n v="0"/>
    <n v="213.7"/>
    <n v="145.21"/>
    <n v="68.489999999999995"/>
    <n v="0"/>
  </r>
  <r>
    <s v="ORD-001334"/>
    <s v="C-0070"/>
    <d v="2025-01-13T00:00:00"/>
    <s v="Social Commerce"/>
    <s v="Credit Card"/>
    <s v="Southeast"/>
    <n v="4"/>
    <x v="7"/>
    <n v="449.42"/>
    <n v="10"/>
    <n v="44.94"/>
    <n v="110.08"/>
    <n v="185.99"/>
    <n v="32.36"/>
    <n v="12.03"/>
    <s v="Yes"/>
    <n v="404.48"/>
    <n v="0"/>
    <n v="340.46"/>
    <n v="-340.46"/>
    <n v="0"/>
  </r>
  <r>
    <s v="ORD-001335"/>
    <s v="C-0694"/>
    <d v="2025-09-20T00:00:00"/>
    <s v="Social Commerce"/>
    <s v="Credit Card"/>
    <s v="West Coast"/>
    <n v="1"/>
    <x v="0"/>
    <n v="384.76"/>
    <n v="15"/>
    <n v="57.71"/>
    <n v="20.12"/>
    <n v="145.18"/>
    <n v="26.16"/>
    <n v="9.7799999999999994"/>
    <s v="Yes"/>
    <n v="327.05"/>
    <n v="0"/>
    <n v="201.24"/>
    <n v="-201.24"/>
    <n v="0"/>
  </r>
  <r>
    <s v="ORD-001336"/>
    <s v="C-0509"/>
    <d v="2025-06-15T00:00:00"/>
    <s v="Website"/>
    <s v="PayPal"/>
    <s v="Northeast"/>
    <n v="3"/>
    <x v="5"/>
    <n v="179.93"/>
    <n v="10"/>
    <n v="17.989999999999998"/>
    <n v="25.78"/>
    <n v="63.38"/>
    <n v="0"/>
    <n v="5"/>
    <s v="No"/>
    <n v="0"/>
    <n v="161.94"/>
    <n v="94.16"/>
    <n v="67.78"/>
    <n v="1"/>
  </r>
  <r>
    <s v="ORD-001337"/>
    <s v="C-0048"/>
    <d v="2025-05-03T00:00:00"/>
    <s v="Social Commerce"/>
    <s v="Credit Card"/>
    <s v="Midwest"/>
    <n v="1"/>
    <x v="1"/>
    <n v="24.02"/>
    <n v="5"/>
    <n v="1.2"/>
    <n v="3.98"/>
    <n v="10.75"/>
    <n v="1.83"/>
    <n v="0.96"/>
    <s v="No"/>
    <n v="0"/>
    <n v="22.82"/>
    <n v="17.52"/>
    <n v="5.3"/>
    <n v="1"/>
  </r>
  <r>
    <s v="ORD-001338"/>
    <s v="C-0118"/>
    <d v="2025-07-08T00:00:00"/>
    <s v="Mobile App"/>
    <s v="Credit Card"/>
    <s v="Northeast"/>
    <n v="2"/>
    <x v="3"/>
    <n v="195.82"/>
    <n v="0"/>
    <n v="0"/>
    <n v="24.6"/>
    <n v="73.400000000000006"/>
    <n v="0"/>
    <n v="5.98"/>
    <s v="No"/>
    <n v="0"/>
    <n v="195.82"/>
    <n v="103.98"/>
    <n v="91.84"/>
    <n v="0"/>
  </r>
  <r>
    <s v="ORD-001339"/>
    <s v="C-0495"/>
    <d v="2024-12-05T00:00:00"/>
    <s v="Website"/>
    <s v="Debit Card"/>
    <s v="Northeast"/>
    <n v="1"/>
    <x v="0"/>
    <n v="24.31"/>
    <n v="0"/>
    <n v="0"/>
    <n v="5.74"/>
    <n v="7.13"/>
    <n v="0"/>
    <n v="1"/>
    <s v="Yes"/>
    <n v="24.31"/>
    <n v="0"/>
    <n v="13.87"/>
    <n v="-13.87"/>
    <n v="0"/>
  </r>
  <r>
    <s v="ORD-001340"/>
    <s v="C-0197"/>
    <d v="2025-12-07T00:00:00"/>
    <s v="Website"/>
    <s v="Buy Now Pay Later"/>
    <s v="West Coast"/>
    <n v="1"/>
    <x v="6"/>
    <n v="46.4"/>
    <n v="15"/>
    <n v="6.96"/>
    <n v="15.96"/>
    <n v="13.54"/>
    <n v="0"/>
    <n v="1.44"/>
    <s v="No"/>
    <n v="0"/>
    <n v="39.44"/>
    <n v="30.94"/>
    <n v="8.5"/>
    <n v="0"/>
  </r>
  <r>
    <s v="ORD-001341"/>
    <s v="C-0106"/>
    <d v="2025-09-16T00:00:00"/>
    <s v="Website"/>
    <s v="Credit Card"/>
    <s v="West Coast"/>
    <n v="2"/>
    <x v="4"/>
    <n v="131.07"/>
    <n v="10"/>
    <n v="13.11"/>
    <n v="20.2"/>
    <n v="44.79"/>
    <n v="0"/>
    <n v="3.72"/>
    <s v="No"/>
    <n v="0"/>
    <n v="117.96"/>
    <n v="68.709999999999994"/>
    <n v="49.25"/>
    <n v="1"/>
  </r>
  <r>
    <s v="ORD-001342"/>
    <s v="C-0302"/>
    <d v="2025-08-17T00:00:00"/>
    <s v="Marketplace"/>
    <s v="Credit Card"/>
    <s v="Southeast"/>
    <n v="4"/>
    <x v="0"/>
    <n v="451.1"/>
    <n v="0"/>
    <n v="0"/>
    <n v="63.64"/>
    <n v="206.48"/>
    <n v="67.66"/>
    <n v="13.38"/>
    <s v="No"/>
    <n v="0"/>
    <n v="451.1"/>
    <n v="351.16"/>
    <n v="99.94"/>
    <n v="0"/>
  </r>
  <r>
    <s v="ORD-001343"/>
    <s v="C-0274"/>
    <d v="2025-04-30T00:00:00"/>
    <s v="Website"/>
    <s v="Debit Card"/>
    <s v="West Coast"/>
    <n v="2"/>
    <x v="1"/>
    <n v="39.520000000000003"/>
    <n v="0"/>
    <n v="0"/>
    <n v="28.84"/>
    <n v="21.67"/>
    <n v="0"/>
    <n v="1.45"/>
    <s v="No"/>
    <n v="0"/>
    <n v="39.520000000000003"/>
    <n v="51.96"/>
    <n v="-12.44"/>
    <n v="0"/>
  </r>
  <r>
    <s v="ORD-001344"/>
    <s v="C-0518"/>
    <d v="2025-09-20T00:00:00"/>
    <s v="Website"/>
    <s v="Debit Card"/>
    <s v="West Coast"/>
    <n v="2"/>
    <x v="3"/>
    <n v="133.08000000000001"/>
    <n v="0"/>
    <n v="0"/>
    <n v="17.54"/>
    <n v="44.21"/>
    <n v="0"/>
    <n v="4.16"/>
    <s v="No"/>
    <n v="0"/>
    <n v="133.08000000000001"/>
    <n v="65.91"/>
    <n v="67.17"/>
    <n v="0"/>
  </r>
  <r>
    <s v="ORD-001345"/>
    <s v="C-0747"/>
    <d v="2025-02-03T00:00:00"/>
    <s v="Website"/>
    <s v="PayPal"/>
    <s v="Southeast"/>
    <n v="3"/>
    <x v="3"/>
    <n v="224.07"/>
    <n v="0"/>
    <n v="0"/>
    <n v="24.26"/>
    <n v="70.31"/>
    <n v="0"/>
    <n v="6.8"/>
    <s v="No"/>
    <n v="0"/>
    <n v="224.07"/>
    <n v="101.37"/>
    <n v="122.7"/>
    <n v="0"/>
  </r>
  <r>
    <s v="ORD-001346"/>
    <s v="C-0143"/>
    <d v="2024-11-10T00:00:00"/>
    <s v="Website"/>
    <s v="PayPal"/>
    <s v="West Coast"/>
    <n v="1"/>
    <x v="7"/>
    <n v="88.2"/>
    <n v="15"/>
    <n v="13.23"/>
    <n v="18.66"/>
    <n v="34.229999999999997"/>
    <n v="0"/>
    <n v="2.4700000000000002"/>
    <s v="No"/>
    <n v="0"/>
    <n v="74.97"/>
    <n v="55.36"/>
    <n v="19.61"/>
    <n v="0"/>
  </r>
  <r>
    <s v="ORD-001347"/>
    <s v="C-0650"/>
    <d v="2025-11-05T00:00:00"/>
    <s v="Social Commerce"/>
    <s v="Credit Card"/>
    <s v="Southwest"/>
    <n v="1"/>
    <x v="1"/>
    <n v="47.32"/>
    <n v="25"/>
    <n v="11.83"/>
    <n v="9.1"/>
    <n v="20.94"/>
    <n v="2.84"/>
    <n v="1.33"/>
    <s v="No"/>
    <n v="0"/>
    <n v="35.49"/>
    <n v="34.21"/>
    <n v="1.28"/>
    <n v="0"/>
  </r>
  <r>
    <s v="ORD-001348"/>
    <s v="C-0098"/>
    <d v="2025-03-09T00:00:00"/>
    <s v="Social Commerce"/>
    <s v="Credit Card"/>
    <s v="Northeast"/>
    <n v="1"/>
    <x v="1"/>
    <n v="17.62"/>
    <n v="0"/>
    <n v="0"/>
    <n v="11.66"/>
    <n v="8.5299999999999994"/>
    <n v="1.41"/>
    <n v="0.81"/>
    <s v="No"/>
    <n v="0"/>
    <n v="17.62"/>
    <n v="22.41"/>
    <n v="-4.79"/>
    <n v="0"/>
  </r>
  <r>
    <s v="ORD-001349"/>
    <s v="C-0709"/>
    <d v="2024-11-20T00:00:00"/>
    <s v="Marketplace"/>
    <s v="Credit Card"/>
    <s v="Northeast"/>
    <n v="1"/>
    <x v="1"/>
    <n v="77.53"/>
    <n v="10"/>
    <n v="7.75"/>
    <n v="4.78"/>
    <n v="24.83"/>
    <n v="10.47"/>
    <n v="2.3199999999999998"/>
    <s v="No"/>
    <n v="0"/>
    <n v="69.78"/>
    <n v="42.4"/>
    <n v="27.38"/>
    <n v="0"/>
  </r>
  <r>
    <s v="ORD-001350"/>
    <s v="C-0056"/>
    <d v="2024-10-08T00:00:00"/>
    <s v="Marketplace"/>
    <s v="Buy Now Pay Later"/>
    <s v="Midwest"/>
    <n v="2"/>
    <x v="1"/>
    <n v="167.84"/>
    <n v="15"/>
    <n v="25.18"/>
    <n v="29.14"/>
    <n v="75.97"/>
    <n v="21.4"/>
    <n v="4.4400000000000004"/>
    <s v="No"/>
    <n v="0"/>
    <n v="142.66"/>
    <n v="130.94999999999999"/>
    <n v="11.71"/>
    <n v="0"/>
  </r>
  <r>
    <s v="ORD-001351"/>
    <s v="C-0692"/>
    <d v="2025-01-28T00:00:00"/>
    <s v="Marketplace"/>
    <s v="Credit Card"/>
    <s v="Southwest"/>
    <n v="1"/>
    <x v="2"/>
    <n v="59.85"/>
    <n v="5"/>
    <n v="2.99"/>
    <n v="13.38"/>
    <n v="20.49"/>
    <n v="8.5299999999999994"/>
    <n v="1.95"/>
    <s v="No"/>
    <n v="0"/>
    <n v="56.86"/>
    <n v="44.35"/>
    <n v="12.51"/>
    <n v="0"/>
  </r>
  <r>
    <s v="ORD-001352"/>
    <s v="C-0064"/>
    <d v="2025-03-16T00:00:00"/>
    <s v="Website"/>
    <s v="PayPal"/>
    <s v="Midwest"/>
    <n v="3"/>
    <x v="4"/>
    <n v="194.36"/>
    <n v="5"/>
    <n v="9.7200000000000006"/>
    <n v="43.2"/>
    <n v="80.37"/>
    <n v="0"/>
    <n v="5.65"/>
    <s v="No"/>
    <n v="0"/>
    <n v="184.64"/>
    <n v="129.22"/>
    <n v="55.42"/>
    <n v="0"/>
  </r>
  <r>
    <s v="ORD-001353"/>
    <s v="C-0301"/>
    <d v="2025-06-16T00:00:00"/>
    <s v="Website"/>
    <s v="Credit Card"/>
    <s v="Midwest"/>
    <n v="1"/>
    <x v="3"/>
    <n v="29.59"/>
    <n v="5"/>
    <n v="1.48"/>
    <n v="4.7"/>
    <n v="12.42"/>
    <n v="0"/>
    <n v="1.1200000000000001"/>
    <s v="No"/>
    <n v="0"/>
    <n v="28.11"/>
    <n v="18.239999999999998"/>
    <n v="9.8699999999999992"/>
    <n v="0"/>
  </r>
  <r>
    <s v="ORD-001354"/>
    <s v="C-0621"/>
    <d v="2024-11-03T00:00:00"/>
    <s v="Marketplace"/>
    <s v="PayPal"/>
    <s v="Midwest"/>
    <n v="1"/>
    <x v="7"/>
    <n v="67.09"/>
    <n v="0"/>
    <n v="0"/>
    <n v="10.54"/>
    <n v="26.96"/>
    <n v="10.06"/>
    <n v="2.25"/>
    <s v="No"/>
    <n v="0"/>
    <n v="67.09"/>
    <n v="49.81"/>
    <n v="17.28"/>
    <n v="0"/>
  </r>
  <r>
    <s v="ORD-001355"/>
    <s v="C-0216"/>
    <d v="2025-10-15T00:00:00"/>
    <s v="Website"/>
    <s v="PayPal"/>
    <s v="Southwest"/>
    <n v="1"/>
    <x v="2"/>
    <n v="153.66"/>
    <n v="0"/>
    <n v="0"/>
    <n v="18.04"/>
    <n v="54.62"/>
    <n v="0"/>
    <n v="4.76"/>
    <s v="No"/>
    <n v="0"/>
    <n v="153.66"/>
    <n v="77.42"/>
    <n v="76.239999999999995"/>
    <n v="0"/>
  </r>
  <r>
    <s v="ORD-001356"/>
    <s v="C-0081"/>
    <d v="2024-11-08T00:00:00"/>
    <s v="Marketplace"/>
    <s v="Credit Card"/>
    <s v="Southeast"/>
    <n v="1"/>
    <x v="0"/>
    <n v="43.34"/>
    <n v="5"/>
    <n v="2.17"/>
    <n v="9.58"/>
    <n v="15.91"/>
    <n v="6.18"/>
    <n v="1.49"/>
    <s v="Yes"/>
    <n v="41.17"/>
    <n v="0"/>
    <n v="33.159999999999997"/>
    <n v="-33.159999999999997"/>
    <n v="0"/>
  </r>
  <r>
    <s v="ORD-001357"/>
    <s v="C-0656"/>
    <d v="2025-05-05T00:00:00"/>
    <s v="Marketplace"/>
    <s v="Credit Card"/>
    <s v="Southeast"/>
    <n v="1"/>
    <x v="0"/>
    <n v="43.34"/>
    <n v="15"/>
    <n v="6.5"/>
    <n v="9.58"/>
    <n v="15.91"/>
    <n v="5.53"/>
    <n v="1.37"/>
    <s v="No"/>
    <n v="0"/>
    <n v="36.840000000000003"/>
    <n v="32.39"/>
    <n v="4.45"/>
    <n v="0"/>
  </r>
  <r>
    <s v="ORD-001358"/>
    <s v="C-0099"/>
    <d v="2025-04-10T00:00:00"/>
    <s v="Mobile App"/>
    <s v="PayPal"/>
    <s v="Northeast"/>
    <n v="3"/>
    <x v="7"/>
    <n v="334.57"/>
    <n v="0"/>
    <n v="0"/>
    <n v="33.04"/>
    <n v="130.27000000000001"/>
    <n v="0"/>
    <n v="10"/>
    <s v="No"/>
    <n v="0"/>
    <n v="334.57"/>
    <n v="173.31"/>
    <n v="161.26"/>
    <n v="1"/>
  </r>
  <r>
    <s v="ORD-001359"/>
    <s v="C-0239"/>
    <d v="2025-07-30T00:00:00"/>
    <s v="Marketplace"/>
    <s v="Buy Now Pay Later"/>
    <s v="Southwest"/>
    <n v="2"/>
    <x v="7"/>
    <n v="254.18"/>
    <n v="5"/>
    <n v="12.71"/>
    <n v="39.299999999999997"/>
    <n v="99.39"/>
    <n v="36.22"/>
    <n v="7.3"/>
    <s v="No"/>
    <n v="0"/>
    <n v="241.47"/>
    <n v="182.21"/>
    <n v="59.26"/>
    <n v="0"/>
  </r>
  <r>
    <s v="ORD-001360"/>
    <s v="C-0173"/>
    <d v="2025-08-31T00:00:00"/>
    <s v="Mobile App"/>
    <s v="PayPal"/>
    <s v="Southwest"/>
    <n v="1"/>
    <x v="3"/>
    <n v="91.38"/>
    <n v="0"/>
    <n v="0"/>
    <n v="23.16"/>
    <n v="56.42"/>
    <n v="0"/>
    <n v="2.95"/>
    <s v="No"/>
    <n v="0"/>
    <n v="91.38"/>
    <n v="82.53"/>
    <n v="8.85"/>
    <n v="0"/>
  </r>
  <r>
    <s v="ORD-001361"/>
    <s v="C-0034"/>
    <d v="2024-11-27T00:00:00"/>
    <s v="Website"/>
    <s v="Credit Card"/>
    <s v="Midwest"/>
    <n v="1"/>
    <x v="4"/>
    <n v="12.14"/>
    <n v="15"/>
    <n v="1.82"/>
    <n v="25.88"/>
    <n v="8.2799999999999994"/>
    <n v="0"/>
    <n v="0.6"/>
    <s v="No"/>
    <n v="0"/>
    <n v="10.32"/>
    <n v="34.76"/>
    <n v="-24.44"/>
    <n v="0"/>
  </r>
  <r>
    <s v="ORD-001362"/>
    <s v="C-0156"/>
    <d v="2025-05-24T00:00:00"/>
    <s v="Website"/>
    <s v="PayPal"/>
    <s v="Southwest"/>
    <n v="2"/>
    <x v="2"/>
    <n v="71.11"/>
    <n v="5"/>
    <n v="3.56"/>
    <n v="15.64"/>
    <n v="26.34"/>
    <n v="0"/>
    <n v="2.2599999999999998"/>
    <s v="No"/>
    <n v="0"/>
    <n v="67.55"/>
    <n v="44.24"/>
    <n v="23.31"/>
    <n v="0"/>
  </r>
  <r>
    <s v="ORD-001363"/>
    <s v="C-0374"/>
    <d v="2024-10-07T00:00:00"/>
    <s v="Website"/>
    <s v="Credit Card"/>
    <s v="Northeast"/>
    <n v="1"/>
    <x v="0"/>
    <n v="192.38"/>
    <n v="5"/>
    <n v="9.6199999999999992"/>
    <n v="10.06"/>
    <n v="72.59"/>
    <n v="0"/>
    <n v="5.6"/>
    <s v="No"/>
    <n v="0"/>
    <n v="182.76"/>
    <n v="88.25"/>
    <n v="94.51"/>
    <n v="0"/>
  </r>
  <r>
    <s v="ORD-001364"/>
    <s v="C-0662"/>
    <d v="2024-08-06T00:00:00"/>
    <s v="Marketplace"/>
    <s v="Debit Card"/>
    <s v="Southeast"/>
    <n v="5"/>
    <x v="2"/>
    <n v="774.53"/>
    <n v="10"/>
    <n v="77.45"/>
    <n v="82.14"/>
    <n v="262.77999999999997"/>
    <n v="104.56"/>
    <n v="20.52"/>
    <s v="No"/>
    <n v="0"/>
    <n v="697.08"/>
    <n v="470"/>
    <n v="227.08"/>
    <n v="0"/>
  </r>
  <r>
    <s v="ORD-001365"/>
    <s v="C-0243"/>
    <d v="2025-07-31T00:00:00"/>
    <s v="Website"/>
    <s v="PayPal"/>
    <s v="Midwest"/>
    <n v="3"/>
    <x v="0"/>
    <n v="191.78"/>
    <n v="15"/>
    <n v="28.77"/>
    <n v="29.92"/>
    <n v="91.23"/>
    <n v="0"/>
    <n v="5.03"/>
    <s v="No"/>
    <n v="0"/>
    <n v="163.01"/>
    <n v="126.18"/>
    <n v="36.83"/>
    <n v="0"/>
  </r>
  <r>
    <s v="ORD-001366"/>
    <s v="C-0292"/>
    <d v="2025-10-25T00:00:00"/>
    <s v="Website"/>
    <s v="Credit Card"/>
    <s v="Northeast"/>
    <n v="2"/>
    <x v="2"/>
    <n v="142.97"/>
    <n v="5"/>
    <n v="7.15"/>
    <n v="19.399999999999999"/>
    <n v="46.08"/>
    <n v="0"/>
    <n v="4.24"/>
    <s v="No"/>
    <n v="0"/>
    <n v="135.82"/>
    <n v="69.72"/>
    <n v="66.099999999999994"/>
    <n v="0"/>
  </r>
  <r>
    <s v="ORD-001367"/>
    <s v="C-0319"/>
    <d v="2025-03-22T00:00:00"/>
    <s v="Website"/>
    <s v="Gift Card"/>
    <s v="West Coast"/>
    <n v="1"/>
    <x v="2"/>
    <n v="44.22"/>
    <n v="0"/>
    <n v="0"/>
    <n v="16.739999999999998"/>
    <n v="13.71"/>
    <n v="0"/>
    <n v="1.58"/>
    <s v="No"/>
    <n v="0"/>
    <n v="44.22"/>
    <n v="32.03"/>
    <n v="12.19"/>
    <n v="0"/>
  </r>
  <r>
    <s v="ORD-001368"/>
    <s v="C-0081"/>
    <d v="2025-03-25T00:00:00"/>
    <s v="Mobile App"/>
    <s v="Buy Now Pay Later"/>
    <s v="Northeast"/>
    <n v="1"/>
    <x v="7"/>
    <n v="154.72"/>
    <n v="0"/>
    <n v="0"/>
    <n v="11.5"/>
    <n v="47.55"/>
    <n v="0"/>
    <n v="4.79"/>
    <s v="No"/>
    <n v="0"/>
    <n v="154.72"/>
    <n v="63.84"/>
    <n v="90.88"/>
    <n v="0"/>
  </r>
  <r>
    <s v="ORD-001369"/>
    <s v="C-0287"/>
    <d v="2024-06-21T00:00:00"/>
    <s v="Website"/>
    <s v="Debit Card"/>
    <s v="Midwest"/>
    <n v="1"/>
    <x v="7"/>
    <n v="73.72"/>
    <n v="5"/>
    <n v="3.69"/>
    <n v="11"/>
    <n v="39.340000000000003"/>
    <n v="0"/>
    <n v="2.33"/>
    <s v="No"/>
    <n v="0"/>
    <n v="70.03"/>
    <n v="52.67"/>
    <n v="17.36"/>
    <n v="0"/>
  </r>
  <r>
    <s v="ORD-001370"/>
    <s v="C-0794"/>
    <d v="2025-05-30T00:00:00"/>
    <s v="Website"/>
    <s v="PayPal"/>
    <s v="Southwest"/>
    <n v="1"/>
    <x v="0"/>
    <n v="135.82"/>
    <n v="0"/>
    <n v="0"/>
    <n v="5.82"/>
    <n v="43.05"/>
    <n v="0"/>
    <n v="4.24"/>
    <s v="No"/>
    <n v="0"/>
    <n v="135.82"/>
    <n v="53.11"/>
    <n v="82.71"/>
    <n v="0"/>
  </r>
  <r>
    <s v="ORD-001371"/>
    <s v="C-0418"/>
    <d v="2025-07-12T00:00:00"/>
    <s v="Website"/>
    <s v="Buy Now Pay Later"/>
    <s v="Midwest"/>
    <n v="1"/>
    <x v="7"/>
    <n v="70.069999999999993"/>
    <n v="25"/>
    <n v="17.52"/>
    <n v="9.9"/>
    <n v="30.37"/>
    <n v="0"/>
    <n v="1.82"/>
    <s v="No"/>
    <n v="0"/>
    <n v="52.55"/>
    <n v="42.09"/>
    <n v="10.46"/>
    <n v="0"/>
  </r>
  <r>
    <s v="ORD-001372"/>
    <s v="C-0574"/>
    <d v="2025-04-02T00:00:00"/>
    <s v="Website"/>
    <s v="PayPal"/>
    <s v="Northeast"/>
    <n v="3"/>
    <x v="7"/>
    <n v="391.37"/>
    <n v="0"/>
    <n v="0"/>
    <n v="64.78"/>
    <n v="142.79"/>
    <n v="0"/>
    <n v="11.65"/>
    <s v="No"/>
    <n v="0"/>
    <n v="391.37"/>
    <n v="219.22"/>
    <n v="172.15"/>
    <n v="0"/>
  </r>
  <r>
    <s v="ORD-001373"/>
    <s v="C-0694"/>
    <d v="2024-09-08T00:00:00"/>
    <s v="Social Commerce"/>
    <s v="Credit Card"/>
    <s v="Southwest"/>
    <n v="2"/>
    <x v="2"/>
    <n v="112.84"/>
    <n v="15"/>
    <n v="16.93"/>
    <n v="33.619999999999997"/>
    <n v="50.91"/>
    <n v="7.67"/>
    <n v="3.08"/>
    <s v="No"/>
    <n v="0"/>
    <n v="95.91"/>
    <n v="95.28"/>
    <n v="0.63"/>
    <n v="0"/>
  </r>
  <r>
    <s v="ORD-001374"/>
    <s v="C-0305"/>
    <d v="2025-09-25T00:00:00"/>
    <s v="Marketplace"/>
    <s v="PayPal"/>
    <s v="Midwest"/>
    <n v="1"/>
    <x v="6"/>
    <n v="16.8"/>
    <n v="0"/>
    <n v="0"/>
    <n v="4.1399999999999997"/>
    <n v="8.25"/>
    <n v="2.52"/>
    <n v="0.79"/>
    <s v="No"/>
    <n v="0"/>
    <n v="16.8"/>
    <n v="15.7"/>
    <n v="1.1000000000000001"/>
    <n v="0"/>
  </r>
  <r>
    <s v="ORD-001375"/>
    <s v="C-0646"/>
    <d v="2025-01-12T00:00:00"/>
    <s v="Social Commerce"/>
    <s v="Credit Card"/>
    <s v="Southwest"/>
    <n v="1"/>
    <x v="6"/>
    <n v="9.94"/>
    <n v="0"/>
    <n v="0"/>
    <n v="7.34"/>
    <n v="6.71"/>
    <n v="0.8"/>
    <n v="0.59"/>
    <s v="No"/>
    <n v="0"/>
    <n v="9.94"/>
    <n v="15.44"/>
    <n v="-5.5"/>
    <n v="0"/>
  </r>
  <r>
    <s v="ORD-001376"/>
    <s v="C-0456"/>
    <d v="2025-07-26T00:00:00"/>
    <s v="Marketplace"/>
    <s v="Credit Card"/>
    <s v="Southwest"/>
    <n v="1"/>
    <x v="2"/>
    <n v="249.02"/>
    <n v="15"/>
    <n v="37.35"/>
    <n v="11.96"/>
    <n v="77.06"/>
    <n v="31.75"/>
    <n v="6.44"/>
    <s v="No"/>
    <n v="0"/>
    <n v="211.67"/>
    <n v="127.21"/>
    <n v="84.46"/>
    <n v="0"/>
  </r>
  <r>
    <s v="ORD-001377"/>
    <s v="C-0470"/>
    <d v="2025-08-17T00:00:00"/>
    <s v="Mobile App"/>
    <s v="Debit Card"/>
    <s v="Northeast"/>
    <n v="2"/>
    <x v="0"/>
    <n v="169.42"/>
    <n v="10"/>
    <n v="16.940000000000001"/>
    <n v="38.5"/>
    <n v="68.430000000000007"/>
    <n v="0"/>
    <n v="4.72"/>
    <s v="No"/>
    <n v="0"/>
    <n v="152.47999999999999"/>
    <n v="111.65"/>
    <n v="40.83"/>
    <n v="0"/>
  </r>
  <r>
    <s v="ORD-001378"/>
    <s v="C-0679"/>
    <d v="2025-09-27T00:00:00"/>
    <s v="Mobile App"/>
    <s v="Credit Card"/>
    <s v="Southwest"/>
    <n v="3"/>
    <x v="3"/>
    <n v="207.77"/>
    <n v="0"/>
    <n v="0"/>
    <n v="42.56"/>
    <n v="81.31"/>
    <n v="0"/>
    <n v="6.33"/>
    <s v="No"/>
    <n v="0"/>
    <n v="207.77"/>
    <n v="130.19999999999999"/>
    <n v="77.569999999999993"/>
    <n v="0"/>
  </r>
  <r>
    <s v="ORD-001379"/>
    <s v="C-0330"/>
    <d v="2025-01-01T00:00:00"/>
    <s v="Social Commerce"/>
    <s v="Gift Card"/>
    <s v="Southwest"/>
    <n v="2"/>
    <x v="1"/>
    <n v="36.14"/>
    <n v="10"/>
    <n v="3.61"/>
    <n v="19.559999999999999"/>
    <n v="12.12"/>
    <n v="2.6"/>
    <n v="1.24"/>
    <s v="No"/>
    <n v="0"/>
    <n v="32.53"/>
    <n v="35.520000000000003"/>
    <n v="-2.99"/>
    <n v="0"/>
  </r>
  <r>
    <s v="ORD-001380"/>
    <s v="C-0720"/>
    <d v="2025-11-20T00:00:00"/>
    <s v="Website"/>
    <s v="PayPal"/>
    <s v="Midwest"/>
    <n v="2"/>
    <x v="2"/>
    <n v="40.479999999999997"/>
    <n v="10"/>
    <n v="4.05"/>
    <n v="27.14"/>
    <n v="19.670000000000002"/>
    <n v="0"/>
    <n v="1.36"/>
    <s v="No"/>
    <n v="0"/>
    <n v="36.43"/>
    <n v="48.17"/>
    <n v="-11.74"/>
    <n v="0"/>
  </r>
  <r>
    <s v="ORD-001381"/>
    <s v="C-0776"/>
    <d v="2025-07-17T00:00:00"/>
    <s v="Social Commerce"/>
    <s v="Credit Card"/>
    <s v="Midwest"/>
    <n v="2"/>
    <x v="1"/>
    <n v="50.91"/>
    <n v="5"/>
    <n v="2.5499999999999998"/>
    <n v="25.88"/>
    <n v="31.06"/>
    <n v="3.87"/>
    <n v="1.7"/>
    <s v="No"/>
    <n v="0"/>
    <n v="48.36"/>
    <n v="62.51"/>
    <n v="-14.15"/>
    <n v="0"/>
  </r>
  <r>
    <s v="ORD-001382"/>
    <s v="C-0763"/>
    <d v="2025-08-20T00:00:00"/>
    <s v="Mobile App"/>
    <s v="PayPal"/>
    <s v="Midwest"/>
    <n v="1"/>
    <x v="2"/>
    <n v="82.29"/>
    <n v="0"/>
    <n v="0"/>
    <n v="13.02"/>
    <n v="37.65"/>
    <n v="0"/>
    <n v="2.69"/>
    <s v="No"/>
    <n v="0"/>
    <n v="82.29"/>
    <n v="53.36"/>
    <n v="28.93"/>
    <n v="0"/>
  </r>
  <r>
    <s v="ORD-001383"/>
    <s v="C-0425"/>
    <d v="2025-08-25T00:00:00"/>
    <s v="Website"/>
    <s v="Credit Card"/>
    <s v="West Coast"/>
    <n v="1"/>
    <x v="2"/>
    <n v="75.84"/>
    <n v="0"/>
    <n v="0"/>
    <n v="12.3"/>
    <n v="34.479999999999997"/>
    <n v="0"/>
    <n v="2.5"/>
    <s v="No"/>
    <n v="0"/>
    <n v="75.84"/>
    <n v="49.28"/>
    <n v="26.56"/>
    <n v="0"/>
  </r>
  <r>
    <s v="ORD-001384"/>
    <s v="C-0137"/>
    <d v="2024-08-16T00:00:00"/>
    <s v="Website"/>
    <s v="PayPal"/>
    <s v="Northeast"/>
    <n v="1"/>
    <x v="5"/>
    <n v="230.18"/>
    <n v="15"/>
    <n v="34.53"/>
    <n v="16.440000000000001"/>
    <n v="67.900000000000006"/>
    <n v="0"/>
    <n v="5.97"/>
    <s v="Yes"/>
    <n v="195.65"/>
    <n v="0"/>
    <n v="90.31"/>
    <n v="-90.31"/>
    <n v="0"/>
  </r>
  <r>
    <s v="ORD-001385"/>
    <s v="C-0038"/>
    <d v="2025-09-28T00:00:00"/>
    <s v="Mobile App"/>
    <s v="Credit Card"/>
    <s v="West Coast"/>
    <n v="4"/>
    <x v="6"/>
    <n v="309.01"/>
    <n v="0"/>
    <n v="0"/>
    <n v="56.6"/>
    <n v="128.37"/>
    <n v="0"/>
    <n v="9.26"/>
    <s v="No"/>
    <n v="0"/>
    <n v="309.01"/>
    <n v="194.23"/>
    <n v="114.78"/>
    <n v="0"/>
  </r>
  <r>
    <s v="ORD-001386"/>
    <s v="C-0005"/>
    <d v="2025-09-24T00:00:00"/>
    <s v="Website"/>
    <s v="Gift Card"/>
    <s v="Midwest"/>
    <n v="2"/>
    <x v="4"/>
    <n v="102.42"/>
    <n v="0"/>
    <n v="0"/>
    <n v="13.88"/>
    <n v="59.51"/>
    <n v="0"/>
    <n v="3.27"/>
    <s v="Yes"/>
    <n v="102.42"/>
    <n v="0"/>
    <n v="76.66"/>
    <n v="-76.66"/>
    <n v="1"/>
  </r>
  <r>
    <s v="ORD-001387"/>
    <s v="C-0781"/>
    <d v="2025-10-13T00:00:00"/>
    <s v="Website"/>
    <s v="Credit Card"/>
    <s v="Northeast"/>
    <n v="1"/>
    <x v="7"/>
    <n v="29.4"/>
    <n v="0"/>
    <n v="0"/>
    <n v="6.22"/>
    <n v="11.41"/>
    <n v="0"/>
    <n v="1.1499999999999999"/>
    <s v="No"/>
    <n v="0"/>
    <n v="29.4"/>
    <n v="18.78"/>
    <n v="10.62"/>
    <n v="0"/>
  </r>
  <r>
    <s v="ORD-001388"/>
    <s v="C-0090"/>
    <d v="2025-10-19T00:00:00"/>
    <s v="Social Commerce"/>
    <s v="Gift Card"/>
    <s v="Southeast"/>
    <n v="1"/>
    <x v="7"/>
    <n v="230.02"/>
    <n v="0"/>
    <n v="0"/>
    <n v="26.36"/>
    <n v="70.98"/>
    <n v="18.399999999999999"/>
    <n v="6.97"/>
    <s v="No"/>
    <n v="0"/>
    <n v="230.02"/>
    <n v="122.71"/>
    <n v="107.31"/>
    <n v="1"/>
  </r>
  <r>
    <s v="ORD-001389"/>
    <s v="C-0374"/>
    <d v="2024-03-07T00:00:00"/>
    <s v="Mobile App"/>
    <s v="Credit Card"/>
    <s v="Southeast"/>
    <n v="1"/>
    <x v="0"/>
    <n v="73.14"/>
    <n v="10"/>
    <n v="7.31"/>
    <n v="41.7"/>
    <n v="48.57"/>
    <n v="0"/>
    <n v="2.21"/>
    <s v="No"/>
    <n v="0"/>
    <n v="65.83"/>
    <n v="92.48"/>
    <n v="-26.65"/>
    <n v="0"/>
  </r>
  <r>
    <s v="ORD-001390"/>
    <s v="C-0525"/>
    <d v="2025-09-05T00:00:00"/>
    <s v="Website"/>
    <s v="Debit Card"/>
    <s v="Northeast"/>
    <n v="1"/>
    <x v="6"/>
    <n v="17.989999999999998"/>
    <n v="15"/>
    <n v="2.7"/>
    <n v="11.74"/>
    <n v="7.88"/>
    <n v="0"/>
    <n v="0.74"/>
    <s v="No"/>
    <n v="0"/>
    <n v="15.29"/>
    <n v="20.36"/>
    <n v="-5.07"/>
    <n v="0"/>
  </r>
  <r>
    <s v="ORD-001391"/>
    <s v="C-0388"/>
    <d v="2025-06-07T00:00:00"/>
    <s v="Mobile App"/>
    <s v="Credit Card"/>
    <s v="Southeast"/>
    <n v="2"/>
    <x v="2"/>
    <n v="107.93"/>
    <n v="15"/>
    <n v="16.190000000000001"/>
    <n v="18.600000000000001"/>
    <n v="41.89"/>
    <n v="0"/>
    <n v="2.96"/>
    <s v="No"/>
    <n v="0"/>
    <n v="91.74"/>
    <n v="63.45"/>
    <n v="28.29"/>
    <n v="0"/>
  </r>
  <r>
    <s v="ORD-001392"/>
    <s v="C-0287"/>
    <d v="2025-11-25T00:00:00"/>
    <s v="Mobile App"/>
    <s v="Buy Now Pay Later"/>
    <s v="Southwest"/>
    <n v="2"/>
    <x v="5"/>
    <n v="88.97"/>
    <n v="0"/>
    <n v="0"/>
    <n v="26.92"/>
    <n v="35.72"/>
    <n v="0"/>
    <n v="2.88"/>
    <s v="No"/>
    <n v="0"/>
    <n v="88.97"/>
    <n v="65.52"/>
    <n v="23.45"/>
    <n v="0"/>
  </r>
  <r>
    <s v="ORD-001393"/>
    <s v="C-0063"/>
    <d v="2025-02-14T00:00:00"/>
    <s v="Website"/>
    <s v="Buy Now Pay Later"/>
    <s v="Northeast"/>
    <n v="2"/>
    <x v="2"/>
    <n v="87.34"/>
    <n v="5"/>
    <n v="4.37"/>
    <n v="19.48"/>
    <n v="27.1"/>
    <n v="0"/>
    <n v="2.71"/>
    <s v="No"/>
    <n v="0"/>
    <n v="82.97"/>
    <n v="49.29"/>
    <n v="33.68"/>
    <n v="0"/>
  </r>
  <r>
    <s v="ORD-001394"/>
    <s v="C-0078"/>
    <d v="2025-06-25T00:00:00"/>
    <s v="Marketplace"/>
    <s v="PayPal"/>
    <s v="West Coast"/>
    <n v="2"/>
    <x v="4"/>
    <n v="130.61000000000001"/>
    <n v="15"/>
    <n v="19.59"/>
    <n v="41.06"/>
    <n v="57.58"/>
    <n v="16.649999999999999"/>
    <n v="3.52"/>
    <s v="No"/>
    <n v="0"/>
    <n v="111.02"/>
    <n v="118.81"/>
    <n v="-7.79"/>
    <n v="0"/>
  </r>
  <r>
    <s v="ORD-001395"/>
    <s v="C-0561"/>
    <d v="2024-12-14T00:00:00"/>
    <s v="Marketplace"/>
    <s v="PayPal"/>
    <s v="Northeast"/>
    <n v="2"/>
    <x v="7"/>
    <n v="156.19"/>
    <n v="10"/>
    <n v="15.62"/>
    <n v="17.32"/>
    <n v="59.51"/>
    <n v="21.09"/>
    <n v="4.38"/>
    <s v="No"/>
    <n v="0"/>
    <n v="140.57"/>
    <n v="102.3"/>
    <n v="38.270000000000003"/>
    <n v="0"/>
  </r>
  <r>
    <s v="ORD-001396"/>
    <s v="C-0111"/>
    <d v="2024-09-30T00:00:00"/>
    <s v="Website"/>
    <s v="PayPal"/>
    <s v="Southwest"/>
    <n v="2"/>
    <x v="2"/>
    <n v="31.06"/>
    <n v="0"/>
    <n v="0"/>
    <n v="15.4"/>
    <n v="14.14"/>
    <n v="0"/>
    <n v="1.2"/>
    <s v="No"/>
    <n v="0"/>
    <n v="31.06"/>
    <n v="30.74"/>
    <n v="0.32"/>
    <n v="0"/>
  </r>
  <r>
    <s v="ORD-001397"/>
    <s v="C-0684"/>
    <d v="2024-10-04T00:00:00"/>
    <s v="Mobile App"/>
    <s v="Credit Card"/>
    <s v="Southeast"/>
    <n v="1"/>
    <x v="6"/>
    <n v="17.989999999999998"/>
    <n v="20"/>
    <n v="3.6"/>
    <n v="11.74"/>
    <n v="7.88"/>
    <n v="0"/>
    <n v="0.72"/>
    <s v="No"/>
    <n v="0"/>
    <n v="14.39"/>
    <n v="20.34"/>
    <n v="-5.95"/>
    <n v="0"/>
  </r>
  <r>
    <s v="ORD-001398"/>
    <s v="C-0528"/>
    <d v="2025-04-08T00:00:00"/>
    <s v="Website"/>
    <s v="PayPal"/>
    <s v="Southwest"/>
    <n v="2"/>
    <x v="3"/>
    <n v="78.31"/>
    <n v="0"/>
    <n v="0"/>
    <n v="17.399999999999999"/>
    <n v="35.07"/>
    <n v="0"/>
    <n v="2.57"/>
    <s v="No"/>
    <n v="0"/>
    <n v="78.31"/>
    <n v="55.04"/>
    <n v="23.27"/>
    <n v="0"/>
  </r>
  <r>
    <s v="ORD-001399"/>
    <s v="C-0164"/>
    <d v="2025-09-03T00:00:00"/>
    <s v="Mobile App"/>
    <s v="Credit Card"/>
    <s v="Southeast"/>
    <n v="1"/>
    <x v="2"/>
    <n v="45.16"/>
    <n v="10"/>
    <n v="4.5199999999999996"/>
    <n v="9.9"/>
    <n v="21.86"/>
    <n v="0"/>
    <n v="1.48"/>
    <s v="Yes"/>
    <n v="40.64"/>
    <n v="0"/>
    <n v="33.24"/>
    <n v="-33.24"/>
    <n v="0"/>
  </r>
  <r>
    <s v="ORD-001400"/>
    <s v="C-0527"/>
    <d v="2025-07-11T00:00:00"/>
    <s v="Marketplace"/>
    <s v="Buy Now Pay Later"/>
    <s v="Northeast"/>
    <n v="2"/>
    <x v="3"/>
    <n v="53.55"/>
    <n v="0"/>
    <n v="0"/>
    <n v="17"/>
    <n v="21.12"/>
    <n v="8.0299999999999994"/>
    <n v="1.85"/>
    <s v="No"/>
    <n v="0"/>
    <n v="53.55"/>
    <n v="48"/>
    <n v="5.55"/>
    <n v="0"/>
  </r>
  <r>
    <s v="ORD-001401"/>
    <s v="C-0162"/>
    <d v="2025-08-16T00:00:00"/>
    <s v="Marketplace"/>
    <s v="Debit Card"/>
    <s v="Midwest"/>
    <n v="1"/>
    <x v="7"/>
    <n v="13.82"/>
    <n v="15"/>
    <n v="2.0699999999999998"/>
    <n v="15.18"/>
    <n v="6.6"/>
    <n v="1.76"/>
    <n v="0.64"/>
    <s v="No"/>
    <n v="0"/>
    <n v="11.75"/>
    <n v="24.18"/>
    <n v="-12.43"/>
    <n v="1"/>
  </r>
  <r>
    <s v="ORD-001402"/>
    <s v="C-0587"/>
    <d v="2024-11-30T00:00:00"/>
    <s v="Mobile App"/>
    <s v="Buy Now Pay Later"/>
    <s v="Southeast"/>
    <n v="1"/>
    <x v="1"/>
    <n v="36.92"/>
    <n v="5"/>
    <n v="1.85"/>
    <n v="7.74"/>
    <n v="12.95"/>
    <n v="0"/>
    <n v="1.32"/>
    <s v="No"/>
    <n v="0"/>
    <n v="35.07"/>
    <n v="22.01"/>
    <n v="13.06"/>
    <n v="0"/>
  </r>
  <r>
    <s v="ORD-001403"/>
    <s v="C-0656"/>
    <d v="2025-09-15T00:00:00"/>
    <s v="Website"/>
    <s v="PayPal"/>
    <s v="Northeast"/>
    <n v="3"/>
    <x v="2"/>
    <n v="188.87"/>
    <n v="10"/>
    <n v="18.89"/>
    <n v="38.020000000000003"/>
    <n v="103.48"/>
    <n v="0"/>
    <n v="5.23"/>
    <s v="No"/>
    <n v="0"/>
    <n v="169.98"/>
    <n v="146.72999999999999"/>
    <n v="23.25"/>
    <n v="0"/>
  </r>
  <r>
    <s v="ORD-001404"/>
    <s v="C-0535"/>
    <d v="2025-11-27T00:00:00"/>
    <s v="Website"/>
    <s v="Credit Card"/>
    <s v="Southwest"/>
    <n v="1"/>
    <x v="3"/>
    <n v="192.7"/>
    <n v="25"/>
    <n v="48.17"/>
    <n v="7.64"/>
    <n v="77.22"/>
    <n v="0"/>
    <n v="4.49"/>
    <s v="No"/>
    <n v="0"/>
    <n v="144.53"/>
    <n v="89.35"/>
    <n v="55.18"/>
    <n v="0"/>
  </r>
  <r>
    <s v="ORD-001405"/>
    <s v="C-0579"/>
    <d v="2025-08-08T00:00:00"/>
    <s v="Mobile App"/>
    <s v="Debit Card"/>
    <s v="Southwest"/>
    <n v="1"/>
    <x v="6"/>
    <n v="10.62"/>
    <n v="0"/>
    <n v="0"/>
    <n v="9.18"/>
    <n v="5.38"/>
    <n v="0"/>
    <n v="0.61"/>
    <s v="No"/>
    <n v="0"/>
    <n v="10.62"/>
    <n v="15.17"/>
    <n v="-4.55"/>
    <n v="0"/>
  </r>
  <r>
    <s v="ORD-001406"/>
    <s v="C-0236"/>
    <d v="2025-08-24T00:00:00"/>
    <s v="Website"/>
    <s v="Debit Card"/>
    <s v="Southeast"/>
    <n v="2"/>
    <x v="0"/>
    <n v="214.09"/>
    <n v="5"/>
    <n v="10.7"/>
    <n v="9.08"/>
    <n v="66.7"/>
    <n v="0"/>
    <n v="6.2"/>
    <s v="No"/>
    <n v="0"/>
    <n v="203.39"/>
    <n v="81.98"/>
    <n v="121.41"/>
    <n v="0"/>
  </r>
  <r>
    <s v="ORD-001407"/>
    <s v="C-0061"/>
    <d v="2025-06-21T00:00:00"/>
    <s v="Website"/>
    <s v="PayPal"/>
    <s v="Southwest"/>
    <n v="1"/>
    <x v="4"/>
    <n v="64.650000000000006"/>
    <n v="0"/>
    <n v="0"/>
    <n v="45.3"/>
    <n v="37.200000000000003"/>
    <n v="0"/>
    <n v="2.17"/>
    <s v="No"/>
    <n v="0"/>
    <n v="64.650000000000006"/>
    <n v="84.67"/>
    <n v="-20.02"/>
    <n v="0"/>
  </r>
  <r>
    <s v="ORD-001408"/>
    <s v="C-0006"/>
    <d v="2025-03-05T00:00:00"/>
    <s v="Mobile App"/>
    <s v="Debit Card"/>
    <s v="Midwest"/>
    <n v="2"/>
    <x v="4"/>
    <n v="74.5"/>
    <n v="0"/>
    <n v="0"/>
    <n v="12.2"/>
    <n v="39.380000000000003"/>
    <n v="0"/>
    <n v="2.46"/>
    <s v="No"/>
    <n v="0"/>
    <n v="74.5"/>
    <n v="54.04"/>
    <n v="20.46"/>
    <n v="0"/>
  </r>
  <r>
    <s v="ORD-001409"/>
    <s v="C-0259"/>
    <d v="2025-07-14T00:00:00"/>
    <s v="Social Commerce"/>
    <s v="Credit Card"/>
    <s v="Southwest"/>
    <n v="1"/>
    <x v="6"/>
    <n v="9.0299999999999994"/>
    <n v="10"/>
    <n v="0.9"/>
    <n v="13.98"/>
    <n v="6.37"/>
    <n v="0.65"/>
    <n v="0.54"/>
    <s v="Yes"/>
    <n v="8.1300000000000008"/>
    <n v="0"/>
    <n v="21.54"/>
    <n v="-21.54"/>
    <n v="0"/>
  </r>
  <r>
    <s v="ORD-001410"/>
    <s v="C-0138"/>
    <d v="2025-04-19T00:00:00"/>
    <s v="Marketplace"/>
    <s v="PayPal"/>
    <s v="West Coast"/>
    <n v="1"/>
    <x v="7"/>
    <n v="41.46"/>
    <n v="10"/>
    <n v="4.1500000000000004"/>
    <n v="45.54"/>
    <n v="19.8"/>
    <n v="5.6"/>
    <n v="1.38"/>
    <s v="No"/>
    <n v="0"/>
    <n v="37.31"/>
    <n v="72.319999999999993"/>
    <n v="-35.01"/>
    <n v="0"/>
  </r>
  <r>
    <s v="ORD-001411"/>
    <s v="C-0463"/>
    <d v="2025-07-11T00:00:00"/>
    <s v="Website"/>
    <s v="Debit Card"/>
    <s v="Southeast"/>
    <n v="4"/>
    <x v="0"/>
    <n v="428.14"/>
    <n v="25"/>
    <n v="107.03"/>
    <n v="59.4"/>
    <n v="159.72"/>
    <n v="0"/>
    <n v="9.61"/>
    <s v="No"/>
    <n v="0"/>
    <n v="321.11"/>
    <n v="228.73"/>
    <n v="92.38"/>
    <n v="1"/>
  </r>
  <r>
    <s v="ORD-001412"/>
    <s v="C-0009"/>
    <d v="2024-10-08T00:00:00"/>
    <s v="Website"/>
    <s v="Credit Card"/>
    <s v="Southeast"/>
    <n v="1"/>
    <x v="5"/>
    <n v="129.80000000000001"/>
    <n v="0"/>
    <n v="0"/>
    <n v="3.82"/>
    <n v="38.64"/>
    <n v="0"/>
    <n v="4.0599999999999996"/>
    <s v="No"/>
    <n v="0"/>
    <n v="129.80000000000001"/>
    <n v="46.52"/>
    <n v="83.28"/>
    <n v="0"/>
  </r>
  <r>
    <s v="ORD-001413"/>
    <s v="C-0237"/>
    <d v="2025-05-06T00:00:00"/>
    <s v="Website"/>
    <s v="Credit Card"/>
    <s v="Midwest"/>
    <n v="1"/>
    <x v="5"/>
    <n v="129.80000000000001"/>
    <n v="5"/>
    <n v="6.49"/>
    <n v="3.82"/>
    <n v="38.64"/>
    <n v="0"/>
    <n v="3.88"/>
    <s v="No"/>
    <n v="0"/>
    <n v="123.31"/>
    <n v="46.34"/>
    <n v="76.97"/>
    <n v="0"/>
  </r>
  <r>
    <s v="ORD-001414"/>
    <s v="C-0621"/>
    <d v="2025-04-09T00:00:00"/>
    <s v="Marketplace"/>
    <s v="PayPal"/>
    <s v="West Coast"/>
    <n v="2"/>
    <x v="4"/>
    <n v="75.34"/>
    <n v="10"/>
    <n v="7.53"/>
    <n v="24.68"/>
    <n v="25.25"/>
    <n v="10.17"/>
    <n v="2.27"/>
    <s v="No"/>
    <n v="0"/>
    <n v="67.81"/>
    <n v="62.37"/>
    <n v="5.44"/>
    <n v="0"/>
  </r>
  <r>
    <s v="ORD-001415"/>
    <s v="C-0423"/>
    <d v="2025-01-21T00:00:00"/>
    <s v="Marketplace"/>
    <s v="Credit Card"/>
    <s v="Northeast"/>
    <n v="2"/>
    <x v="4"/>
    <n v="107.56"/>
    <n v="20"/>
    <n v="21.51"/>
    <n v="29.38"/>
    <n v="57.45"/>
    <n v="12.91"/>
    <n v="2.8"/>
    <s v="No"/>
    <n v="0"/>
    <n v="86.05"/>
    <n v="102.54"/>
    <n v="-16.489999999999998"/>
    <n v="0"/>
  </r>
  <r>
    <s v="ORD-001416"/>
    <s v="C-0231"/>
    <d v="2025-07-11T00:00:00"/>
    <s v="Marketplace"/>
    <s v="PayPal"/>
    <s v="Southwest"/>
    <n v="1"/>
    <x v="6"/>
    <n v="53"/>
    <n v="25"/>
    <n v="13.25"/>
    <n v="11"/>
    <n v="16.12"/>
    <n v="5.96"/>
    <n v="1.45"/>
    <s v="No"/>
    <n v="0"/>
    <n v="39.75"/>
    <n v="34.53"/>
    <n v="5.22"/>
    <n v="0"/>
  </r>
  <r>
    <s v="ORD-001417"/>
    <s v="C-0437"/>
    <d v="2025-06-19T00:00:00"/>
    <s v="Mobile App"/>
    <s v="Buy Now Pay Later"/>
    <s v="Northeast"/>
    <n v="3"/>
    <x v="4"/>
    <n v="341.1"/>
    <n v="10"/>
    <n v="34.11"/>
    <n v="32.46"/>
    <n v="152.43"/>
    <n v="0"/>
    <n v="9.1999999999999993"/>
    <s v="No"/>
    <n v="0"/>
    <n v="306.99"/>
    <n v="194.09"/>
    <n v="112.9"/>
    <n v="0"/>
  </r>
  <r>
    <s v="ORD-001418"/>
    <s v="C-0173"/>
    <d v="2025-10-26T00:00:00"/>
    <s v="Marketplace"/>
    <s v="Gift Card"/>
    <s v="Midwest"/>
    <n v="3"/>
    <x v="2"/>
    <n v="138.54"/>
    <n v="25"/>
    <n v="34.64"/>
    <n v="23.38"/>
    <n v="54.84"/>
    <n v="15.59"/>
    <n v="3.31"/>
    <s v="No"/>
    <n v="0"/>
    <n v="103.9"/>
    <n v="97.12"/>
    <n v="6.78"/>
    <n v="0"/>
  </r>
  <r>
    <s v="ORD-001419"/>
    <s v="C-0033"/>
    <d v="2025-01-02T00:00:00"/>
    <s v="Website"/>
    <s v="Credit Card"/>
    <s v="Southwest"/>
    <n v="1"/>
    <x v="4"/>
    <n v="100.26"/>
    <n v="0"/>
    <n v="0"/>
    <n v="8.44"/>
    <n v="63.28"/>
    <n v="0"/>
    <n v="3.21"/>
    <s v="No"/>
    <n v="0"/>
    <n v="100.26"/>
    <n v="74.930000000000007"/>
    <n v="25.33"/>
    <n v="0"/>
  </r>
  <r>
    <s v="ORD-001420"/>
    <s v="C-0087"/>
    <d v="2024-06-24T00:00:00"/>
    <s v="Social Commerce"/>
    <s v="Credit Card"/>
    <s v="West Coast"/>
    <n v="1"/>
    <x v="7"/>
    <n v="83.78"/>
    <n v="25"/>
    <n v="20.95"/>
    <n v="14.22"/>
    <n v="25.22"/>
    <n v="5.03"/>
    <n v="2.12"/>
    <s v="No"/>
    <n v="0"/>
    <n v="62.83"/>
    <n v="46.59"/>
    <n v="16.239999999999998"/>
    <n v="0"/>
  </r>
  <r>
    <s v="ORD-001421"/>
    <s v="C-0072"/>
    <d v="2025-02-18T00:00:00"/>
    <s v="Website"/>
    <s v="Credit Card"/>
    <s v="Southeast"/>
    <n v="1"/>
    <x v="0"/>
    <n v="24.38"/>
    <n v="25"/>
    <n v="6.09"/>
    <n v="13.9"/>
    <n v="16.190000000000001"/>
    <n v="0"/>
    <n v="0.83"/>
    <s v="No"/>
    <n v="0"/>
    <n v="18.29"/>
    <n v="30.92"/>
    <n v="-12.63"/>
    <n v="0"/>
  </r>
  <r>
    <s v="ORD-001422"/>
    <s v="C-0644"/>
    <d v="2024-11-22T00:00:00"/>
    <s v="Social Commerce"/>
    <s v="PayPal"/>
    <s v="Southeast"/>
    <n v="1"/>
    <x v="0"/>
    <n v="78.790000000000006"/>
    <n v="25"/>
    <n v="19.7"/>
    <n v="13.5"/>
    <n v="31.36"/>
    <n v="4.7300000000000004"/>
    <n v="2.0099999999999998"/>
    <s v="No"/>
    <n v="0"/>
    <n v="59.09"/>
    <n v="51.6"/>
    <n v="7.49"/>
    <n v="0"/>
  </r>
  <r>
    <s v="ORD-001423"/>
    <s v="C-0125"/>
    <d v="2025-06-14T00:00:00"/>
    <s v="Website"/>
    <s v="PayPal"/>
    <s v="Midwest"/>
    <n v="3"/>
    <x v="6"/>
    <n v="255.54"/>
    <n v="0"/>
    <n v="0"/>
    <n v="54.22"/>
    <n v="96.34"/>
    <n v="0"/>
    <n v="7.71"/>
    <s v="No"/>
    <n v="0"/>
    <n v="255.54"/>
    <n v="158.27000000000001"/>
    <n v="97.27"/>
    <n v="0"/>
  </r>
  <r>
    <s v="ORD-001424"/>
    <s v="C-0217"/>
    <d v="2024-08-02T00:00:00"/>
    <s v="Mobile App"/>
    <s v="Credit Card"/>
    <s v="West Coast"/>
    <n v="1"/>
    <x v="3"/>
    <n v="62.94"/>
    <n v="0"/>
    <n v="0"/>
    <n v="6.62"/>
    <n v="26.48"/>
    <n v="0"/>
    <n v="2.13"/>
    <s v="No"/>
    <n v="0"/>
    <n v="62.94"/>
    <n v="35.229999999999997"/>
    <n v="27.71"/>
    <n v="0"/>
  </r>
  <r>
    <s v="ORD-001425"/>
    <s v="C-0602"/>
    <d v="2024-11-30T00:00:00"/>
    <s v="Mobile App"/>
    <s v="Gift Card"/>
    <s v="West Coast"/>
    <n v="1"/>
    <x v="2"/>
    <n v="140.4"/>
    <n v="15"/>
    <n v="21.06"/>
    <n v="29.7"/>
    <n v="57.63"/>
    <n v="0"/>
    <n v="3.76"/>
    <s v="No"/>
    <n v="0"/>
    <n v="119.34"/>
    <n v="91.09"/>
    <n v="28.25"/>
    <n v="0"/>
  </r>
  <r>
    <s v="ORD-001426"/>
    <s v="C-0763"/>
    <d v="2025-05-24T00:00:00"/>
    <s v="Mobile App"/>
    <s v="PayPal"/>
    <s v="West Coast"/>
    <n v="2"/>
    <x v="6"/>
    <n v="96.43"/>
    <n v="10"/>
    <n v="9.64"/>
    <n v="28.92"/>
    <n v="41.91"/>
    <n v="0"/>
    <n v="2.82"/>
    <s v="No"/>
    <n v="0"/>
    <n v="86.79"/>
    <n v="73.650000000000006"/>
    <n v="13.14"/>
    <n v="0"/>
  </r>
  <r>
    <s v="ORD-001427"/>
    <s v="C-0520"/>
    <d v="2025-09-25T00:00:00"/>
    <s v="Website"/>
    <s v="Buy Now Pay Later"/>
    <s v="Southwest"/>
    <n v="1"/>
    <x v="0"/>
    <n v="43.34"/>
    <n v="10"/>
    <n v="4.33"/>
    <n v="9.58"/>
    <n v="15.91"/>
    <n v="0"/>
    <n v="1.43"/>
    <s v="Yes"/>
    <n v="39.01"/>
    <n v="0"/>
    <n v="26.92"/>
    <n v="-26.92"/>
    <n v="0"/>
  </r>
  <r>
    <s v="ORD-001428"/>
    <s v="C-0249"/>
    <d v="2025-10-18T00:00:00"/>
    <s v="Marketplace"/>
    <s v="PayPal"/>
    <s v="Southwest"/>
    <n v="2"/>
    <x v="3"/>
    <n v="153.51"/>
    <n v="10"/>
    <n v="15.35"/>
    <n v="20.12"/>
    <n v="54.9"/>
    <n v="20.72"/>
    <n v="4.3099999999999996"/>
    <s v="No"/>
    <n v="0"/>
    <n v="138.16"/>
    <n v="100.05"/>
    <n v="38.11"/>
    <n v="0"/>
  </r>
  <r>
    <s v="ORD-001429"/>
    <s v="C-0252"/>
    <d v="2025-02-09T00:00:00"/>
    <s v="Mobile App"/>
    <s v="PayPal"/>
    <s v="Midwest"/>
    <n v="1"/>
    <x v="4"/>
    <n v="94.4"/>
    <n v="5"/>
    <n v="4.72"/>
    <n v="21.88"/>
    <n v="51.18"/>
    <n v="0"/>
    <n v="2.9"/>
    <s v="No"/>
    <n v="0"/>
    <n v="89.68"/>
    <n v="75.959999999999994"/>
    <n v="13.72"/>
    <n v="1"/>
  </r>
  <r>
    <s v="ORD-001430"/>
    <s v="C-0283"/>
    <d v="2025-08-04T00:00:00"/>
    <s v="Mobile App"/>
    <s v="Debit Card"/>
    <s v="Southeast"/>
    <n v="3"/>
    <x v="1"/>
    <n v="268.49"/>
    <n v="0"/>
    <n v="0"/>
    <n v="60.62"/>
    <n v="111.32"/>
    <n v="0"/>
    <n v="8.09"/>
    <s v="No"/>
    <n v="0"/>
    <n v="268.49"/>
    <n v="180.03"/>
    <n v="88.46"/>
    <n v="0"/>
  </r>
  <r>
    <s v="ORD-001431"/>
    <s v="C-0223"/>
    <d v="2024-12-30T00:00:00"/>
    <s v="Website"/>
    <s v="Credit Card"/>
    <s v="Northeast"/>
    <n v="1"/>
    <x v="2"/>
    <n v="188.54"/>
    <n v="0"/>
    <n v="0"/>
    <n v="15.96"/>
    <n v="74.400000000000006"/>
    <n v="0"/>
    <n v="5.77"/>
    <s v="No"/>
    <n v="0"/>
    <n v="188.54"/>
    <n v="96.13"/>
    <n v="92.41"/>
    <n v="0"/>
  </r>
  <r>
    <s v="ORD-001432"/>
    <s v="C-0654"/>
    <d v="2025-09-17T00:00:00"/>
    <s v="Marketplace"/>
    <s v="Buy Now Pay Later"/>
    <s v="Midwest"/>
    <n v="2"/>
    <x v="6"/>
    <n v="57.08"/>
    <n v="0"/>
    <n v="0"/>
    <n v="51.2"/>
    <n v="32.619999999999997"/>
    <n v="8.56"/>
    <n v="1.96"/>
    <s v="No"/>
    <n v="0"/>
    <n v="57.08"/>
    <n v="94.34"/>
    <n v="-37.26"/>
    <n v="0"/>
  </r>
  <r>
    <s v="ORD-001433"/>
    <s v="C-0357"/>
    <d v="2025-05-26T00:00:00"/>
    <s v="Website"/>
    <s v="Buy Now Pay Later"/>
    <s v="Southeast"/>
    <n v="2"/>
    <x v="6"/>
    <n v="51.04"/>
    <n v="0"/>
    <n v="0"/>
    <n v="15.4"/>
    <n v="15.01"/>
    <n v="0"/>
    <n v="1.78"/>
    <s v="No"/>
    <n v="0"/>
    <n v="51.04"/>
    <n v="32.19"/>
    <n v="18.850000000000001"/>
    <n v="0"/>
  </r>
  <r>
    <s v="ORD-001434"/>
    <s v="C-0389"/>
    <d v="2025-03-21T00:00:00"/>
    <s v="Website"/>
    <s v="Buy Now Pay Later"/>
    <s v="Southwest"/>
    <n v="2"/>
    <x v="4"/>
    <n v="52.71"/>
    <n v="0"/>
    <n v="0"/>
    <n v="27"/>
    <n v="22.02"/>
    <n v="0"/>
    <n v="1.83"/>
    <s v="No"/>
    <n v="0"/>
    <n v="52.71"/>
    <n v="50.85"/>
    <n v="1.86"/>
    <n v="0"/>
  </r>
  <r>
    <s v="ORD-001435"/>
    <s v="C-0070"/>
    <d v="2024-10-19T00:00:00"/>
    <s v="Website"/>
    <s v="Credit Card"/>
    <s v="Southwest"/>
    <n v="1"/>
    <x v="3"/>
    <n v="41.97"/>
    <n v="25"/>
    <n v="10.49"/>
    <n v="13.42"/>
    <n v="12.24"/>
    <n v="0"/>
    <n v="1.21"/>
    <s v="No"/>
    <n v="0"/>
    <n v="31.48"/>
    <n v="26.87"/>
    <n v="4.6100000000000003"/>
    <n v="0"/>
  </r>
  <r>
    <s v="ORD-001436"/>
    <s v="C-0629"/>
    <d v="2024-10-02T00:00:00"/>
    <s v="Social Commerce"/>
    <s v="Buy Now Pay Later"/>
    <s v="Northeast"/>
    <n v="1"/>
    <x v="3"/>
    <n v="55.06"/>
    <n v="0"/>
    <n v="0"/>
    <n v="5.82"/>
    <n v="21.08"/>
    <n v="4.4000000000000004"/>
    <n v="1.9"/>
    <s v="No"/>
    <n v="0"/>
    <n v="55.06"/>
    <n v="33.200000000000003"/>
    <n v="21.86"/>
    <n v="0"/>
  </r>
  <r>
    <s v="ORD-001437"/>
    <s v="C-0042"/>
    <d v="2024-11-20T00:00:00"/>
    <s v="Website"/>
    <s v="PayPal"/>
    <s v="Midwest"/>
    <n v="2"/>
    <x v="2"/>
    <n v="208.61"/>
    <n v="10"/>
    <n v="20.86"/>
    <n v="32.979999999999997"/>
    <n v="73.91"/>
    <n v="0"/>
    <n v="5.74"/>
    <s v="No"/>
    <n v="0"/>
    <n v="187.75"/>
    <n v="112.63"/>
    <n v="75.12"/>
    <n v="0"/>
  </r>
  <r>
    <s v="ORD-001438"/>
    <s v="C-0176"/>
    <d v="2025-06-11T00:00:00"/>
    <s v="Marketplace"/>
    <s v="Credit Card"/>
    <s v="Northeast"/>
    <n v="1"/>
    <x v="4"/>
    <n v="59.15"/>
    <n v="20"/>
    <n v="11.83"/>
    <n v="9.98"/>
    <n v="19.36"/>
    <n v="7.1"/>
    <n v="1.67"/>
    <s v="No"/>
    <n v="0"/>
    <n v="47.32"/>
    <n v="38.11"/>
    <n v="9.2100000000000009"/>
    <n v="0"/>
  </r>
  <r>
    <s v="ORD-001439"/>
    <s v="C-0141"/>
    <d v="2025-05-26T00:00:00"/>
    <s v="Marketplace"/>
    <s v="PayPal"/>
    <s v="Midwest"/>
    <n v="3"/>
    <x v="3"/>
    <n v="382.77"/>
    <n v="5"/>
    <n v="19.14"/>
    <n v="55.48"/>
    <n v="151.43"/>
    <n v="54.54"/>
    <n v="10.85"/>
    <s v="No"/>
    <n v="0"/>
    <n v="363.63"/>
    <n v="272.3"/>
    <n v="91.33"/>
    <n v="0"/>
  </r>
  <r>
    <s v="ORD-001440"/>
    <s v="C-0217"/>
    <d v="2025-07-27T00:00:00"/>
    <s v="Website"/>
    <s v="Gift Card"/>
    <s v="Southeast"/>
    <n v="3"/>
    <x v="6"/>
    <n v="153.96"/>
    <n v="15"/>
    <n v="23.09"/>
    <n v="85.46"/>
    <n v="63.47"/>
    <n v="0"/>
    <n v="4.0999999999999996"/>
    <s v="No"/>
    <n v="0"/>
    <n v="130.87"/>
    <n v="153.03"/>
    <n v="-22.16"/>
    <n v="0"/>
  </r>
  <r>
    <s v="ORD-001441"/>
    <s v="C-0358"/>
    <d v="2025-11-19T00:00:00"/>
    <s v="Mobile App"/>
    <s v="Buy Now Pay Later"/>
    <s v="Southeast"/>
    <n v="1"/>
    <x v="4"/>
    <n v="95.89"/>
    <n v="5"/>
    <n v="4.79"/>
    <n v="9.34"/>
    <n v="27.4"/>
    <n v="0"/>
    <n v="2.94"/>
    <s v="No"/>
    <n v="0"/>
    <n v="91.1"/>
    <n v="39.68"/>
    <n v="51.42"/>
    <n v="0"/>
  </r>
  <r>
    <s v="ORD-001442"/>
    <s v="C-0282"/>
    <d v="2025-01-16T00:00:00"/>
    <s v="Mobile App"/>
    <s v="Debit Card"/>
    <s v="Northeast"/>
    <n v="5"/>
    <x v="5"/>
    <n v="169.52"/>
    <n v="25"/>
    <n v="42.38"/>
    <n v="76.34"/>
    <n v="64.849999999999994"/>
    <n v="0"/>
    <n v="3.99"/>
    <s v="No"/>
    <n v="0"/>
    <n v="127.14"/>
    <n v="145.18"/>
    <n v="-18.04"/>
    <n v="0"/>
  </r>
  <r>
    <s v="ORD-001443"/>
    <s v="C-0723"/>
    <d v="2024-03-30T00:00:00"/>
    <s v="Marketplace"/>
    <s v="Buy Now Pay Later"/>
    <s v="Northeast"/>
    <n v="3"/>
    <x v="4"/>
    <n v="123.83"/>
    <n v="10"/>
    <n v="12.38"/>
    <n v="30.4"/>
    <n v="46.03"/>
    <n v="16.72"/>
    <n v="3.53"/>
    <s v="No"/>
    <n v="0"/>
    <n v="111.45"/>
    <n v="96.68"/>
    <n v="14.77"/>
    <n v="0"/>
  </r>
  <r>
    <s v="ORD-001444"/>
    <s v="C-0736"/>
    <d v="2025-03-23T00:00:00"/>
    <s v="Marketplace"/>
    <s v="Debit Card"/>
    <s v="Midwest"/>
    <n v="2"/>
    <x v="5"/>
    <n v="127.18"/>
    <n v="0"/>
    <n v="0"/>
    <n v="29.7"/>
    <n v="40.46"/>
    <n v="19.079999999999998"/>
    <n v="3.99"/>
    <s v="No"/>
    <n v="0"/>
    <n v="127.18"/>
    <n v="93.23"/>
    <n v="33.950000000000003"/>
    <n v="0"/>
  </r>
  <r>
    <s v="ORD-001445"/>
    <s v="C-0572"/>
    <d v="2025-08-08T00:00:00"/>
    <s v="Social Commerce"/>
    <s v="PayPal"/>
    <s v="Northeast"/>
    <n v="3"/>
    <x v="3"/>
    <n v="595.42999999999995"/>
    <n v="15"/>
    <n v="89.31"/>
    <n v="45.66"/>
    <n v="206.85"/>
    <n v="40.49"/>
    <n v="14.98"/>
    <s v="No"/>
    <n v="0"/>
    <n v="506.12"/>
    <n v="307.98"/>
    <n v="198.14"/>
    <n v="0"/>
  </r>
  <r>
    <s v="ORD-001446"/>
    <s v="C-0142"/>
    <d v="2025-12-28T00:00:00"/>
    <s v="Mobile App"/>
    <s v="Credit Card"/>
    <s v="Southeast"/>
    <n v="1"/>
    <x v="0"/>
    <n v="185.03"/>
    <n v="0"/>
    <n v="0"/>
    <n v="5.42"/>
    <n v="66.69"/>
    <n v="0"/>
    <n v="5.67"/>
    <s v="Yes"/>
    <n v="185.03"/>
    <n v="0"/>
    <n v="77.78"/>
    <n v="-77.78"/>
    <n v="0"/>
  </r>
  <r>
    <s v="ORD-001447"/>
    <s v="C-0525"/>
    <d v="2024-12-14T00:00:00"/>
    <s v="Mobile App"/>
    <s v="Debit Card"/>
    <s v="Southeast"/>
    <n v="1"/>
    <x v="4"/>
    <n v="56"/>
    <n v="0"/>
    <n v="0"/>
    <n v="12.86"/>
    <n v="19.82"/>
    <n v="0"/>
    <n v="1.92"/>
    <s v="No"/>
    <n v="0"/>
    <n v="56"/>
    <n v="34.6"/>
    <n v="21.4"/>
    <n v="0"/>
  </r>
  <r>
    <s v="ORD-001448"/>
    <s v="C-0442"/>
    <d v="2025-02-19T00:00:00"/>
    <s v="Social Commerce"/>
    <s v="Credit Card"/>
    <s v="Southwest"/>
    <n v="3"/>
    <x v="3"/>
    <n v="273.3"/>
    <n v="10"/>
    <n v="27.33"/>
    <n v="42.94"/>
    <n v="114.51"/>
    <n v="19.68"/>
    <n v="7.43"/>
    <s v="No"/>
    <n v="0"/>
    <n v="245.97"/>
    <n v="184.56"/>
    <n v="61.41"/>
    <n v="1"/>
  </r>
  <r>
    <s v="ORD-001449"/>
    <s v="C-0279"/>
    <d v="2024-11-01T00:00:00"/>
    <s v="Website"/>
    <s v="PayPal"/>
    <s v="Southeast"/>
    <n v="1"/>
    <x v="4"/>
    <n v="24.88"/>
    <n v="0"/>
    <n v="0"/>
    <n v="7.02"/>
    <n v="13.77"/>
    <n v="0"/>
    <n v="1.02"/>
    <s v="No"/>
    <n v="0"/>
    <n v="24.88"/>
    <n v="21.81"/>
    <n v="3.07"/>
    <n v="0"/>
  </r>
  <r>
    <s v="ORD-001450"/>
    <s v="C-0315"/>
    <d v="2024-07-22T00:00:00"/>
    <s v="Website"/>
    <s v="PayPal"/>
    <s v="Southeast"/>
    <n v="1"/>
    <x v="1"/>
    <n v="88.77"/>
    <n v="0"/>
    <n v="0"/>
    <n v="34.979999999999997"/>
    <n v="30.84"/>
    <n v="0"/>
    <n v="2.87"/>
    <s v="No"/>
    <n v="0"/>
    <n v="88.77"/>
    <n v="68.69"/>
    <n v="20.079999999999998"/>
    <n v="0"/>
  </r>
  <r>
    <s v="ORD-001451"/>
    <s v="C-0516"/>
    <d v="2024-11-26T00:00:00"/>
    <s v="Mobile App"/>
    <s v="Credit Card"/>
    <s v="Midwest"/>
    <n v="2"/>
    <x v="3"/>
    <n v="107.36"/>
    <n v="5"/>
    <n v="5.37"/>
    <n v="33.299999999999997"/>
    <n v="50.27"/>
    <n v="0"/>
    <n v="3.26"/>
    <s v="No"/>
    <n v="0"/>
    <n v="101.99"/>
    <n v="86.83"/>
    <n v="15.16"/>
    <n v="0"/>
  </r>
  <r>
    <s v="ORD-001452"/>
    <s v="C-0452"/>
    <d v="2025-06-17T00:00:00"/>
    <s v="Mobile App"/>
    <s v="Credit Card"/>
    <s v="West Coast"/>
    <n v="1"/>
    <x v="5"/>
    <n v="52.69"/>
    <n v="20"/>
    <n v="10.54"/>
    <n v="5.82"/>
    <n v="23.14"/>
    <n v="0"/>
    <n v="1.52"/>
    <s v="No"/>
    <n v="0"/>
    <n v="42.15"/>
    <n v="30.48"/>
    <n v="11.67"/>
    <n v="0"/>
  </r>
  <r>
    <s v="ORD-001453"/>
    <s v="C-0580"/>
    <d v="2025-08-17T00:00:00"/>
    <s v="Website"/>
    <s v="Debit Card"/>
    <s v="Southwest"/>
    <n v="1"/>
    <x v="5"/>
    <n v="96.12"/>
    <n v="15"/>
    <n v="14.42"/>
    <n v="42.66"/>
    <n v="59.97"/>
    <n v="0"/>
    <n v="2.67"/>
    <s v="No"/>
    <n v="0"/>
    <n v="81.7"/>
    <n v="105.3"/>
    <n v="-23.6"/>
    <n v="0"/>
  </r>
  <r>
    <s v="ORD-001454"/>
    <s v="C-0499"/>
    <d v="2025-05-14T00:00:00"/>
    <s v="Website"/>
    <s v="Debit Card"/>
    <s v="Midwest"/>
    <n v="3"/>
    <x v="0"/>
    <n v="216.49"/>
    <n v="15"/>
    <n v="32.47"/>
    <n v="44.08"/>
    <n v="68.67"/>
    <n v="0"/>
    <n v="5.64"/>
    <s v="No"/>
    <n v="0"/>
    <n v="184.02"/>
    <n v="118.39"/>
    <n v="65.63"/>
    <n v="0"/>
  </r>
  <r>
    <s v="ORD-001455"/>
    <s v="C-0094"/>
    <d v="2025-09-10T00:00:00"/>
    <s v="Marketplace"/>
    <s v="Credit Card"/>
    <s v="Southwest"/>
    <n v="1"/>
    <x v="5"/>
    <n v="32.659999999999997"/>
    <n v="0"/>
    <n v="0"/>
    <n v="23.32"/>
    <n v="21.38"/>
    <n v="4.9000000000000004"/>
    <n v="1.25"/>
    <s v="No"/>
    <n v="0"/>
    <n v="32.659999999999997"/>
    <n v="50.85"/>
    <n v="-18.190000000000001"/>
    <n v="0"/>
  </r>
  <r>
    <s v="ORD-001456"/>
    <s v="C-0355"/>
    <d v="2025-06-20T00:00:00"/>
    <s v="Marketplace"/>
    <s v="Gift Card"/>
    <s v="Southwest"/>
    <n v="1"/>
    <x v="7"/>
    <n v="83.78"/>
    <n v="5"/>
    <n v="4.1900000000000004"/>
    <n v="14.22"/>
    <n v="25.22"/>
    <n v="11.94"/>
    <n v="2.61"/>
    <s v="No"/>
    <n v="0"/>
    <n v="79.59"/>
    <n v="53.99"/>
    <n v="25.6"/>
    <n v="0"/>
  </r>
  <r>
    <s v="ORD-001457"/>
    <s v="C-0248"/>
    <d v="2024-08-20T00:00:00"/>
    <s v="Marketplace"/>
    <s v="Credit Card"/>
    <s v="Southwest"/>
    <n v="4"/>
    <x v="4"/>
    <n v="208.46"/>
    <n v="15"/>
    <n v="31.27"/>
    <n v="39.68"/>
    <n v="97.6"/>
    <n v="26.58"/>
    <n v="5.44"/>
    <s v="Yes"/>
    <n v="177.19"/>
    <n v="0"/>
    <n v="169.3"/>
    <n v="-169.3"/>
    <n v="0"/>
  </r>
  <r>
    <s v="ORD-001458"/>
    <s v="C-0535"/>
    <d v="2025-08-31T00:00:00"/>
    <s v="Mobile App"/>
    <s v="PayPal"/>
    <s v="Southeast"/>
    <n v="1"/>
    <x v="0"/>
    <n v="215.16"/>
    <n v="15"/>
    <n v="32.270000000000003"/>
    <n v="10.46"/>
    <n v="62.72"/>
    <n v="0"/>
    <n v="5.6"/>
    <s v="No"/>
    <n v="0"/>
    <n v="182.89"/>
    <n v="78.78"/>
    <n v="104.11"/>
    <n v="0"/>
  </r>
  <r>
    <s v="ORD-001459"/>
    <s v="C-0191"/>
    <d v="2024-09-01T00:00:00"/>
    <s v="Social Commerce"/>
    <s v="Debit Card"/>
    <s v="Southeast"/>
    <n v="2"/>
    <x v="5"/>
    <n v="158.04"/>
    <n v="0"/>
    <n v="0"/>
    <n v="36.58"/>
    <n v="67.12"/>
    <n v="12.64"/>
    <n v="4.88"/>
    <s v="No"/>
    <n v="0"/>
    <n v="158.04"/>
    <n v="121.22"/>
    <n v="36.82"/>
    <n v="1"/>
  </r>
  <r>
    <s v="ORD-001460"/>
    <s v="C-0678"/>
    <d v="2025-07-16T00:00:00"/>
    <s v="Marketplace"/>
    <s v="PayPal"/>
    <s v="Midwest"/>
    <n v="2"/>
    <x v="1"/>
    <n v="91.13"/>
    <n v="0"/>
    <n v="0"/>
    <n v="18.12"/>
    <n v="38.46"/>
    <n v="13.67"/>
    <n v="2.94"/>
    <s v="No"/>
    <n v="0"/>
    <n v="91.13"/>
    <n v="73.19"/>
    <n v="17.940000000000001"/>
    <n v="0"/>
  </r>
  <r>
    <s v="ORD-001461"/>
    <s v="C-0461"/>
    <d v="2024-08-27T00:00:00"/>
    <s v="Mobile App"/>
    <s v="PayPal"/>
    <s v="West Coast"/>
    <n v="1"/>
    <x v="6"/>
    <n v="5.52"/>
    <n v="0"/>
    <n v="0"/>
    <n v="7.82"/>
    <n v="3.38"/>
    <n v="0"/>
    <n v="0.46"/>
    <s v="No"/>
    <n v="0"/>
    <n v="5.52"/>
    <n v="11.66"/>
    <n v="-6.14"/>
    <n v="0"/>
  </r>
  <r>
    <s v="ORD-001462"/>
    <s v="C-0070"/>
    <d v="2025-07-09T00:00:00"/>
    <s v="Social Commerce"/>
    <s v="PayPal"/>
    <s v="Northeast"/>
    <n v="5"/>
    <x v="0"/>
    <n v="197.87"/>
    <n v="0"/>
    <n v="0"/>
    <n v="45.14"/>
    <n v="77.459999999999994"/>
    <n v="15.83"/>
    <n v="6.04"/>
    <s v="No"/>
    <n v="0"/>
    <n v="197.87"/>
    <n v="144.47"/>
    <n v="53.4"/>
    <n v="0"/>
  </r>
  <r>
    <s v="ORD-001463"/>
    <s v="C-0120"/>
    <d v="2025-09-14T00:00:00"/>
    <s v="Social Commerce"/>
    <s v="Buy Now Pay Later"/>
    <s v="Southwest"/>
    <n v="2"/>
    <x v="7"/>
    <n v="199.42"/>
    <n v="5"/>
    <n v="9.9700000000000006"/>
    <n v="56.3"/>
    <n v="79.510000000000005"/>
    <n v="15.16"/>
    <n v="5.79"/>
    <s v="No"/>
    <n v="0"/>
    <n v="189.45"/>
    <n v="156.76"/>
    <n v="32.69"/>
    <n v="0"/>
  </r>
  <r>
    <s v="ORD-001464"/>
    <s v="C-0060"/>
    <d v="2025-10-14T00:00:00"/>
    <s v="Social Commerce"/>
    <s v="Credit Card"/>
    <s v="West Coast"/>
    <n v="3"/>
    <x v="1"/>
    <n v="243.77"/>
    <n v="10"/>
    <n v="24.38"/>
    <n v="52.24"/>
    <n v="104.51"/>
    <n v="17.55"/>
    <n v="6.66"/>
    <s v="No"/>
    <n v="0"/>
    <n v="219.39"/>
    <n v="180.96"/>
    <n v="38.43"/>
    <n v="0"/>
  </r>
  <r>
    <s v="ORD-001465"/>
    <s v="C-0697"/>
    <d v="2024-12-05T00:00:00"/>
    <s v="Website"/>
    <s v="Credit Card"/>
    <s v="Southwest"/>
    <n v="1"/>
    <x v="5"/>
    <n v="35.64"/>
    <n v="0"/>
    <n v="0"/>
    <n v="13.18"/>
    <n v="10.44"/>
    <n v="0"/>
    <n v="1.33"/>
    <s v="No"/>
    <n v="0"/>
    <n v="35.64"/>
    <n v="24.95"/>
    <n v="10.69"/>
    <n v="0"/>
  </r>
  <r>
    <s v="ORD-001466"/>
    <s v="C-0604"/>
    <d v="2024-12-26T00:00:00"/>
    <s v="Website"/>
    <s v="Credit Card"/>
    <s v="Northeast"/>
    <n v="2"/>
    <x v="0"/>
    <n v="121.11"/>
    <n v="25"/>
    <n v="30.28"/>
    <n v="40.5"/>
    <n v="51.99"/>
    <n v="0"/>
    <n v="2.93"/>
    <s v="No"/>
    <n v="0"/>
    <n v="90.83"/>
    <n v="95.42"/>
    <n v="-4.59"/>
    <n v="0"/>
  </r>
  <r>
    <s v="ORD-001467"/>
    <s v="C-0363"/>
    <d v="2025-05-15T00:00:00"/>
    <s v="Mobile App"/>
    <s v="Credit Card"/>
    <s v="West Coast"/>
    <n v="3"/>
    <x v="7"/>
    <n v="224.8"/>
    <n v="5"/>
    <n v="11.24"/>
    <n v="38.1"/>
    <n v="79.099999999999994"/>
    <n v="0"/>
    <n v="6.49"/>
    <s v="No"/>
    <n v="0"/>
    <n v="213.56"/>
    <n v="123.69"/>
    <n v="89.87"/>
    <n v="0"/>
  </r>
  <r>
    <s v="ORD-001468"/>
    <s v="C-0303"/>
    <d v="2025-06-24T00:00:00"/>
    <s v="Website"/>
    <s v="PayPal"/>
    <s v="Southeast"/>
    <n v="2"/>
    <x v="3"/>
    <n v="347.28"/>
    <n v="0"/>
    <n v="0"/>
    <n v="24.88"/>
    <n v="138.25"/>
    <n v="0"/>
    <n v="10.37"/>
    <s v="No"/>
    <n v="0"/>
    <n v="347.28"/>
    <n v="173.5"/>
    <n v="173.78"/>
    <n v="0"/>
  </r>
  <r>
    <s v="ORD-001469"/>
    <s v="C-0485"/>
    <d v="2024-04-16T00:00:00"/>
    <s v="Mobile App"/>
    <s v="Gift Card"/>
    <s v="Southwest"/>
    <n v="4"/>
    <x v="7"/>
    <n v="175.51"/>
    <n v="10"/>
    <n v="17.55"/>
    <n v="52.78"/>
    <n v="76.47"/>
    <n v="0"/>
    <n v="4.88"/>
    <s v="Yes"/>
    <n v="157.96"/>
    <n v="0"/>
    <n v="134.13"/>
    <n v="-134.13"/>
    <n v="0"/>
  </r>
  <r>
    <s v="ORD-001470"/>
    <s v="C-0410"/>
    <d v="2024-05-13T00:00:00"/>
    <s v="Website"/>
    <s v="Debit Card"/>
    <s v="Southwest"/>
    <n v="2"/>
    <x v="6"/>
    <n v="94.24"/>
    <n v="0"/>
    <n v="0"/>
    <n v="18.28"/>
    <n v="40.94"/>
    <n v="0"/>
    <n v="3.03"/>
    <s v="No"/>
    <n v="0"/>
    <n v="94.24"/>
    <n v="62.25"/>
    <n v="31.99"/>
    <n v="0"/>
  </r>
  <r>
    <s v="ORD-001471"/>
    <s v="C-0773"/>
    <d v="2025-06-26T00:00:00"/>
    <s v="Website"/>
    <s v="Credit Card"/>
    <s v="Midwest"/>
    <n v="1"/>
    <x v="0"/>
    <n v="91.68"/>
    <n v="0"/>
    <n v="0"/>
    <n v="10.06"/>
    <n v="40.36"/>
    <n v="0"/>
    <n v="2.96"/>
    <s v="No"/>
    <n v="0"/>
    <n v="91.68"/>
    <n v="53.38"/>
    <n v="38.299999999999997"/>
    <n v="1"/>
  </r>
  <r>
    <s v="ORD-001472"/>
    <s v="C-0210"/>
    <d v="2024-07-16T00:00:00"/>
    <s v="Mobile App"/>
    <s v="Gift Card"/>
    <s v="Midwest"/>
    <n v="2"/>
    <x v="2"/>
    <n v="192.31"/>
    <n v="10"/>
    <n v="19.23"/>
    <n v="15.14"/>
    <n v="64.91"/>
    <n v="0"/>
    <n v="5.32"/>
    <s v="No"/>
    <n v="0"/>
    <n v="173.08"/>
    <n v="85.37"/>
    <n v="87.71"/>
    <n v="0"/>
  </r>
  <r>
    <s v="ORD-001473"/>
    <s v="C-0786"/>
    <d v="2024-12-19T00:00:00"/>
    <s v="Website"/>
    <s v="PayPal"/>
    <s v="Southwest"/>
    <n v="5"/>
    <x v="3"/>
    <n v="240.8"/>
    <n v="0"/>
    <n v="0"/>
    <n v="37.74"/>
    <n v="84.99"/>
    <n v="0"/>
    <n v="7.28"/>
    <s v="No"/>
    <n v="0"/>
    <n v="240.8"/>
    <n v="130.01"/>
    <n v="110.79"/>
    <n v="0"/>
  </r>
  <r>
    <s v="ORD-001474"/>
    <s v="C-0293"/>
    <d v="2025-07-16T00:00:00"/>
    <s v="Marketplace"/>
    <s v="Debit Card"/>
    <s v="Northeast"/>
    <n v="3"/>
    <x v="2"/>
    <n v="211.89"/>
    <n v="0"/>
    <n v="0"/>
    <n v="28.32"/>
    <n v="69.05"/>
    <n v="31.78"/>
    <n v="6.44"/>
    <s v="No"/>
    <n v="0"/>
    <n v="211.89"/>
    <n v="135.59"/>
    <n v="76.3"/>
    <n v="0"/>
  </r>
  <r>
    <s v="ORD-001475"/>
    <s v="C-0582"/>
    <d v="2025-10-14T00:00:00"/>
    <s v="Marketplace"/>
    <s v="Gift Card"/>
    <s v="Southeast"/>
    <n v="4"/>
    <x v="3"/>
    <n v="110.42"/>
    <n v="15"/>
    <n v="16.559999999999999"/>
    <n v="44.22"/>
    <n v="48.68"/>
    <n v="14.08"/>
    <n v="3.02"/>
    <s v="No"/>
    <n v="0"/>
    <n v="93.86"/>
    <n v="110"/>
    <n v="-16.14"/>
    <n v="0"/>
  </r>
  <r>
    <s v="ORD-001476"/>
    <s v="C-0603"/>
    <d v="2025-01-18T00:00:00"/>
    <s v="Social Commerce"/>
    <s v="PayPal"/>
    <s v="Midwest"/>
    <n v="1"/>
    <x v="3"/>
    <n v="45.69"/>
    <n v="10"/>
    <n v="4.57"/>
    <n v="11.58"/>
    <n v="28.21"/>
    <n v="3.29"/>
    <n v="1.49"/>
    <s v="No"/>
    <n v="0"/>
    <n v="41.12"/>
    <n v="44.57"/>
    <n v="-3.45"/>
    <n v="0"/>
  </r>
  <r>
    <s v="ORD-001477"/>
    <s v="C-0515"/>
    <d v="2024-11-29T00:00:00"/>
    <s v="Mobile App"/>
    <s v="PayPal"/>
    <s v="Southwest"/>
    <n v="2"/>
    <x v="0"/>
    <n v="240.21"/>
    <n v="25"/>
    <n v="60.05"/>
    <n v="26.46"/>
    <n v="82.98"/>
    <n v="0"/>
    <n v="5.52"/>
    <s v="No"/>
    <n v="0"/>
    <n v="180.16"/>
    <n v="114.96"/>
    <n v="65.2"/>
    <n v="0"/>
  </r>
  <r>
    <s v="ORD-001478"/>
    <s v="C-0558"/>
    <d v="2025-04-05T00:00:00"/>
    <s v="Mobile App"/>
    <s v="PayPal"/>
    <s v="Southeast"/>
    <n v="1"/>
    <x v="3"/>
    <n v="29.59"/>
    <n v="0"/>
    <n v="0"/>
    <n v="4.7"/>
    <n v="12.42"/>
    <n v="0"/>
    <n v="1.1599999999999999"/>
    <s v="No"/>
    <n v="0"/>
    <n v="29.59"/>
    <n v="18.28"/>
    <n v="11.31"/>
    <n v="0"/>
  </r>
  <r>
    <s v="ORD-001479"/>
    <s v="C-0611"/>
    <d v="2025-01-22T00:00:00"/>
    <s v="Mobile App"/>
    <s v="Credit Card"/>
    <s v="Midwest"/>
    <n v="2"/>
    <x v="7"/>
    <n v="216.13"/>
    <n v="25"/>
    <n v="54.03"/>
    <n v="17.079999999999998"/>
    <n v="71.319999999999993"/>
    <n v="0"/>
    <n v="5"/>
    <s v="No"/>
    <n v="0"/>
    <n v="162.1"/>
    <n v="93.4"/>
    <n v="68.7"/>
    <n v="0"/>
  </r>
  <r>
    <s v="ORD-001480"/>
    <s v="C-0132"/>
    <d v="2025-10-12T00:00:00"/>
    <s v="Website"/>
    <s v="Credit Card"/>
    <s v="Midwest"/>
    <n v="1"/>
    <x v="1"/>
    <n v="35.24"/>
    <n v="20"/>
    <n v="7.05"/>
    <n v="23.32"/>
    <n v="17.059999999999999"/>
    <n v="0"/>
    <n v="1.1200000000000001"/>
    <s v="No"/>
    <n v="0"/>
    <n v="28.19"/>
    <n v="41.5"/>
    <n v="-13.31"/>
    <n v="0"/>
  </r>
  <r>
    <s v="ORD-001481"/>
    <s v="C-0027"/>
    <d v="2025-07-10T00:00:00"/>
    <s v="Mobile App"/>
    <s v="Buy Now Pay Later"/>
    <s v="Southwest"/>
    <n v="4"/>
    <x v="3"/>
    <n v="237.63"/>
    <n v="15"/>
    <n v="35.64"/>
    <n v="46.72"/>
    <n v="93.18"/>
    <n v="0"/>
    <n v="6.16"/>
    <s v="Yes"/>
    <n v="201.99"/>
    <n v="0"/>
    <n v="146.06"/>
    <n v="-146.06"/>
    <n v="0"/>
  </r>
  <r>
    <s v="ORD-001482"/>
    <s v="C-0592"/>
    <d v="2026-01-03T00:00:00"/>
    <s v="Website"/>
    <s v="Buy Now Pay Later"/>
    <s v="Southeast"/>
    <n v="1"/>
    <x v="6"/>
    <n v="53"/>
    <n v="20"/>
    <n v="10.6"/>
    <n v="11"/>
    <n v="16.12"/>
    <n v="0"/>
    <n v="1.53"/>
    <s v="No"/>
    <n v="0"/>
    <n v="42.4"/>
    <n v="28.65"/>
    <n v="13.75"/>
    <n v="0"/>
  </r>
  <r>
    <s v="ORD-001483"/>
    <s v="C-0462"/>
    <d v="2024-05-09T00:00:00"/>
    <s v="Website"/>
    <s v="Credit Card"/>
    <s v="West Coast"/>
    <n v="3"/>
    <x v="5"/>
    <n v="353.34"/>
    <n v="20"/>
    <n v="70.67"/>
    <n v="38.4"/>
    <n v="114.72"/>
    <n v="0"/>
    <n v="8.5"/>
    <s v="No"/>
    <n v="0"/>
    <n v="282.67"/>
    <n v="161.62"/>
    <n v="121.05"/>
    <n v="1"/>
  </r>
  <r>
    <s v="ORD-001484"/>
    <s v="C-0625"/>
    <d v="2025-04-11T00:00:00"/>
    <s v="Mobile App"/>
    <s v="PayPal"/>
    <s v="Northeast"/>
    <n v="2"/>
    <x v="3"/>
    <n v="198.65"/>
    <n v="0"/>
    <n v="0"/>
    <n v="27.62"/>
    <n v="70.86"/>
    <n v="0"/>
    <n v="6.06"/>
    <s v="No"/>
    <n v="0"/>
    <n v="198.65"/>
    <n v="104.54"/>
    <n v="94.11"/>
    <n v="0"/>
  </r>
  <r>
    <s v="ORD-001485"/>
    <s v="C-0741"/>
    <d v="2025-02-07T00:00:00"/>
    <s v="Website"/>
    <s v="Credit Card"/>
    <s v="Northeast"/>
    <n v="1"/>
    <x v="2"/>
    <n v="84.04"/>
    <n v="5"/>
    <n v="4.2"/>
    <n v="4.22"/>
    <n v="25.97"/>
    <n v="0"/>
    <n v="2.62"/>
    <s v="No"/>
    <n v="0"/>
    <n v="79.84"/>
    <n v="32.81"/>
    <n v="47.03"/>
    <n v="0"/>
  </r>
  <r>
    <s v="ORD-001486"/>
    <s v="C-0638"/>
    <d v="2025-08-26T00:00:00"/>
    <s v="Mobile App"/>
    <s v="Debit Card"/>
    <s v="West Coast"/>
    <n v="3"/>
    <x v="7"/>
    <n v="110.68"/>
    <n v="20"/>
    <n v="22.14"/>
    <n v="20.100000000000001"/>
    <n v="37.9"/>
    <n v="0"/>
    <n v="2.87"/>
    <s v="No"/>
    <n v="0"/>
    <n v="88.54"/>
    <n v="60.87"/>
    <n v="27.67"/>
    <n v="0"/>
  </r>
  <r>
    <s v="ORD-001487"/>
    <s v="C-0391"/>
    <d v="2025-06-11T00:00:00"/>
    <s v="Website"/>
    <s v="PayPal"/>
    <s v="West Coast"/>
    <n v="4"/>
    <x v="3"/>
    <n v="360.41"/>
    <n v="0"/>
    <n v="0"/>
    <n v="39.24"/>
    <n v="178.52"/>
    <n v="0"/>
    <n v="10.75"/>
    <s v="No"/>
    <n v="0"/>
    <n v="360.41"/>
    <n v="228.51"/>
    <n v="131.9"/>
    <n v="0"/>
  </r>
  <r>
    <s v="ORD-001488"/>
    <s v="C-0284"/>
    <d v="2025-04-12T00:00:00"/>
    <s v="Website"/>
    <s v="Credit Card"/>
    <s v="Southeast"/>
    <n v="1"/>
    <x v="3"/>
    <n v="289.05"/>
    <n v="0"/>
    <n v="0"/>
    <n v="11.46"/>
    <n v="115.83"/>
    <n v="0"/>
    <n v="8.68"/>
    <s v="No"/>
    <n v="0"/>
    <n v="289.05"/>
    <n v="135.97"/>
    <n v="153.08000000000001"/>
    <n v="0"/>
  </r>
  <r>
    <s v="ORD-001489"/>
    <s v="C-0553"/>
    <d v="2025-05-28T00:00:00"/>
    <s v="Marketplace"/>
    <s v="PayPal"/>
    <s v="Southeast"/>
    <n v="1"/>
    <x v="3"/>
    <n v="83.94"/>
    <n v="15"/>
    <n v="12.59"/>
    <n v="26.84"/>
    <n v="24.48"/>
    <n v="10.7"/>
    <n v="2.37"/>
    <s v="No"/>
    <n v="0"/>
    <n v="71.349999999999994"/>
    <n v="64.39"/>
    <n v="6.96"/>
    <n v="0"/>
  </r>
  <r>
    <s v="ORD-001490"/>
    <s v="C-0464"/>
    <d v="2025-12-25T00:00:00"/>
    <s v="Website"/>
    <s v="Credit Card"/>
    <s v="Northeast"/>
    <n v="1"/>
    <x v="4"/>
    <n v="118.3"/>
    <n v="10"/>
    <n v="11.83"/>
    <n v="19.96"/>
    <n v="38.72"/>
    <n v="0"/>
    <n v="3.39"/>
    <s v="No"/>
    <n v="0"/>
    <n v="106.47"/>
    <n v="62.07"/>
    <n v="44.4"/>
    <n v="0"/>
  </r>
  <r>
    <s v="ORD-001491"/>
    <s v="C-0732"/>
    <d v="2025-09-30T00:00:00"/>
    <s v="Social Commerce"/>
    <s v="Gift Card"/>
    <s v="Southwest"/>
    <n v="1"/>
    <x v="3"/>
    <n v="55.06"/>
    <n v="20"/>
    <n v="11.01"/>
    <n v="5.82"/>
    <n v="21.08"/>
    <n v="3.52"/>
    <n v="1.58"/>
    <s v="No"/>
    <n v="0"/>
    <n v="44.05"/>
    <n v="32"/>
    <n v="12.05"/>
    <n v="0"/>
  </r>
  <r>
    <s v="ORD-001492"/>
    <s v="C-0007"/>
    <d v="2024-06-01T00:00:00"/>
    <s v="Social Commerce"/>
    <s v="Gift Card"/>
    <s v="Southwest"/>
    <n v="1"/>
    <x v="7"/>
    <n v="29.4"/>
    <n v="10"/>
    <n v="2.94"/>
    <n v="6.22"/>
    <n v="11.41"/>
    <n v="2.12"/>
    <n v="1.07"/>
    <s v="No"/>
    <n v="0"/>
    <n v="26.46"/>
    <n v="20.82"/>
    <n v="5.64"/>
    <n v="0"/>
  </r>
  <r>
    <s v="ORD-001493"/>
    <s v="C-0517"/>
    <d v="2024-11-02T00:00:00"/>
    <s v="Mobile App"/>
    <s v="PayPal"/>
    <s v="Northeast"/>
    <n v="1"/>
    <x v="6"/>
    <n v="35.979999999999997"/>
    <n v="0"/>
    <n v="0"/>
    <n v="23.48"/>
    <n v="15.76"/>
    <n v="0"/>
    <n v="1.34"/>
    <s v="No"/>
    <n v="0"/>
    <n v="35.979999999999997"/>
    <n v="40.58"/>
    <n v="-4.5999999999999996"/>
    <n v="0"/>
  </r>
  <r>
    <s v="ORD-001494"/>
    <s v="C-0758"/>
    <d v="2024-11-21T00:00:00"/>
    <s v="Marketplace"/>
    <s v="Credit Card"/>
    <s v="Northeast"/>
    <n v="2"/>
    <x v="0"/>
    <n v="132.71"/>
    <n v="15"/>
    <n v="19.91"/>
    <n v="42.1"/>
    <n v="44.5"/>
    <n v="16.920000000000002"/>
    <n v="3.57"/>
    <s v="No"/>
    <n v="0"/>
    <n v="112.8"/>
    <n v="107.09"/>
    <n v="5.71"/>
    <n v="0"/>
  </r>
  <r>
    <s v="ORD-001495"/>
    <s v="C-0604"/>
    <d v="2025-08-12T00:00:00"/>
    <s v="Website"/>
    <s v="PayPal"/>
    <s v="Southeast"/>
    <n v="2"/>
    <x v="0"/>
    <n v="47.47"/>
    <n v="0"/>
    <n v="0"/>
    <n v="27.88"/>
    <n v="25.8"/>
    <n v="0"/>
    <n v="1.68"/>
    <s v="Yes"/>
    <n v="47.47"/>
    <n v="0"/>
    <n v="55.36"/>
    <n v="-55.36"/>
    <n v="0"/>
  </r>
  <r>
    <s v="ORD-001496"/>
    <s v="C-0431"/>
    <d v="2025-07-05T00:00:00"/>
    <s v="Marketplace"/>
    <s v="PayPal"/>
    <s v="West Coast"/>
    <n v="3"/>
    <x v="5"/>
    <n v="146.51"/>
    <n v="5"/>
    <n v="7.33"/>
    <n v="54.54"/>
    <n v="81.819999999999993"/>
    <n v="20.88"/>
    <n v="4.34"/>
    <s v="No"/>
    <n v="0"/>
    <n v="139.18"/>
    <n v="161.58000000000001"/>
    <n v="-22.4"/>
    <n v="0"/>
  </r>
  <r>
    <s v="ORD-001497"/>
    <s v="C-0771"/>
    <d v="2025-10-13T00:00:00"/>
    <s v="Website"/>
    <s v="PayPal"/>
    <s v="Southwest"/>
    <n v="2"/>
    <x v="5"/>
    <n v="258.29000000000002"/>
    <n v="0"/>
    <n v="0"/>
    <n v="44.96"/>
    <n v="125.18"/>
    <n v="0"/>
    <n v="7.79"/>
    <s v="No"/>
    <n v="0"/>
    <n v="258.29000000000002"/>
    <n v="177.93"/>
    <n v="80.36"/>
    <n v="1"/>
  </r>
  <r>
    <s v="ORD-001498"/>
    <s v="C-0392"/>
    <d v="2025-02-05T00:00:00"/>
    <s v="Marketplace"/>
    <s v="Credit Card"/>
    <s v="West Coast"/>
    <n v="2"/>
    <x v="3"/>
    <n v="58.32"/>
    <n v="0"/>
    <n v="0"/>
    <n v="22.84"/>
    <n v="20.62"/>
    <n v="8.75"/>
    <n v="1.99"/>
    <s v="No"/>
    <n v="0"/>
    <n v="58.32"/>
    <n v="54.2"/>
    <n v="4.12"/>
    <n v="0"/>
  </r>
  <r>
    <s v="ORD-001499"/>
    <s v="C-0021"/>
    <d v="2025-09-08T00:00:00"/>
    <s v="Mobile App"/>
    <s v="Gift Card"/>
    <s v="West Coast"/>
    <n v="2"/>
    <x v="7"/>
    <n v="237.93"/>
    <n v="0"/>
    <n v="0"/>
    <n v="14.68"/>
    <n v="85.16"/>
    <n v="0"/>
    <n v="7.2"/>
    <s v="No"/>
    <n v="0"/>
    <n v="237.93"/>
    <n v="107.04"/>
    <n v="130.88999999999999"/>
    <n v="0"/>
  </r>
  <r>
    <s v="ORD-001500"/>
    <s v="C-0733"/>
    <d v="2025-01-09T00:00:00"/>
    <s v="Marketplace"/>
    <s v="Credit Card"/>
    <s v="Southeast"/>
    <n v="1"/>
    <x v="5"/>
    <n v="58.23"/>
    <n v="0"/>
    <n v="0"/>
    <n v="38.1"/>
    <n v="25.41"/>
    <n v="8.73"/>
    <n v="1.99"/>
    <s v="No"/>
    <n v="0"/>
    <n v="58.23"/>
    <n v="74.23"/>
    <n v="-16"/>
    <n v="0"/>
  </r>
  <r>
    <s v="ORD-001501"/>
    <s v="C-0001"/>
    <d v="2025-02-15T00:00:00"/>
    <s v="Website"/>
    <s v="Credit Card"/>
    <s v="West Coast"/>
    <n v="1"/>
    <x v="1"/>
    <n v="63.78"/>
    <n v="0"/>
    <n v="0"/>
    <n v="3.9"/>
    <n v="23.51"/>
    <n v="0"/>
    <n v="2.15"/>
    <s v="No"/>
    <n v="0"/>
    <n v="63.78"/>
    <n v="29.56"/>
    <n v="34.22"/>
    <n v="0"/>
  </r>
  <r>
    <s v="ORD-001502"/>
    <s v="C-0111"/>
    <d v="2024-11-27T00:00:00"/>
    <s v="Mobile App"/>
    <s v="PayPal"/>
    <s v="Southwest"/>
    <n v="1"/>
    <x v="5"/>
    <n v="28.96"/>
    <n v="0"/>
    <n v="0"/>
    <n v="9.02"/>
    <n v="8.3000000000000007"/>
    <n v="0"/>
    <n v="1.1399999999999999"/>
    <s v="No"/>
    <n v="0"/>
    <n v="28.96"/>
    <n v="18.46"/>
    <n v="10.5"/>
    <n v="0"/>
  </r>
  <r>
    <s v="ORD-001503"/>
    <s v="C-0634"/>
    <d v="2025-06-15T00:00:00"/>
    <s v="Website"/>
    <s v="PayPal"/>
    <s v="Midwest"/>
    <n v="5"/>
    <x v="5"/>
    <n v="878.4"/>
    <n v="0"/>
    <n v="0"/>
    <n v="54.56"/>
    <n v="308.68"/>
    <n v="0"/>
    <n v="25.77"/>
    <s v="Yes"/>
    <n v="878.4"/>
    <n v="0"/>
    <n v="389.01"/>
    <n v="-389.01"/>
    <n v="0"/>
  </r>
  <r>
    <s v="ORD-001504"/>
    <s v="C-0655"/>
    <d v="2025-04-13T00:00:00"/>
    <s v="Mobile App"/>
    <s v="Debit Card"/>
    <s v="Southwest"/>
    <n v="1"/>
    <x v="4"/>
    <n v="43.1"/>
    <n v="0"/>
    <n v="0"/>
    <n v="30.2"/>
    <n v="24.8"/>
    <n v="0"/>
    <n v="1.55"/>
    <s v="No"/>
    <n v="0"/>
    <n v="43.1"/>
    <n v="56.55"/>
    <n v="-13.45"/>
    <n v="0"/>
  </r>
  <r>
    <s v="ORD-001505"/>
    <s v="C-0025"/>
    <d v="2025-03-29T00:00:00"/>
    <s v="Marketplace"/>
    <s v="PayPal"/>
    <s v="Southwest"/>
    <n v="3"/>
    <x v="2"/>
    <n v="234.38"/>
    <n v="25"/>
    <n v="58.59"/>
    <n v="42.88"/>
    <n v="115.27"/>
    <n v="26.37"/>
    <n v="5.4"/>
    <s v="Yes"/>
    <n v="175.79"/>
    <n v="0"/>
    <n v="189.92"/>
    <n v="-189.92"/>
    <n v="1"/>
  </r>
  <r>
    <s v="ORD-001506"/>
    <s v="C-0466"/>
    <d v="2025-11-14T00:00:00"/>
    <s v="Mobile App"/>
    <s v="Buy Now Pay Later"/>
    <s v="Southwest"/>
    <n v="1"/>
    <x v="4"/>
    <n v="56"/>
    <n v="10"/>
    <n v="5.6"/>
    <n v="12.86"/>
    <n v="19.82"/>
    <n v="0"/>
    <n v="1.76"/>
    <s v="Yes"/>
    <n v="50.4"/>
    <n v="0"/>
    <n v="34.44"/>
    <n v="-34.44"/>
    <n v="0"/>
  </r>
  <r>
    <s v="ORD-001507"/>
    <s v="C-0735"/>
    <d v="2025-02-28T00:00:00"/>
    <s v="Marketplace"/>
    <s v="Credit Card"/>
    <s v="Northeast"/>
    <n v="1"/>
    <x v="4"/>
    <n v="127.02"/>
    <n v="10"/>
    <n v="12.7"/>
    <n v="15.8"/>
    <n v="62.54"/>
    <n v="17.149999999999999"/>
    <n v="3.62"/>
    <s v="No"/>
    <n v="0"/>
    <n v="114.32"/>
    <n v="99.11"/>
    <n v="15.21"/>
    <n v="1"/>
  </r>
  <r>
    <s v="ORD-001508"/>
    <s v="C-0473"/>
    <d v="2025-07-16T00:00:00"/>
    <s v="Marketplace"/>
    <s v="Credit Card"/>
    <s v="Southeast"/>
    <n v="1"/>
    <x v="2"/>
    <n v="45.27"/>
    <n v="10"/>
    <n v="4.53"/>
    <n v="12.78"/>
    <n v="23.99"/>
    <n v="6.11"/>
    <n v="1.48"/>
    <s v="No"/>
    <n v="0"/>
    <n v="40.74"/>
    <n v="44.36"/>
    <n v="-3.62"/>
    <n v="1"/>
  </r>
  <r>
    <s v="ORD-001509"/>
    <s v="C-0153"/>
    <d v="2025-02-21T00:00:00"/>
    <s v="Social Commerce"/>
    <s v="Credit Card"/>
    <s v="Midwest"/>
    <n v="2"/>
    <x v="6"/>
    <n v="53.02"/>
    <n v="10"/>
    <n v="5.3"/>
    <n v="21.72"/>
    <n v="19.420000000000002"/>
    <n v="3.82"/>
    <n v="1.68"/>
    <s v="No"/>
    <n v="0"/>
    <n v="47.72"/>
    <n v="46.64"/>
    <n v="1.08"/>
    <n v="0"/>
  </r>
  <r>
    <s v="ORD-001510"/>
    <s v="C-0729"/>
    <d v="2025-10-07T00:00:00"/>
    <s v="Website"/>
    <s v="Credit Card"/>
    <s v="Midwest"/>
    <n v="1"/>
    <x v="4"/>
    <n v="94.4"/>
    <n v="0"/>
    <n v="0"/>
    <n v="21.88"/>
    <n v="51.18"/>
    <n v="0"/>
    <n v="3.04"/>
    <s v="No"/>
    <n v="0"/>
    <n v="94.4"/>
    <n v="76.099999999999994"/>
    <n v="18.3"/>
    <n v="0"/>
  </r>
  <r>
    <s v="ORD-001511"/>
    <s v="C-0242"/>
    <d v="2024-11-24T00:00:00"/>
    <s v="Website"/>
    <s v="Gift Card"/>
    <s v="Southwest"/>
    <n v="4"/>
    <x v="6"/>
    <n v="163.09"/>
    <n v="0"/>
    <n v="0"/>
    <n v="43.98"/>
    <n v="82.06"/>
    <n v="0"/>
    <n v="5.03"/>
    <s v="No"/>
    <n v="0"/>
    <n v="163.09"/>
    <n v="131.07"/>
    <n v="32.020000000000003"/>
    <n v="0"/>
  </r>
  <r>
    <s v="ORD-001512"/>
    <s v="C-0486"/>
    <d v="2025-06-03T00:00:00"/>
    <s v="Website"/>
    <s v="Buy Now Pay Later"/>
    <s v="Midwest"/>
    <n v="3"/>
    <x v="3"/>
    <n v="204.23"/>
    <n v="0"/>
    <n v="0"/>
    <n v="31.46"/>
    <n v="85.39"/>
    <n v="0"/>
    <n v="6.22"/>
    <s v="Yes"/>
    <n v="204.23"/>
    <n v="0"/>
    <n v="123.07"/>
    <n v="-123.07"/>
    <n v="0"/>
  </r>
  <r>
    <s v="ORD-001513"/>
    <s v="C-0660"/>
    <d v="2025-07-07T00:00:00"/>
    <s v="Website"/>
    <s v="Credit Card"/>
    <s v="Southwest"/>
    <n v="2"/>
    <x v="4"/>
    <n v="129.99"/>
    <n v="15"/>
    <n v="19.5"/>
    <n v="13.96"/>
    <n v="44.33"/>
    <n v="0"/>
    <n v="3.5"/>
    <s v="No"/>
    <n v="0"/>
    <n v="110.49"/>
    <n v="61.79"/>
    <n v="48.7"/>
    <n v="0"/>
  </r>
  <r>
    <s v="ORD-001514"/>
    <s v="C-0372"/>
    <d v="2024-10-09T00:00:00"/>
    <s v="Mobile App"/>
    <s v="Credit Card"/>
    <s v="Northeast"/>
    <n v="1"/>
    <x v="7"/>
    <n v="143.66"/>
    <n v="0"/>
    <n v="0"/>
    <n v="20.28"/>
    <n v="95.12"/>
    <n v="0"/>
    <n v="4.47"/>
    <s v="No"/>
    <n v="0"/>
    <n v="143.66"/>
    <n v="119.87"/>
    <n v="23.79"/>
    <n v="1"/>
  </r>
  <r>
    <s v="ORD-001515"/>
    <s v="C-0216"/>
    <d v="2025-04-17T00:00:00"/>
    <s v="Website"/>
    <s v="Credit Card"/>
    <s v="Northeast"/>
    <n v="1"/>
    <x v="4"/>
    <n v="46.68"/>
    <n v="15"/>
    <n v="7"/>
    <n v="10.3"/>
    <n v="15.73"/>
    <n v="0"/>
    <n v="1.45"/>
    <s v="No"/>
    <n v="0"/>
    <n v="39.68"/>
    <n v="27.48"/>
    <n v="12.2"/>
    <n v="0"/>
  </r>
  <r>
    <s v="ORD-001516"/>
    <s v="C-0101"/>
    <d v="2025-09-23T00:00:00"/>
    <s v="Social Commerce"/>
    <s v="PayPal"/>
    <s v="Midwest"/>
    <n v="3"/>
    <x v="3"/>
    <n v="135"/>
    <n v="25"/>
    <n v="33.75"/>
    <n v="27.38"/>
    <n v="43.52"/>
    <n v="8.1"/>
    <n v="3.24"/>
    <s v="No"/>
    <n v="0"/>
    <n v="101.25"/>
    <n v="82.24"/>
    <n v="19.010000000000002"/>
    <n v="0"/>
  </r>
  <r>
    <s v="ORD-001517"/>
    <s v="C-0629"/>
    <d v="2024-09-23T00:00:00"/>
    <s v="Website"/>
    <s v="Buy Now Pay Later"/>
    <s v="West Coast"/>
    <n v="2"/>
    <x v="1"/>
    <n v="47.66"/>
    <n v="0"/>
    <n v="0"/>
    <n v="27.78"/>
    <n v="22.37"/>
    <n v="0"/>
    <n v="1.68"/>
    <s v="No"/>
    <n v="0"/>
    <n v="47.66"/>
    <n v="51.83"/>
    <n v="-4.17"/>
    <n v="0"/>
  </r>
  <r>
    <s v="ORD-001518"/>
    <s v="C-0760"/>
    <d v="2024-02-22T00:00:00"/>
    <s v="Social Commerce"/>
    <s v="Credit Card"/>
    <s v="Southeast"/>
    <n v="1"/>
    <x v="5"/>
    <n v="48.08"/>
    <n v="0"/>
    <n v="0"/>
    <n v="15.26"/>
    <n v="34.07"/>
    <n v="3.85"/>
    <n v="1.69"/>
    <s v="No"/>
    <n v="0"/>
    <n v="48.08"/>
    <n v="54.87"/>
    <n v="-6.79"/>
    <n v="0"/>
  </r>
  <r>
    <s v="ORD-001519"/>
    <s v="C-0335"/>
    <d v="2025-01-21T00:00:00"/>
    <s v="Marketplace"/>
    <s v="Credit Card"/>
    <s v="Northeast"/>
    <n v="2"/>
    <x v="1"/>
    <n v="75.09"/>
    <n v="0"/>
    <n v="0"/>
    <n v="56.86"/>
    <n v="44.4"/>
    <n v="11.26"/>
    <n v="2.48"/>
    <s v="No"/>
    <n v="0"/>
    <n v="75.09"/>
    <n v="115"/>
    <n v="-39.909999999999997"/>
    <n v="0"/>
  </r>
  <r>
    <s v="ORD-001520"/>
    <s v="C-0612"/>
    <d v="2025-05-13T00:00:00"/>
    <s v="Website"/>
    <s v="Buy Now Pay Later"/>
    <s v="Midwest"/>
    <n v="1"/>
    <x v="3"/>
    <n v="159.63"/>
    <n v="0"/>
    <n v="0"/>
    <n v="11.94"/>
    <n v="109.17"/>
    <n v="0"/>
    <n v="4.93"/>
    <s v="No"/>
    <n v="0"/>
    <n v="159.63"/>
    <n v="126.04"/>
    <n v="33.590000000000003"/>
    <n v="0"/>
  </r>
  <r>
    <s v="ORD-001521"/>
    <s v="C-0173"/>
    <d v="2025-02-15T00:00:00"/>
    <s v="Website"/>
    <s v="Credit Card"/>
    <s v="Southwest"/>
    <n v="1"/>
    <x v="4"/>
    <n v="62.28"/>
    <n v="5"/>
    <n v="3.11"/>
    <n v="10.54"/>
    <n v="23.32"/>
    <n v="0"/>
    <n v="2.02"/>
    <s v="No"/>
    <n v="0"/>
    <n v="59.17"/>
    <n v="35.880000000000003"/>
    <n v="23.29"/>
    <n v="0"/>
  </r>
  <r>
    <s v="ORD-001522"/>
    <s v="C-0233"/>
    <d v="2025-07-23T00:00:00"/>
    <s v="Mobile App"/>
    <s v="Credit Card"/>
    <s v="Midwest"/>
    <n v="1"/>
    <x v="7"/>
    <n v="104.73"/>
    <n v="10"/>
    <n v="10.47"/>
    <n v="14.94"/>
    <n v="34.15"/>
    <n v="0"/>
    <n v="3.03"/>
    <s v="No"/>
    <n v="0"/>
    <n v="94.26"/>
    <n v="52.12"/>
    <n v="42.14"/>
    <n v="0"/>
  </r>
  <r>
    <s v="ORD-001523"/>
    <s v="C-0437"/>
    <d v="2024-08-04T00:00:00"/>
    <s v="Website"/>
    <s v="Credit Card"/>
    <s v="Southwest"/>
    <n v="1"/>
    <x v="3"/>
    <n v="72.98"/>
    <n v="5"/>
    <n v="3.65"/>
    <n v="24.76"/>
    <n v="30.4"/>
    <n v="0"/>
    <n v="2.31"/>
    <s v="No"/>
    <n v="0"/>
    <n v="69.33"/>
    <n v="57.47"/>
    <n v="11.86"/>
    <n v="0"/>
  </r>
  <r>
    <s v="ORD-001524"/>
    <s v="C-0337"/>
    <d v="2025-05-18T00:00:00"/>
    <s v="Social Commerce"/>
    <s v="Credit Card"/>
    <s v="Northeast"/>
    <n v="1"/>
    <x v="5"/>
    <n v="28.96"/>
    <n v="0"/>
    <n v="0"/>
    <n v="9.02"/>
    <n v="8.3000000000000007"/>
    <n v="2.3199999999999998"/>
    <n v="1.1399999999999999"/>
    <s v="No"/>
    <n v="0"/>
    <n v="28.96"/>
    <n v="20.78"/>
    <n v="8.18"/>
    <n v="0"/>
  </r>
  <r>
    <s v="ORD-001525"/>
    <s v="C-0234"/>
    <d v="2024-08-28T00:00:00"/>
    <s v="Social Commerce"/>
    <s v="Gift Card"/>
    <s v="Midwest"/>
    <n v="4"/>
    <x v="7"/>
    <n v="155.47"/>
    <n v="5"/>
    <n v="7.77"/>
    <n v="33.92"/>
    <n v="56.61"/>
    <n v="11.82"/>
    <n v="4.58"/>
    <s v="No"/>
    <n v="0"/>
    <n v="147.69999999999999"/>
    <n v="106.93"/>
    <n v="40.770000000000003"/>
    <n v="0"/>
  </r>
  <r>
    <s v="ORD-001526"/>
    <s v="C-0165"/>
    <d v="2025-08-30T00:00:00"/>
    <s v="Social Commerce"/>
    <s v="PayPal"/>
    <s v="Southwest"/>
    <n v="2"/>
    <x v="7"/>
    <n v="234.21"/>
    <n v="15"/>
    <n v="35.130000000000003"/>
    <n v="25.32"/>
    <n v="79.78"/>
    <n v="15.93"/>
    <n v="6.07"/>
    <s v="No"/>
    <n v="0"/>
    <n v="199.08"/>
    <n v="127.1"/>
    <n v="71.98"/>
    <n v="0"/>
  </r>
  <r>
    <s v="ORD-001527"/>
    <s v="C-0325"/>
    <d v="2024-07-27T00:00:00"/>
    <s v="Mobile App"/>
    <s v="Debit Card"/>
    <s v="Midwest"/>
    <n v="3"/>
    <x v="3"/>
    <n v="241.62"/>
    <n v="10"/>
    <n v="24.16"/>
    <n v="26.1"/>
    <n v="78.06"/>
    <n v="0"/>
    <n v="6.61"/>
    <s v="No"/>
    <n v="0"/>
    <n v="217.46"/>
    <n v="110.77"/>
    <n v="106.69"/>
    <n v="0"/>
  </r>
  <r>
    <s v="ORD-001528"/>
    <s v="C-0602"/>
    <d v="2025-09-17T00:00:00"/>
    <s v="Website"/>
    <s v="Credit Card"/>
    <s v="Northeast"/>
    <n v="2"/>
    <x v="0"/>
    <n v="303.47000000000003"/>
    <n v="15"/>
    <n v="45.52"/>
    <n v="33.92"/>
    <n v="137.19999999999999"/>
    <n v="0"/>
    <n v="7.78"/>
    <s v="No"/>
    <n v="0"/>
    <n v="257.95"/>
    <n v="178.9"/>
    <n v="79.05"/>
    <n v="0"/>
  </r>
  <r>
    <s v="ORD-001529"/>
    <s v="C-0356"/>
    <d v="2025-03-08T00:00:00"/>
    <s v="Mobile App"/>
    <s v="Debit Card"/>
    <s v="Northeast"/>
    <n v="2"/>
    <x v="3"/>
    <n v="262.56"/>
    <n v="0"/>
    <n v="0"/>
    <n v="22.44"/>
    <n v="95.11"/>
    <n v="0"/>
    <n v="7.91"/>
    <s v="No"/>
    <n v="0"/>
    <n v="262.56"/>
    <n v="125.46"/>
    <n v="137.1"/>
    <n v="0"/>
  </r>
  <r>
    <s v="ORD-001530"/>
    <s v="C-0766"/>
    <d v="2025-04-14T00:00:00"/>
    <s v="Website"/>
    <s v="Buy Now Pay Later"/>
    <s v="Southeast"/>
    <n v="1"/>
    <x v="7"/>
    <n v="33.22"/>
    <n v="15"/>
    <n v="4.9800000000000004"/>
    <n v="8.94"/>
    <n v="19.46"/>
    <n v="0"/>
    <n v="1.1200000000000001"/>
    <s v="No"/>
    <n v="0"/>
    <n v="28.24"/>
    <n v="29.52"/>
    <n v="-1.28"/>
    <n v="0"/>
  </r>
  <r>
    <s v="ORD-001531"/>
    <s v="C-0521"/>
    <d v="2025-10-29T00:00:00"/>
    <s v="Website"/>
    <s v="Debit Card"/>
    <s v="Southwest"/>
    <n v="2"/>
    <x v="3"/>
    <n v="173.3"/>
    <n v="10"/>
    <n v="17.329999999999998"/>
    <n v="11.72"/>
    <n v="64.33"/>
    <n v="0"/>
    <n v="4.82"/>
    <s v="No"/>
    <n v="0"/>
    <n v="155.97"/>
    <n v="80.87"/>
    <n v="75.099999999999994"/>
    <n v="0"/>
  </r>
  <r>
    <s v="ORD-001532"/>
    <s v="C-0579"/>
    <d v="2024-08-15T00:00:00"/>
    <s v="Website"/>
    <s v="Credit Card"/>
    <s v="Southeast"/>
    <n v="2"/>
    <x v="2"/>
    <n v="105.2"/>
    <n v="15"/>
    <n v="15.78"/>
    <n v="22.2"/>
    <n v="31.58"/>
    <n v="0"/>
    <n v="2.89"/>
    <s v="No"/>
    <n v="0"/>
    <n v="89.42"/>
    <n v="56.67"/>
    <n v="32.75"/>
    <n v="0"/>
  </r>
  <r>
    <s v="ORD-001533"/>
    <s v="C-0186"/>
    <d v="2024-10-28T00:00:00"/>
    <s v="Mobile App"/>
    <s v="Credit Card"/>
    <s v="Southeast"/>
    <n v="1"/>
    <x v="7"/>
    <n v="62.18"/>
    <n v="0"/>
    <n v="0"/>
    <n v="6.06"/>
    <n v="26.96"/>
    <n v="0"/>
    <n v="2.1"/>
    <s v="No"/>
    <n v="0"/>
    <n v="62.18"/>
    <n v="35.119999999999997"/>
    <n v="27.06"/>
    <n v="0"/>
  </r>
  <r>
    <s v="ORD-001534"/>
    <s v="C-0421"/>
    <d v="2025-08-09T00:00:00"/>
    <s v="Marketplace"/>
    <s v="Debit Card"/>
    <s v="Southeast"/>
    <n v="2"/>
    <x v="5"/>
    <n v="61.35"/>
    <n v="5"/>
    <n v="3.07"/>
    <n v="49.44"/>
    <n v="33.46"/>
    <n v="8.74"/>
    <n v="1.99"/>
    <s v="No"/>
    <n v="0"/>
    <n v="58.28"/>
    <n v="93.63"/>
    <n v="-35.35"/>
    <n v="0"/>
  </r>
  <r>
    <s v="ORD-001535"/>
    <s v="C-0044"/>
    <d v="2025-09-04T00:00:00"/>
    <s v="Website"/>
    <s v="Gift Card"/>
    <s v="Northeast"/>
    <n v="3"/>
    <x v="0"/>
    <n v="274.58999999999997"/>
    <n v="10"/>
    <n v="27.46"/>
    <n v="17.46"/>
    <n v="96.04"/>
    <n v="0"/>
    <n v="7.47"/>
    <s v="No"/>
    <n v="0"/>
    <n v="247.13"/>
    <n v="120.97"/>
    <n v="126.16"/>
    <n v="0"/>
  </r>
  <r>
    <s v="ORD-001536"/>
    <s v="C-0494"/>
    <d v="2025-02-23T00:00:00"/>
    <s v="Website"/>
    <s v="Debit Card"/>
    <s v="Southwest"/>
    <n v="2"/>
    <x v="3"/>
    <n v="48.92"/>
    <n v="5"/>
    <n v="2.4500000000000002"/>
    <n v="21.4"/>
    <n v="17.09"/>
    <n v="0"/>
    <n v="1.65"/>
    <s v="No"/>
    <n v="0"/>
    <n v="46.47"/>
    <n v="40.14"/>
    <n v="6.33"/>
    <n v="0"/>
  </r>
  <r>
    <s v="ORD-001537"/>
    <s v="C-0181"/>
    <d v="2025-11-05T00:00:00"/>
    <s v="Marketplace"/>
    <s v="Credit Card"/>
    <s v="West Coast"/>
    <n v="1"/>
    <x v="4"/>
    <n v="63.94"/>
    <n v="0"/>
    <n v="0"/>
    <n v="8.4600000000000009"/>
    <n v="20.51"/>
    <n v="9.59"/>
    <n v="2.15"/>
    <s v="No"/>
    <n v="0"/>
    <n v="63.94"/>
    <n v="40.71"/>
    <n v="23.23"/>
    <n v="0"/>
  </r>
  <r>
    <s v="ORD-001538"/>
    <s v="C-0368"/>
    <d v="2025-09-27T00:00:00"/>
    <s v="Marketplace"/>
    <s v="Credit Card"/>
    <s v="Southeast"/>
    <n v="1"/>
    <x v="1"/>
    <n v="18.829999999999998"/>
    <n v="25"/>
    <n v="4.71"/>
    <n v="9.9"/>
    <n v="11.04"/>
    <n v="2.12"/>
    <n v="0.71"/>
    <s v="No"/>
    <n v="0"/>
    <n v="14.12"/>
    <n v="23.77"/>
    <n v="-9.65"/>
    <n v="0"/>
  </r>
  <r>
    <s v="ORD-001539"/>
    <s v="C-0676"/>
    <d v="2024-09-20T00:00:00"/>
    <s v="Mobile App"/>
    <s v="PayPal"/>
    <s v="Midwest"/>
    <n v="1"/>
    <x v="3"/>
    <n v="29.59"/>
    <n v="20"/>
    <n v="5.92"/>
    <n v="4.7"/>
    <n v="12.42"/>
    <n v="0"/>
    <n v="0.99"/>
    <s v="No"/>
    <n v="0"/>
    <n v="23.67"/>
    <n v="18.11"/>
    <n v="5.56"/>
    <n v="0"/>
  </r>
  <r>
    <s v="ORD-001540"/>
    <s v="C-0097"/>
    <d v="2024-12-30T00:00:00"/>
    <s v="Marketplace"/>
    <s v="PayPal"/>
    <s v="West Coast"/>
    <n v="2"/>
    <x v="0"/>
    <n v="415.22"/>
    <n v="20"/>
    <n v="83.04"/>
    <n v="23.32"/>
    <n v="126.47"/>
    <n v="49.83"/>
    <n v="9.93"/>
    <s v="No"/>
    <n v="0"/>
    <n v="332.18"/>
    <n v="209.55"/>
    <n v="122.63"/>
    <n v="0"/>
  </r>
  <r>
    <s v="ORD-001541"/>
    <s v="C-0356"/>
    <d v="2025-06-08T00:00:00"/>
    <s v="Mobile App"/>
    <s v="PayPal"/>
    <s v="Northeast"/>
    <n v="1"/>
    <x v="4"/>
    <n v="25.84"/>
    <n v="5"/>
    <n v="1.29"/>
    <n v="14.78"/>
    <n v="9.89"/>
    <n v="0"/>
    <n v="1.01"/>
    <s v="No"/>
    <n v="0"/>
    <n v="24.55"/>
    <n v="25.68"/>
    <n v="-1.1299999999999999"/>
    <n v="0"/>
  </r>
  <r>
    <s v="ORD-001542"/>
    <s v="C-0466"/>
    <d v="2024-04-23T00:00:00"/>
    <s v="Mobile App"/>
    <s v="Buy Now Pay Later"/>
    <s v="Northeast"/>
    <n v="4"/>
    <x v="6"/>
    <n v="439.18"/>
    <n v="0"/>
    <n v="0"/>
    <n v="50.86"/>
    <n v="144.86000000000001"/>
    <n v="0"/>
    <n v="13.04"/>
    <s v="No"/>
    <n v="0"/>
    <n v="439.18"/>
    <n v="208.76"/>
    <n v="230.42"/>
    <n v="0"/>
  </r>
  <r>
    <s v="ORD-001543"/>
    <s v="C-0421"/>
    <d v="2024-10-31T00:00:00"/>
    <s v="Mobile App"/>
    <s v="Credit Card"/>
    <s v="Midwest"/>
    <n v="2"/>
    <x v="2"/>
    <n v="114.39"/>
    <n v="15"/>
    <n v="17.16"/>
    <n v="21.88"/>
    <n v="44.87"/>
    <n v="0"/>
    <n v="3.12"/>
    <s v="No"/>
    <n v="0"/>
    <n v="97.23"/>
    <n v="69.87"/>
    <n v="27.36"/>
    <n v="0"/>
  </r>
  <r>
    <s v="ORD-001544"/>
    <s v="C-0194"/>
    <d v="2024-08-09T00:00:00"/>
    <s v="Marketplace"/>
    <s v="Credit Card"/>
    <s v="Northeast"/>
    <n v="1"/>
    <x v="5"/>
    <n v="27.16"/>
    <n v="0"/>
    <n v="0"/>
    <n v="11.34"/>
    <n v="13.64"/>
    <n v="4.07"/>
    <n v="1.0900000000000001"/>
    <s v="No"/>
    <n v="0"/>
    <n v="27.16"/>
    <n v="30.14"/>
    <n v="-2.98"/>
    <n v="0"/>
  </r>
  <r>
    <s v="ORD-001545"/>
    <s v="C-0538"/>
    <d v="2025-09-16T00:00:00"/>
    <s v="Mobile App"/>
    <s v="Credit Card"/>
    <s v="Southeast"/>
    <n v="1"/>
    <x v="0"/>
    <n v="89.97"/>
    <n v="0"/>
    <n v="0"/>
    <n v="27.78"/>
    <n v="40.53"/>
    <n v="0"/>
    <n v="2.91"/>
    <s v="No"/>
    <n v="0"/>
    <n v="89.97"/>
    <n v="71.22"/>
    <n v="18.75"/>
    <n v="0"/>
  </r>
  <r>
    <s v="ORD-001546"/>
    <s v="C-0194"/>
    <d v="2025-04-05T00:00:00"/>
    <s v="Mobile App"/>
    <s v="Buy Now Pay Later"/>
    <s v="West Coast"/>
    <n v="3"/>
    <x v="7"/>
    <n v="235.07"/>
    <n v="0"/>
    <n v="0"/>
    <n v="38.4"/>
    <n v="126.79"/>
    <n v="0"/>
    <n v="7.12"/>
    <s v="No"/>
    <n v="0"/>
    <n v="235.07"/>
    <n v="172.31"/>
    <n v="62.76"/>
    <n v="0"/>
  </r>
  <r>
    <s v="ORD-001547"/>
    <s v="C-0033"/>
    <d v="2024-09-14T00:00:00"/>
    <s v="Social Commerce"/>
    <s v="PayPal"/>
    <s v="West Coast"/>
    <n v="4"/>
    <x v="6"/>
    <n v="213.22"/>
    <n v="20"/>
    <n v="42.64"/>
    <n v="41.36"/>
    <n v="88.02"/>
    <n v="13.65"/>
    <n v="5.25"/>
    <s v="Yes"/>
    <n v="170.58"/>
    <n v="0"/>
    <n v="148.28"/>
    <n v="-148.28"/>
    <n v="0"/>
  </r>
  <r>
    <s v="ORD-001548"/>
    <s v="C-0229"/>
    <d v="2025-10-06T00:00:00"/>
    <s v="Social Commerce"/>
    <s v="PayPal"/>
    <s v="Southwest"/>
    <n v="5"/>
    <x v="2"/>
    <n v="424.57"/>
    <n v="0"/>
    <n v="0"/>
    <n v="111.24"/>
    <n v="214.22"/>
    <n v="33.97"/>
    <n v="12.61"/>
    <s v="No"/>
    <n v="0"/>
    <n v="424.57"/>
    <n v="372.04"/>
    <n v="52.53"/>
    <n v="0"/>
  </r>
  <r>
    <s v="ORD-001549"/>
    <s v="C-0181"/>
    <d v="2024-09-12T00:00:00"/>
    <s v="Marketplace"/>
    <s v="PayPal"/>
    <s v="Southwest"/>
    <n v="2"/>
    <x v="0"/>
    <n v="249.5"/>
    <n v="10"/>
    <n v="24.95"/>
    <n v="18.2"/>
    <n v="90.18"/>
    <n v="33.68"/>
    <n v="6.81"/>
    <s v="No"/>
    <n v="0"/>
    <n v="224.55"/>
    <n v="148.87"/>
    <n v="75.680000000000007"/>
    <n v="1"/>
  </r>
  <r>
    <s v="ORD-001550"/>
    <s v="C-0437"/>
    <d v="2024-04-14T00:00:00"/>
    <s v="Mobile App"/>
    <s v="Buy Now Pay Later"/>
    <s v="Northeast"/>
    <n v="1"/>
    <x v="0"/>
    <n v="73.73"/>
    <n v="10"/>
    <n v="7.37"/>
    <n v="9.34"/>
    <n v="48.17"/>
    <n v="0"/>
    <n v="2.2200000000000002"/>
    <s v="Yes"/>
    <n v="66.36"/>
    <n v="0"/>
    <n v="59.73"/>
    <n v="-59.73"/>
    <n v="0"/>
  </r>
  <r>
    <s v="ORD-001551"/>
    <s v="C-0576"/>
    <d v="2025-09-09T00:00:00"/>
    <s v="Mobile App"/>
    <s v="Credit Card"/>
    <s v="Midwest"/>
    <n v="2"/>
    <x v="4"/>
    <n v="146.71"/>
    <n v="0"/>
    <n v="0"/>
    <n v="31.78"/>
    <n v="54.3"/>
    <n v="0"/>
    <n v="4.55"/>
    <s v="Yes"/>
    <n v="146.71"/>
    <n v="0"/>
    <n v="90.63"/>
    <n v="-90.63"/>
    <n v="0"/>
  </r>
  <r>
    <s v="ORD-001552"/>
    <s v="C-0295"/>
    <d v="2024-06-04T00:00:00"/>
    <s v="Mobile App"/>
    <s v="Credit Card"/>
    <s v="Northeast"/>
    <n v="1"/>
    <x v="0"/>
    <n v="34"/>
    <n v="0"/>
    <n v="0"/>
    <n v="13.66"/>
    <n v="21.92"/>
    <n v="0"/>
    <n v="1.29"/>
    <s v="No"/>
    <n v="0"/>
    <n v="34"/>
    <n v="36.869999999999997"/>
    <n v="-2.87"/>
    <n v="1"/>
  </r>
  <r>
    <s v="ORD-001553"/>
    <s v="C-0367"/>
    <d v="2025-08-22T00:00:00"/>
    <s v="Website"/>
    <s v="Gift Card"/>
    <s v="Southwest"/>
    <n v="5"/>
    <x v="0"/>
    <n v="159.91"/>
    <n v="5"/>
    <n v="8"/>
    <n v="47.78"/>
    <n v="60.88"/>
    <n v="0"/>
    <n v="4.71"/>
    <s v="No"/>
    <n v="0"/>
    <n v="151.91"/>
    <n v="113.37"/>
    <n v="38.54"/>
    <n v="1"/>
  </r>
  <r>
    <s v="ORD-001554"/>
    <s v="C-0230"/>
    <d v="2024-10-29T00:00:00"/>
    <s v="Mobile App"/>
    <s v="PayPal"/>
    <s v="Midwest"/>
    <n v="1"/>
    <x v="7"/>
    <n v="26.25"/>
    <n v="0"/>
    <n v="0"/>
    <n v="7.18"/>
    <n v="10.78"/>
    <n v="0"/>
    <n v="1.06"/>
    <s v="No"/>
    <n v="0"/>
    <n v="26.25"/>
    <n v="19.02"/>
    <n v="7.23"/>
    <n v="0"/>
  </r>
  <r>
    <s v="ORD-001555"/>
    <s v="C-0249"/>
    <d v="2025-05-20T00:00:00"/>
    <s v="Website"/>
    <s v="PayPal"/>
    <s v="Midwest"/>
    <n v="4"/>
    <x v="4"/>
    <n v="130.66"/>
    <n v="10"/>
    <n v="13.07"/>
    <n v="37.840000000000003"/>
    <n v="64.25"/>
    <n v="0"/>
    <n v="3.71"/>
    <s v="Yes"/>
    <n v="117.59"/>
    <n v="0"/>
    <n v="105.8"/>
    <n v="-105.8"/>
    <n v="0"/>
  </r>
  <r>
    <s v="ORD-001556"/>
    <s v="C-0380"/>
    <d v="2024-03-26T00:00:00"/>
    <s v="Social Commerce"/>
    <s v="PayPal"/>
    <s v="Southeast"/>
    <n v="3"/>
    <x v="7"/>
    <n v="565.02"/>
    <n v="0"/>
    <n v="0"/>
    <n v="46.68"/>
    <n v="185.2"/>
    <n v="45.2"/>
    <n v="16.690000000000001"/>
    <s v="No"/>
    <n v="0"/>
    <n v="565.02"/>
    <n v="293.77"/>
    <n v="271.25"/>
    <n v="0"/>
  </r>
  <r>
    <s v="ORD-001557"/>
    <s v="C-0670"/>
    <d v="2025-08-16T00:00:00"/>
    <s v="Website"/>
    <s v="PayPal"/>
    <s v="Southeast"/>
    <n v="1"/>
    <x v="4"/>
    <n v="24.88"/>
    <n v="10"/>
    <n v="2.4900000000000002"/>
    <n v="7.02"/>
    <n v="13.77"/>
    <n v="0"/>
    <n v="0.95"/>
    <s v="No"/>
    <n v="0"/>
    <n v="22.39"/>
    <n v="21.74"/>
    <n v="0.65"/>
    <n v="1"/>
  </r>
  <r>
    <s v="ORD-001558"/>
    <s v="C-0521"/>
    <d v="2025-07-12T00:00:00"/>
    <s v="Website"/>
    <s v="PayPal"/>
    <s v="West Coast"/>
    <n v="1"/>
    <x v="3"/>
    <n v="14.58"/>
    <n v="0"/>
    <n v="0"/>
    <n v="9.1"/>
    <n v="4.3600000000000003"/>
    <n v="0"/>
    <n v="0.72"/>
    <s v="No"/>
    <n v="0"/>
    <n v="14.58"/>
    <n v="14.18"/>
    <n v="0.4"/>
    <n v="0"/>
  </r>
  <r>
    <s v="ORD-001559"/>
    <s v="C-0360"/>
    <d v="2025-07-28T00:00:00"/>
    <s v="Marketplace"/>
    <s v="Debit Card"/>
    <s v="West Coast"/>
    <n v="1"/>
    <x v="0"/>
    <n v="137.96"/>
    <n v="5"/>
    <n v="6.9"/>
    <n v="29.08"/>
    <n v="50.78"/>
    <n v="19.66"/>
    <n v="4.0999999999999996"/>
    <s v="No"/>
    <n v="0"/>
    <n v="131.06"/>
    <n v="103.62"/>
    <n v="27.44"/>
    <n v="0"/>
  </r>
  <r>
    <s v="ORD-001560"/>
    <s v="C-0334"/>
    <d v="2024-07-12T00:00:00"/>
    <s v="Mobile App"/>
    <s v="Credit Card"/>
    <s v="Southeast"/>
    <n v="2"/>
    <x v="1"/>
    <n v="48.82"/>
    <n v="15"/>
    <n v="7.32"/>
    <n v="19.16"/>
    <n v="24.55"/>
    <n v="0"/>
    <n v="1.5"/>
    <s v="No"/>
    <n v="0"/>
    <n v="41.5"/>
    <n v="45.21"/>
    <n v="-3.71"/>
    <n v="0"/>
  </r>
  <r>
    <s v="ORD-001561"/>
    <s v="C-0743"/>
    <d v="2025-01-12T00:00:00"/>
    <s v="Marketplace"/>
    <s v="Debit Card"/>
    <s v="Southwest"/>
    <n v="1"/>
    <x v="6"/>
    <n v="26.5"/>
    <n v="10"/>
    <n v="2.65"/>
    <n v="5.5"/>
    <n v="8.06"/>
    <n v="3.58"/>
    <n v="0.99"/>
    <s v="No"/>
    <n v="0"/>
    <n v="23.85"/>
    <n v="18.13"/>
    <n v="5.72"/>
    <n v="0"/>
  </r>
  <r>
    <s v="ORD-001562"/>
    <s v="C-0502"/>
    <d v="2024-10-21T00:00:00"/>
    <s v="Website"/>
    <s v="Credit Card"/>
    <s v="Midwest"/>
    <n v="1"/>
    <x v="1"/>
    <n v="8.3000000000000007"/>
    <n v="10"/>
    <n v="0.83"/>
    <n v="13.18"/>
    <n v="3.65"/>
    <n v="0"/>
    <n v="0.52"/>
    <s v="No"/>
    <n v="0"/>
    <n v="7.47"/>
    <n v="17.350000000000001"/>
    <n v="-9.8800000000000008"/>
    <n v="0"/>
  </r>
  <r>
    <s v="ORD-001563"/>
    <s v="C-0422"/>
    <d v="2025-08-13T00:00:00"/>
    <s v="Mobile App"/>
    <s v="Credit Card"/>
    <s v="Midwest"/>
    <n v="5"/>
    <x v="4"/>
    <n v="319.60000000000002"/>
    <n v="0"/>
    <n v="0"/>
    <n v="44.6"/>
    <n v="126.2"/>
    <n v="0"/>
    <n v="9.57"/>
    <s v="No"/>
    <n v="0"/>
    <n v="319.60000000000002"/>
    <n v="180.37"/>
    <n v="139.22999999999999"/>
    <n v="0"/>
  </r>
  <r>
    <s v="ORD-001564"/>
    <s v="C-0619"/>
    <d v="2025-03-08T00:00:00"/>
    <s v="Website"/>
    <s v="Credit Card"/>
    <s v="Midwest"/>
    <n v="1"/>
    <x v="7"/>
    <n v="47.07"/>
    <n v="0"/>
    <n v="0"/>
    <n v="28.02"/>
    <n v="14.01"/>
    <n v="0"/>
    <n v="1.67"/>
    <s v="No"/>
    <n v="0"/>
    <n v="47.07"/>
    <n v="43.7"/>
    <n v="3.37"/>
    <n v="0"/>
  </r>
  <r>
    <s v="ORD-001565"/>
    <s v="C-0582"/>
    <d v="2024-06-14T00:00:00"/>
    <s v="Website"/>
    <s v="Credit Card"/>
    <s v="Midwest"/>
    <n v="2"/>
    <x v="6"/>
    <n v="134.28"/>
    <n v="20"/>
    <n v="26.86"/>
    <n v="17.72"/>
    <n v="43.02"/>
    <n v="0"/>
    <n v="3.42"/>
    <s v="No"/>
    <n v="0"/>
    <n v="107.42"/>
    <n v="64.16"/>
    <n v="43.26"/>
    <n v="0"/>
  </r>
  <r>
    <s v="ORD-001566"/>
    <s v="C-0222"/>
    <d v="2024-11-07T00:00:00"/>
    <s v="Website"/>
    <s v="PayPal"/>
    <s v="West Coast"/>
    <n v="2"/>
    <x v="2"/>
    <n v="179.56"/>
    <n v="0"/>
    <n v="0"/>
    <n v="19.2"/>
    <n v="85.56"/>
    <n v="0"/>
    <n v="5.51"/>
    <s v="No"/>
    <n v="0"/>
    <n v="179.56"/>
    <n v="110.27"/>
    <n v="69.290000000000006"/>
    <n v="0"/>
  </r>
  <r>
    <s v="ORD-001567"/>
    <s v="C-0685"/>
    <d v="2025-12-14T00:00:00"/>
    <s v="Website"/>
    <s v="Buy Now Pay Later"/>
    <s v="West Coast"/>
    <n v="1"/>
    <x v="1"/>
    <n v="16.16"/>
    <n v="0"/>
    <n v="0"/>
    <n v="4.54"/>
    <n v="7.01"/>
    <n v="0"/>
    <n v="0.77"/>
    <s v="No"/>
    <n v="0"/>
    <n v="16.16"/>
    <n v="12.32"/>
    <n v="3.84"/>
    <n v="0"/>
  </r>
  <r>
    <s v="ORD-001568"/>
    <s v="C-0760"/>
    <d v="2025-06-21T00:00:00"/>
    <s v="Mobile App"/>
    <s v="Credit Card"/>
    <s v="Southeast"/>
    <n v="2"/>
    <x v="0"/>
    <n v="159.54"/>
    <n v="5"/>
    <n v="7.98"/>
    <n v="15.96"/>
    <n v="50.07"/>
    <n v="0"/>
    <n v="4.7"/>
    <s v="No"/>
    <n v="0"/>
    <n v="151.56"/>
    <n v="70.73"/>
    <n v="80.83"/>
    <n v="0"/>
  </r>
  <r>
    <s v="ORD-001569"/>
    <s v="C-0770"/>
    <d v="2024-10-30T00:00:00"/>
    <s v="Mobile App"/>
    <s v="Credit Card"/>
    <s v="Southeast"/>
    <n v="1"/>
    <x v="6"/>
    <n v="16.100000000000001"/>
    <n v="0"/>
    <n v="0"/>
    <n v="12.62"/>
    <n v="5.42"/>
    <n v="0"/>
    <n v="0.77"/>
    <s v="No"/>
    <n v="0"/>
    <n v="16.100000000000001"/>
    <n v="18.809999999999999"/>
    <n v="-2.71"/>
    <n v="0"/>
  </r>
  <r>
    <s v="ORD-001570"/>
    <s v="C-0447"/>
    <d v="2025-07-04T00:00:00"/>
    <s v="Marketplace"/>
    <s v="Credit Card"/>
    <s v="Southeast"/>
    <n v="2"/>
    <x v="7"/>
    <n v="148.76"/>
    <n v="20"/>
    <n v="29.75"/>
    <n v="21.32"/>
    <n v="67.010000000000005"/>
    <n v="17.850000000000001"/>
    <n v="3.75"/>
    <s v="No"/>
    <n v="0"/>
    <n v="119.01"/>
    <n v="109.93"/>
    <n v="9.08"/>
    <n v="0"/>
  </r>
  <r>
    <s v="ORD-001571"/>
    <s v="C-0489"/>
    <d v="2025-04-30T00:00:00"/>
    <s v="Website"/>
    <s v="PayPal"/>
    <s v="Midwest"/>
    <n v="1"/>
    <x v="2"/>
    <n v="29.5"/>
    <n v="10"/>
    <n v="2.95"/>
    <n v="11.74"/>
    <n v="16.62"/>
    <n v="0"/>
    <n v="1.07"/>
    <s v="No"/>
    <n v="0"/>
    <n v="26.55"/>
    <n v="29.43"/>
    <n v="-2.88"/>
    <n v="0"/>
  </r>
  <r>
    <s v="ORD-001572"/>
    <s v="C-0770"/>
    <d v="2025-06-08T00:00:00"/>
    <s v="Mobile App"/>
    <s v="Credit Card"/>
    <s v="Midwest"/>
    <n v="4"/>
    <x v="1"/>
    <n v="182.53"/>
    <n v="0"/>
    <n v="0"/>
    <n v="49.12"/>
    <n v="64.180000000000007"/>
    <n v="0"/>
    <n v="5.59"/>
    <s v="No"/>
    <n v="0"/>
    <n v="182.53"/>
    <n v="118.89"/>
    <n v="63.64"/>
    <n v="0"/>
  </r>
  <r>
    <s v="ORD-001573"/>
    <s v="C-0574"/>
    <d v="2024-12-11T00:00:00"/>
    <s v="Social Commerce"/>
    <s v="Buy Now Pay Later"/>
    <s v="West Coast"/>
    <n v="1"/>
    <x v="4"/>
    <n v="61.71"/>
    <n v="5"/>
    <n v="3.09"/>
    <n v="21.06"/>
    <n v="22.08"/>
    <n v="4.6900000000000004"/>
    <n v="2"/>
    <s v="No"/>
    <n v="0"/>
    <n v="58.62"/>
    <n v="49.83"/>
    <n v="8.7899999999999991"/>
    <n v="0"/>
  </r>
  <r>
    <s v="ORD-001574"/>
    <s v="C-0153"/>
    <d v="2025-05-07T00:00:00"/>
    <s v="Marketplace"/>
    <s v="Credit Card"/>
    <s v="Midwest"/>
    <n v="4"/>
    <x v="3"/>
    <n v="297.86"/>
    <n v="25"/>
    <n v="74.459999999999994"/>
    <n v="53.82"/>
    <n v="120.51"/>
    <n v="33.51"/>
    <n v="6.78"/>
    <s v="No"/>
    <n v="0"/>
    <n v="223.4"/>
    <n v="214.62"/>
    <n v="8.7799999999999994"/>
    <n v="0"/>
  </r>
  <r>
    <s v="ORD-001575"/>
    <s v="C-0689"/>
    <d v="2025-03-09T00:00:00"/>
    <s v="Website"/>
    <s v="Credit Card"/>
    <s v="Northeast"/>
    <n v="2"/>
    <x v="3"/>
    <n v="303.11"/>
    <n v="5"/>
    <n v="15.16"/>
    <n v="34.700000000000003"/>
    <n v="129.97"/>
    <n v="0"/>
    <n v="8.65"/>
    <s v="No"/>
    <n v="0"/>
    <n v="287.95"/>
    <n v="173.32"/>
    <n v="114.63"/>
    <n v="0"/>
  </r>
  <r>
    <s v="ORD-001576"/>
    <s v="C-0366"/>
    <d v="2025-08-12T00:00:00"/>
    <s v="Mobile App"/>
    <s v="PayPal"/>
    <s v="Southeast"/>
    <n v="2"/>
    <x v="3"/>
    <n v="96.94"/>
    <n v="0"/>
    <n v="0"/>
    <n v="20.28"/>
    <n v="48.4"/>
    <n v="0"/>
    <n v="3.11"/>
    <s v="No"/>
    <n v="0"/>
    <n v="96.94"/>
    <n v="71.790000000000006"/>
    <n v="25.15"/>
    <n v="0"/>
  </r>
  <r>
    <s v="ORD-001577"/>
    <s v="C-0702"/>
    <d v="2024-09-26T00:00:00"/>
    <s v="Mobile App"/>
    <s v="Gift Card"/>
    <s v="West Coast"/>
    <n v="3"/>
    <x v="3"/>
    <n v="82.14"/>
    <n v="0"/>
    <n v="0"/>
    <n v="16.420000000000002"/>
    <n v="31.89"/>
    <n v="0"/>
    <n v="2.68"/>
    <s v="Yes"/>
    <n v="82.14"/>
    <n v="0"/>
    <n v="50.99"/>
    <n v="-50.99"/>
    <n v="0"/>
  </r>
  <r>
    <s v="ORD-001578"/>
    <s v="C-0192"/>
    <d v="2025-05-07T00:00:00"/>
    <s v="Mobile App"/>
    <s v="Debit Card"/>
    <s v="Southeast"/>
    <n v="2"/>
    <x v="3"/>
    <n v="126.97"/>
    <n v="10"/>
    <n v="12.7"/>
    <n v="58.48"/>
    <n v="71.989999999999995"/>
    <n v="0"/>
    <n v="3.61"/>
    <s v="No"/>
    <n v="0"/>
    <n v="114.27"/>
    <n v="134.08000000000001"/>
    <n v="-19.809999999999999"/>
    <n v="0"/>
  </r>
  <r>
    <s v="ORD-001579"/>
    <s v="C-0785"/>
    <d v="2025-05-24T00:00:00"/>
    <s v="Website"/>
    <s v="Gift Card"/>
    <s v="West Coast"/>
    <n v="2"/>
    <x v="1"/>
    <n v="120.69"/>
    <n v="10"/>
    <n v="12.07"/>
    <n v="37.14"/>
    <n v="58.03"/>
    <n v="0"/>
    <n v="3.45"/>
    <s v="No"/>
    <n v="0"/>
    <n v="108.62"/>
    <n v="98.62"/>
    <n v="10"/>
    <n v="1"/>
  </r>
  <r>
    <s v="ORD-001580"/>
    <s v="C-0742"/>
    <d v="2025-07-30T00:00:00"/>
    <s v="Website"/>
    <s v="Credit Card"/>
    <s v="Northeast"/>
    <n v="2"/>
    <x v="3"/>
    <n v="137.15"/>
    <n v="0"/>
    <n v="0"/>
    <n v="30.82"/>
    <n v="60.87"/>
    <n v="0"/>
    <n v="4.28"/>
    <s v="No"/>
    <n v="0"/>
    <n v="137.15"/>
    <n v="95.97"/>
    <n v="41.18"/>
    <n v="0"/>
  </r>
  <r>
    <s v="ORD-001581"/>
    <s v="C-0681"/>
    <d v="2024-12-25T00:00:00"/>
    <s v="Social Commerce"/>
    <s v="Debit Card"/>
    <s v="Southwest"/>
    <n v="2"/>
    <x v="0"/>
    <n v="44.8"/>
    <n v="20"/>
    <n v="8.9600000000000009"/>
    <n v="21.72"/>
    <n v="16.03"/>
    <n v="2.87"/>
    <n v="1.34"/>
    <s v="No"/>
    <n v="0"/>
    <n v="35.840000000000003"/>
    <n v="41.96"/>
    <n v="-6.12"/>
    <n v="0"/>
  </r>
  <r>
    <s v="ORD-001582"/>
    <s v="C-0672"/>
    <d v="2025-03-20T00:00:00"/>
    <s v="Marketplace"/>
    <s v="PayPal"/>
    <s v="Northeast"/>
    <n v="2"/>
    <x v="1"/>
    <n v="100.38"/>
    <n v="0"/>
    <n v="0"/>
    <n v="14.52"/>
    <n v="38.15"/>
    <n v="15.06"/>
    <n v="3.21"/>
    <s v="No"/>
    <n v="0"/>
    <n v="100.38"/>
    <n v="70.94"/>
    <n v="29.44"/>
    <n v="0"/>
  </r>
  <r>
    <s v="ORD-001583"/>
    <s v="C-0763"/>
    <d v="2025-09-27T00:00:00"/>
    <s v="Mobile App"/>
    <s v="Credit Card"/>
    <s v="West Coast"/>
    <n v="1"/>
    <x v="0"/>
    <n v="37.71"/>
    <n v="0"/>
    <n v="0"/>
    <n v="14.46"/>
    <n v="11.89"/>
    <n v="0"/>
    <n v="1.39"/>
    <s v="No"/>
    <n v="0"/>
    <n v="37.71"/>
    <n v="27.74"/>
    <n v="9.9700000000000006"/>
    <n v="0"/>
  </r>
  <r>
    <s v="ORD-001584"/>
    <s v="C-0407"/>
    <d v="2025-03-09T00:00:00"/>
    <s v="Mobile App"/>
    <s v="PayPal"/>
    <s v="West Coast"/>
    <n v="3"/>
    <x v="3"/>
    <n v="92.13"/>
    <n v="0"/>
    <n v="0"/>
    <n v="47.18"/>
    <n v="55.39"/>
    <n v="0"/>
    <n v="2.97"/>
    <s v="No"/>
    <n v="0"/>
    <n v="92.13"/>
    <n v="105.54"/>
    <n v="-13.41"/>
    <n v="0"/>
  </r>
  <r>
    <s v="ORD-001585"/>
    <s v="C-0372"/>
    <d v="2024-09-11T00:00:00"/>
    <s v="Website"/>
    <s v="PayPal"/>
    <s v="Midwest"/>
    <n v="2"/>
    <x v="6"/>
    <n v="91.04"/>
    <n v="10"/>
    <n v="9.1"/>
    <n v="29.3"/>
    <n v="36.840000000000003"/>
    <n v="0"/>
    <n v="2.68"/>
    <s v="No"/>
    <n v="0"/>
    <n v="81.94"/>
    <n v="68.819999999999993"/>
    <n v="13.12"/>
    <n v="0"/>
  </r>
  <r>
    <s v="ORD-001586"/>
    <s v="C-0544"/>
    <d v="2025-06-25T00:00:00"/>
    <s v="Marketplace"/>
    <s v="Credit Card"/>
    <s v="Southeast"/>
    <n v="4"/>
    <x v="7"/>
    <n v="374.39"/>
    <n v="0"/>
    <n v="0"/>
    <n v="84.38"/>
    <n v="177.26"/>
    <n v="56.16"/>
    <n v="11.16"/>
    <s v="No"/>
    <n v="0"/>
    <n v="374.39"/>
    <n v="328.96"/>
    <n v="45.43"/>
    <n v="0"/>
  </r>
  <r>
    <s v="ORD-001587"/>
    <s v="C-0551"/>
    <d v="2024-11-21T00:00:00"/>
    <s v="Mobile App"/>
    <s v="Gift Card"/>
    <s v="Southeast"/>
    <n v="2"/>
    <x v="5"/>
    <n v="89.23"/>
    <n v="10"/>
    <n v="8.92"/>
    <n v="24.12"/>
    <n v="32.99"/>
    <n v="0"/>
    <n v="2.63"/>
    <s v="No"/>
    <n v="0"/>
    <n v="80.31"/>
    <n v="59.74"/>
    <n v="20.57"/>
    <n v="0"/>
  </r>
  <r>
    <s v="ORD-001588"/>
    <s v="C-0414"/>
    <d v="2025-08-31T00:00:00"/>
    <s v="Website"/>
    <s v="Credit Card"/>
    <s v="Southwest"/>
    <n v="2"/>
    <x v="0"/>
    <n v="532.12"/>
    <n v="5"/>
    <n v="26.61"/>
    <n v="37.840000000000003"/>
    <n v="190"/>
    <n v="0"/>
    <n v="14.96"/>
    <s v="No"/>
    <n v="0"/>
    <n v="505.51"/>
    <n v="242.8"/>
    <n v="262.70999999999998"/>
    <n v="0"/>
  </r>
  <r>
    <s v="ORD-001589"/>
    <s v="C-0371"/>
    <d v="2024-09-08T00:00:00"/>
    <s v="Mobile App"/>
    <s v="Credit Card"/>
    <s v="Southwest"/>
    <n v="1"/>
    <x v="0"/>
    <n v="37.71"/>
    <n v="0"/>
    <n v="0"/>
    <n v="14.46"/>
    <n v="11.89"/>
    <n v="0"/>
    <n v="1.39"/>
    <s v="No"/>
    <n v="0"/>
    <n v="37.71"/>
    <n v="27.74"/>
    <n v="9.9700000000000006"/>
    <n v="0"/>
  </r>
  <r>
    <s v="ORD-001590"/>
    <s v="C-0382"/>
    <d v="2025-12-19T00:00:00"/>
    <s v="Website"/>
    <s v="PayPal"/>
    <s v="Southwest"/>
    <n v="3"/>
    <x v="1"/>
    <n v="251.99"/>
    <n v="5"/>
    <n v="12.6"/>
    <n v="65.900000000000006"/>
    <n v="99.2"/>
    <n v="0"/>
    <n v="7.24"/>
    <s v="Yes"/>
    <n v="239.39"/>
    <n v="0"/>
    <n v="172.34"/>
    <n v="-172.34"/>
    <n v="0"/>
  </r>
  <r>
    <s v="ORD-001591"/>
    <s v="C-0425"/>
    <d v="2025-09-20T00:00:00"/>
    <s v="Website"/>
    <s v="Credit Card"/>
    <s v="Southeast"/>
    <n v="1"/>
    <x v="2"/>
    <n v="100.66"/>
    <n v="20"/>
    <n v="20.13"/>
    <n v="10.46"/>
    <n v="36.479999999999997"/>
    <n v="0"/>
    <n v="2.64"/>
    <s v="No"/>
    <n v="0"/>
    <n v="80.53"/>
    <n v="49.58"/>
    <n v="30.95"/>
    <n v="0"/>
  </r>
  <r>
    <s v="ORD-001592"/>
    <s v="C-0460"/>
    <d v="2025-05-31T00:00:00"/>
    <s v="Mobile App"/>
    <s v="PayPal"/>
    <s v="Southeast"/>
    <n v="4"/>
    <x v="3"/>
    <n v="181.44"/>
    <n v="10"/>
    <n v="18.14"/>
    <n v="59.94"/>
    <n v="71.540000000000006"/>
    <n v="0"/>
    <n v="5.04"/>
    <s v="No"/>
    <n v="0"/>
    <n v="163.30000000000001"/>
    <n v="136.52000000000001"/>
    <n v="26.78"/>
    <n v="1"/>
  </r>
  <r>
    <s v="ORD-001593"/>
    <s v="C-0121"/>
    <d v="2025-03-10T00:00:00"/>
    <s v="Website"/>
    <s v="Buy Now Pay Later"/>
    <s v="Northeast"/>
    <n v="2"/>
    <x v="3"/>
    <n v="27.45"/>
    <n v="10"/>
    <n v="2.75"/>
    <n v="21.48"/>
    <n v="14.14"/>
    <n v="0"/>
    <n v="1.02"/>
    <s v="No"/>
    <n v="0"/>
    <n v="24.7"/>
    <n v="36.64"/>
    <n v="-11.94"/>
    <n v="0"/>
  </r>
  <r>
    <s v="ORD-001594"/>
    <s v="C-0311"/>
    <d v="2025-01-12T00:00:00"/>
    <s v="Website"/>
    <s v="PayPal"/>
    <s v="Southeast"/>
    <n v="1"/>
    <x v="3"/>
    <n v="29.69"/>
    <n v="0"/>
    <n v="0"/>
    <n v="6.06"/>
    <n v="18.66"/>
    <n v="0"/>
    <n v="1.1599999999999999"/>
    <s v="No"/>
    <n v="0"/>
    <n v="29.69"/>
    <n v="25.88"/>
    <n v="3.81"/>
    <n v="0"/>
  </r>
  <r>
    <s v="ORD-001595"/>
    <s v="C-0391"/>
    <d v="2024-04-11T00:00:00"/>
    <s v="Mobile App"/>
    <s v="Gift Card"/>
    <s v="Northeast"/>
    <n v="2"/>
    <x v="4"/>
    <n v="37.979999999999997"/>
    <n v="0"/>
    <n v="0"/>
    <n v="40.659999999999997"/>
    <n v="18.170000000000002"/>
    <n v="0"/>
    <n v="1.4"/>
    <s v="No"/>
    <n v="0"/>
    <n v="37.979999999999997"/>
    <n v="60.23"/>
    <n v="-22.25"/>
    <n v="0"/>
  </r>
  <r>
    <s v="ORD-001596"/>
    <s v="C-0203"/>
    <d v="2025-03-27T00:00:00"/>
    <s v="Website"/>
    <s v="Credit Card"/>
    <s v="Northeast"/>
    <n v="2"/>
    <x v="4"/>
    <n v="97.49"/>
    <n v="10"/>
    <n v="9.75"/>
    <n v="31.14"/>
    <n v="38.78"/>
    <n v="0"/>
    <n v="2.84"/>
    <s v="No"/>
    <n v="0"/>
    <n v="87.74"/>
    <n v="72.760000000000005"/>
    <n v="14.98"/>
    <n v="0"/>
  </r>
  <r>
    <s v="ORD-001597"/>
    <s v="C-0552"/>
    <d v="2025-01-22T00:00:00"/>
    <s v="Mobile App"/>
    <s v="Debit Card"/>
    <s v="Northeast"/>
    <n v="1"/>
    <x v="1"/>
    <n v="11.11"/>
    <n v="0"/>
    <n v="0"/>
    <n v="10.94"/>
    <n v="7.31"/>
    <n v="0"/>
    <n v="0.62"/>
    <s v="No"/>
    <n v="0"/>
    <n v="11.11"/>
    <n v="18.87"/>
    <n v="-7.76"/>
    <n v="0"/>
  </r>
  <r>
    <s v="ORD-001598"/>
    <s v="C-0661"/>
    <d v="2025-01-19T00:00:00"/>
    <s v="Website"/>
    <s v="Debit Card"/>
    <s v="Midwest"/>
    <n v="1"/>
    <x v="3"/>
    <n v="242.06"/>
    <n v="5"/>
    <n v="12.1"/>
    <n v="9.56"/>
    <n v="75.52"/>
    <n v="0"/>
    <n v="6.97"/>
    <s v="No"/>
    <n v="0"/>
    <n v="229.96"/>
    <n v="92.05"/>
    <n v="137.91"/>
    <n v="0"/>
  </r>
  <r>
    <s v="ORD-001599"/>
    <s v="C-0693"/>
    <d v="2025-08-08T00:00:00"/>
    <s v="Website"/>
    <s v="PayPal"/>
    <s v="Southeast"/>
    <n v="1"/>
    <x v="3"/>
    <n v="91.38"/>
    <n v="10"/>
    <n v="9.14"/>
    <n v="23.16"/>
    <n v="56.42"/>
    <n v="0"/>
    <n v="2.68"/>
    <s v="No"/>
    <n v="0"/>
    <n v="82.24"/>
    <n v="82.26"/>
    <n v="-0.02"/>
    <n v="0"/>
  </r>
  <r>
    <s v="ORD-001600"/>
    <s v="C-0276"/>
    <d v="2025-10-16T00:00:00"/>
    <s v="Website"/>
    <s v="Credit Card"/>
    <s v="Southwest"/>
    <n v="2"/>
    <x v="3"/>
    <n v="71.239999999999995"/>
    <n v="10"/>
    <n v="7.12"/>
    <n v="23.4"/>
    <n v="40.119999999999997"/>
    <n v="0"/>
    <n v="2.16"/>
    <s v="No"/>
    <n v="0"/>
    <n v="64.12"/>
    <n v="65.680000000000007"/>
    <n v="-1.56"/>
    <n v="0"/>
  </r>
  <r>
    <s v="ORD-001601"/>
    <s v="C-0727"/>
    <d v="2024-07-28T00:00:00"/>
    <s v="Marketplace"/>
    <s v="Debit Card"/>
    <s v="Southwest"/>
    <n v="2"/>
    <x v="2"/>
    <n v="95.88"/>
    <n v="0"/>
    <n v="0"/>
    <n v="15.72"/>
    <n v="31.68"/>
    <n v="14.38"/>
    <n v="3.08"/>
    <s v="No"/>
    <n v="0"/>
    <n v="95.88"/>
    <n v="64.86"/>
    <n v="31.02"/>
    <n v="0"/>
  </r>
  <r>
    <s v="ORD-001602"/>
    <s v="C-0193"/>
    <d v="2025-05-22T00:00:00"/>
    <s v="Marketplace"/>
    <s v="PayPal"/>
    <s v="Southeast"/>
    <n v="3"/>
    <x v="2"/>
    <n v="194.07"/>
    <n v="15"/>
    <n v="29.11"/>
    <n v="63.66"/>
    <n v="108.96"/>
    <n v="24.74"/>
    <n v="5.08"/>
    <s v="No"/>
    <n v="0"/>
    <n v="164.96"/>
    <n v="202.44"/>
    <n v="-37.479999999999997"/>
    <n v="0"/>
  </r>
  <r>
    <s v="ORD-001603"/>
    <s v="C-0502"/>
    <d v="2025-02-14T00:00:00"/>
    <s v="Website"/>
    <s v="Debit Card"/>
    <s v="Southwest"/>
    <n v="1"/>
    <x v="1"/>
    <n v="25.01"/>
    <n v="10"/>
    <n v="2.5"/>
    <n v="7.9"/>
    <n v="9.01"/>
    <n v="0"/>
    <n v="0.95"/>
    <s v="No"/>
    <n v="0"/>
    <n v="22.51"/>
    <n v="17.86"/>
    <n v="4.6500000000000004"/>
    <n v="0"/>
  </r>
  <r>
    <s v="ORD-001604"/>
    <s v="C-0564"/>
    <d v="2025-08-14T00:00:00"/>
    <s v="Mobile App"/>
    <s v="Buy Now Pay Later"/>
    <s v="Southeast"/>
    <n v="4"/>
    <x v="1"/>
    <n v="157.53"/>
    <n v="20"/>
    <n v="31.51"/>
    <n v="55.08"/>
    <n v="78.150000000000006"/>
    <n v="0"/>
    <n v="3.95"/>
    <s v="No"/>
    <n v="0"/>
    <n v="126.02"/>
    <n v="137.18"/>
    <n v="-11.16"/>
    <n v="0"/>
  </r>
  <r>
    <s v="ORD-001605"/>
    <s v="C-0135"/>
    <d v="2024-09-10T00:00:00"/>
    <s v="Website"/>
    <s v="Buy Now Pay Later"/>
    <s v="Midwest"/>
    <n v="1"/>
    <x v="5"/>
    <n v="11.52"/>
    <n v="10"/>
    <n v="1.1499999999999999"/>
    <n v="7.58"/>
    <n v="3.71"/>
    <n v="0"/>
    <n v="0.6"/>
    <s v="No"/>
    <n v="0"/>
    <n v="10.37"/>
    <n v="11.89"/>
    <n v="-1.52"/>
    <n v="0"/>
  </r>
  <r>
    <s v="ORD-001606"/>
    <s v="C-0632"/>
    <d v="2025-02-23T00:00:00"/>
    <s v="Mobile App"/>
    <s v="Credit Card"/>
    <s v="Midwest"/>
    <n v="2"/>
    <x v="5"/>
    <n v="279"/>
    <n v="5"/>
    <n v="13.95"/>
    <n v="17.64"/>
    <n v="110.38"/>
    <n v="0"/>
    <n v="7.99"/>
    <s v="Yes"/>
    <n v="265.05"/>
    <n v="0"/>
    <n v="136.01"/>
    <n v="-136.01"/>
    <n v="0"/>
  </r>
  <r>
    <s v="ORD-001607"/>
    <s v="C-0637"/>
    <d v="2025-05-31T00:00:00"/>
    <s v="Marketplace"/>
    <s v="Credit Card"/>
    <s v="Southeast"/>
    <n v="2"/>
    <x v="0"/>
    <n v="69.92"/>
    <n v="10"/>
    <n v="6.99"/>
    <n v="25.86"/>
    <n v="33.729999999999997"/>
    <n v="9.44"/>
    <n v="2.12"/>
    <s v="No"/>
    <n v="0"/>
    <n v="62.93"/>
    <n v="71.150000000000006"/>
    <n v="-8.2200000000000006"/>
    <n v="0"/>
  </r>
  <r>
    <s v="ORD-001608"/>
    <s v="C-0795"/>
    <d v="2024-06-23T00:00:00"/>
    <s v="Marketplace"/>
    <s v="PayPal"/>
    <s v="Northeast"/>
    <n v="2"/>
    <x v="5"/>
    <n v="101.77"/>
    <n v="0"/>
    <n v="0"/>
    <n v="17.16"/>
    <n v="48.83"/>
    <n v="15.27"/>
    <n v="3.25"/>
    <s v="No"/>
    <n v="0"/>
    <n v="101.77"/>
    <n v="84.51"/>
    <n v="17.260000000000002"/>
    <n v="1"/>
  </r>
  <r>
    <s v="ORD-001609"/>
    <s v="C-0502"/>
    <d v="2025-09-18T00:00:00"/>
    <s v="Marketplace"/>
    <s v="Credit Card"/>
    <s v="Midwest"/>
    <n v="2"/>
    <x v="4"/>
    <n v="132.49"/>
    <n v="0"/>
    <n v="0"/>
    <n v="19.96"/>
    <n v="42.04"/>
    <n v="19.87"/>
    <n v="4.1399999999999997"/>
    <s v="No"/>
    <n v="0"/>
    <n v="132.49"/>
    <n v="86.01"/>
    <n v="46.48"/>
    <n v="0"/>
  </r>
  <r>
    <s v="ORD-001610"/>
    <s v="C-0214"/>
    <d v="2025-09-13T00:00:00"/>
    <s v="Marketplace"/>
    <s v="Credit Card"/>
    <s v="West Coast"/>
    <n v="3"/>
    <x v="5"/>
    <n v="83.81"/>
    <n v="15"/>
    <n v="12.57"/>
    <n v="29.3"/>
    <n v="31.57"/>
    <n v="10.69"/>
    <n v="2.37"/>
    <s v="No"/>
    <n v="0"/>
    <n v="71.239999999999995"/>
    <n v="73.930000000000007"/>
    <n v="-2.69"/>
    <n v="0"/>
  </r>
  <r>
    <s v="ORD-001611"/>
    <s v="C-0567"/>
    <d v="2025-08-13T00:00:00"/>
    <s v="Website"/>
    <s v="Debit Card"/>
    <s v="Northeast"/>
    <n v="1"/>
    <x v="5"/>
    <n v="408.12"/>
    <n v="15"/>
    <n v="61.22"/>
    <n v="18.899999999999999"/>
    <n v="119.04"/>
    <n v="0"/>
    <n v="10.36"/>
    <s v="No"/>
    <n v="0"/>
    <n v="346.9"/>
    <n v="148.30000000000001"/>
    <n v="198.6"/>
    <n v="0"/>
  </r>
  <r>
    <s v="ORD-001612"/>
    <s v="C-0488"/>
    <d v="2025-06-30T00:00:00"/>
    <s v="Website"/>
    <s v="Buy Now Pay Later"/>
    <s v="Southeast"/>
    <n v="2"/>
    <x v="0"/>
    <n v="326.83999999999997"/>
    <n v="25"/>
    <n v="81.709999999999994"/>
    <n v="54.56"/>
    <n v="163.15"/>
    <n v="0"/>
    <n v="7.41"/>
    <s v="No"/>
    <n v="0"/>
    <n v="245.13"/>
    <n v="225.12"/>
    <n v="20.010000000000002"/>
    <n v="0"/>
  </r>
  <r>
    <s v="ORD-001613"/>
    <s v="C-0244"/>
    <d v="2025-06-15T00:00:00"/>
    <s v="Marketplace"/>
    <s v="PayPal"/>
    <s v="Southeast"/>
    <n v="3"/>
    <x v="5"/>
    <n v="232.84"/>
    <n v="10"/>
    <n v="23.28"/>
    <n v="35.42"/>
    <n v="70.55"/>
    <n v="31.43"/>
    <n v="6.38"/>
    <s v="No"/>
    <n v="0"/>
    <n v="209.56"/>
    <n v="143.78"/>
    <n v="65.78"/>
    <n v="0"/>
  </r>
  <r>
    <s v="ORD-001614"/>
    <s v="C-0243"/>
    <d v="2024-11-07T00:00:00"/>
    <s v="Marketplace"/>
    <s v="Credit Card"/>
    <s v="Midwest"/>
    <n v="2"/>
    <x v="7"/>
    <n v="283.83999999999997"/>
    <n v="10"/>
    <n v="28.38"/>
    <n v="21.22"/>
    <n v="112.89"/>
    <n v="38.32"/>
    <n v="7.71"/>
    <s v="No"/>
    <n v="0"/>
    <n v="255.46"/>
    <n v="180.14"/>
    <n v="75.319999999999993"/>
    <n v="0"/>
  </r>
  <r>
    <s v="ORD-001615"/>
    <s v="C-0079"/>
    <d v="2025-02-26T00:00:00"/>
    <s v="Mobile App"/>
    <s v="Debit Card"/>
    <s v="Southeast"/>
    <n v="4"/>
    <x v="7"/>
    <n v="239.58"/>
    <n v="20"/>
    <n v="47.92"/>
    <n v="48.68"/>
    <n v="140.91"/>
    <n v="0"/>
    <n v="5.86"/>
    <s v="No"/>
    <n v="0"/>
    <n v="191.66"/>
    <n v="195.45"/>
    <n v="-3.79"/>
    <n v="0"/>
  </r>
  <r>
    <s v="ORD-001616"/>
    <s v="C-0030"/>
    <d v="2025-04-11T00:00:00"/>
    <s v="Marketplace"/>
    <s v="Gift Card"/>
    <s v="West Coast"/>
    <n v="1"/>
    <x v="4"/>
    <n v="93.89"/>
    <n v="10"/>
    <n v="9.39"/>
    <n v="6.14"/>
    <n v="32.81"/>
    <n v="12.67"/>
    <n v="2.75"/>
    <s v="Yes"/>
    <n v="84.5"/>
    <n v="0"/>
    <n v="54.37"/>
    <n v="-54.37"/>
    <n v="0"/>
  </r>
  <r>
    <s v="ORD-001617"/>
    <s v="C-0567"/>
    <d v="2025-04-12T00:00:00"/>
    <s v="Website"/>
    <s v="Gift Card"/>
    <s v="Midwest"/>
    <n v="2"/>
    <x v="6"/>
    <n v="35.76"/>
    <n v="15"/>
    <n v="5.36"/>
    <n v="30.34"/>
    <n v="15.23"/>
    <n v="0"/>
    <n v="1.18"/>
    <s v="No"/>
    <n v="0"/>
    <n v="30.4"/>
    <n v="46.75"/>
    <n v="-16.350000000000001"/>
    <n v="0"/>
  </r>
  <r>
    <s v="ORD-001618"/>
    <s v="C-0661"/>
    <d v="2024-12-10T00:00:00"/>
    <s v="Website"/>
    <s v="Debit Card"/>
    <s v="Midwest"/>
    <n v="1"/>
    <x v="4"/>
    <n v="40.98"/>
    <n v="5"/>
    <n v="2.0499999999999998"/>
    <n v="31.86"/>
    <n v="14.07"/>
    <n v="0"/>
    <n v="1.43"/>
    <s v="No"/>
    <n v="0"/>
    <n v="38.93"/>
    <n v="47.36"/>
    <n v="-8.43"/>
    <n v="1"/>
  </r>
  <r>
    <s v="ORD-001619"/>
    <s v="C-0504"/>
    <d v="2024-03-09T00:00:00"/>
    <s v="Website"/>
    <s v="PayPal"/>
    <s v="Midwest"/>
    <n v="1"/>
    <x v="2"/>
    <n v="69.12"/>
    <n v="10"/>
    <n v="6.91"/>
    <n v="9.1"/>
    <n v="20.88"/>
    <n v="0"/>
    <n v="2.1"/>
    <s v="No"/>
    <n v="0"/>
    <n v="62.21"/>
    <n v="32.08"/>
    <n v="30.13"/>
    <n v="0"/>
  </r>
  <r>
    <s v="ORD-001620"/>
    <s v="C-0233"/>
    <d v="2025-09-06T00:00:00"/>
    <s v="Website"/>
    <s v="PayPal"/>
    <s v="Midwest"/>
    <n v="2"/>
    <x v="5"/>
    <n v="91.72"/>
    <n v="5"/>
    <n v="4.59"/>
    <n v="34.659999999999997"/>
    <n v="35.409999999999997"/>
    <n v="0"/>
    <n v="2.83"/>
    <s v="No"/>
    <n v="0"/>
    <n v="87.13"/>
    <n v="72.900000000000006"/>
    <n v="14.23"/>
    <n v="0"/>
  </r>
  <r>
    <s v="ORD-001621"/>
    <s v="C-0240"/>
    <d v="2025-01-05T00:00:00"/>
    <s v="Website"/>
    <s v="Buy Now Pay Later"/>
    <s v="Southwest"/>
    <n v="2"/>
    <x v="6"/>
    <n v="189.88"/>
    <n v="5"/>
    <n v="9.49"/>
    <n v="37.200000000000003"/>
    <n v="79.36"/>
    <n v="0"/>
    <n v="5.53"/>
    <s v="No"/>
    <n v="0"/>
    <n v="180.39"/>
    <n v="122.09"/>
    <n v="58.3"/>
    <n v="0"/>
  </r>
  <r>
    <s v="ORD-001622"/>
    <s v="C-0690"/>
    <d v="2025-08-20T00:00:00"/>
    <s v="Marketplace"/>
    <s v="Credit Card"/>
    <s v="Midwest"/>
    <n v="1"/>
    <x v="3"/>
    <n v="35.19"/>
    <n v="0"/>
    <n v="0"/>
    <n v="5.0199999999999996"/>
    <n v="11.71"/>
    <n v="5.28"/>
    <n v="1.32"/>
    <s v="No"/>
    <n v="0"/>
    <n v="35.19"/>
    <n v="23.33"/>
    <n v="11.86"/>
    <n v="0"/>
  </r>
  <r>
    <s v="ORD-001623"/>
    <s v="C-0156"/>
    <d v="2024-11-23T00:00:00"/>
    <s v="Website"/>
    <s v="Debit Card"/>
    <s v="West Coast"/>
    <n v="1"/>
    <x v="3"/>
    <n v="188.82"/>
    <n v="20"/>
    <n v="37.76"/>
    <n v="19.86"/>
    <n v="79.44"/>
    <n v="0"/>
    <n v="4.68"/>
    <s v="No"/>
    <n v="0"/>
    <n v="151.06"/>
    <n v="103.98"/>
    <n v="47.08"/>
    <n v="0"/>
  </r>
  <r>
    <s v="ORD-001624"/>
    <s v="C-0033"/>
    <d v="2024-12-14T00:00:00"/>
    <s v="Mobile App"/>
    <s v="Credit Card"/>
    <s v="West Coast"/>
    <n v="2"/>
    <x v="7"/>
    <n v="43.65"/>
    <n v="20"/>
    <n v="8.73"/>
    <n v="19.48"/>
    <n v="18.010000000000002"/>
    <n v="0"/>
    <n v="1.31"/>
    <s v="No"/>
    <n v="0"/>
    <n v="34.92"/>
    <n v="38.799999999999997"/>
    <n v="-3.88"/>
    <n v="0"/>
  </r>
  <r>
    <s v="ORD-001625"/>
    <s v="C-0576"/>
    <d v="2024-08-30T00:00:00"/>
    <s v="Website"/>
    <s v="PayPal"/>
    <s v="Southeast"/>
    <n v="3"/>
    <x v="5"/>
    <n v="492.51"/>
    <n v="15"/>
    <n v="73.88"/>
    <n v="27.92"/>
    <n v="151.04"/>
    <n v="0"/>
    <n v="12.44"/>
    <s v="No"/>
    <n v="0"/>
    <n v="418.63"/>
    <n v="191.4"/>
    <n v="227.23"/>
    <n v="0"/>
  </r>
  <r>
    <s v="ORD-001626"/>
    <s v="C-0794"/>
    <d v="2025-02-16T00:00:00"/>
    <s v="Website"/>
    <s v="Credit Card"/>
    <s v="West Coast"/>
    <n v="2"/>
    <x v="1"/>
    <n v="77.099999999999994"/>
    <n v="15"/>
    <n v="11.56"/>
    <n v="54.96"/>
    <n v="28.35"/>
    <n v="0"/>
    <n v="2.2000000000000002"/>
    <s v="No"/>
    <n v="0"/>
    <n v="65.540000000000006"/>
    <n v="85.51"/>
    <n v="-19.97"/>
    <n v="0"/>
  </r>
  <r>
    <s v="ORD-001627"/>
    <s v="C-0430"/>
    <d v="2025-03-19T00:00:00"/>
    <s v="Marketplace"/>
    <s v="Credit Card"/>
    <s v="Southeast"/>
    <n v="2"/>
    <x v="2"/>
    <n v="212.8"/>
    <n v="5"/>
    <n v="10.64"/>
    <n v="38.18"/>
    <n v="83.62"/>
    <n v="30.32"/>
    <n v="6.16"/>
    <s v="No"/>
    <n v="0"/>
    <n v="202.16"/>
    <n v="158.28"/>
    <n v="43.88"/>
    <n v="0"/>
  </r>
  <r>
    <s v="ORD-001628"/>
    <s v="C-0172"/>
    <d v="2025-08-09T00:00:00"/>
    <s v="Website"/>
    <s v="Credit Card"/>
    <s v="Midwest"/>
    <n v="2"/>
    <x v="7"/>
    <n v="194.23"/>
    <n v="20"/>
    <n v="38.85"/>
    <n v="45.2"/>
    <n v="83.61"/>
    <n v="0"/>
    <n v="4.8099999999999996"/>
    <s v="No"/>
    <n v="0"/>
    <n v="155.38"/>
    <n v="133.62"/>
    <n v="21.76"/>
    <n v="0"/>
  </r>
  <r>
    <s v="ORD-001629"/>
    <s v="C-0333"/>
    <d v="2025-09-22T00:00:00"/>
    <s v="Website"/>
    <s v="Gift Card"/>
    <s v="Northeast"/>
    <n v="3"/>
    <x v="0"/>
    <n v="612.37"/>
    <n v="0"/>
    <n v="0"/>
    <n v="48.4"/>
    <n v="216.56"/>
    <n v="0"/>
    <n v="18.059999999999999"/>
    <s v="No"/>
    <n v="0"/>
    <n v="612.37"/>
    <n v="283.02"/>
    <n v="329.35"/>
    <n v="0"/>
  </r>
  <r>
    <s v="ORD-001630"/>
    <s v="C-0791"/>
    <d v="2025-02-04T00:00:00"/>
    <s v="Marketplace"/>
    <s v="Credit Card"/>
    <s v="Northeast"/>
    <n v="2"/>
    <x v="0"/>
    <n v="187.37"/>
    <n v="0"/>
    <n v="0"/>
    <n v="30.98"/>
    <n v="94.57"/>
    <n v="28.11"/>
    <n v="5.73"/>
    <s v="No"/>
    <n v="0"/>
    <n v="187.37"/>
    <n v="159.38999999999999"/>
    <n v="27.98"/>
    <n v="0"/>
  </r>
  <r>
    <s v="ORD-001631"/>
    <s v="C-0709"/>
    <d v="2024-11-27T00:00:00"/>
    <s v="Mobile App"/>
    <s v="Credit Card"/>
    <s v="Northeast"/>
    <n v="2"/>
    <x v="3"/>
    <n v="140.91999999999999"/>
    <n v="0"/>
    <n v="0"/>
    <n v="23.88"/>
    <n v="53.69"/>
    <n v="0"/>
    <n v="4.3899999999999997"/>
    <s v="No"/>
    <n v="0"/>
    <n v="140.91999999999999"/>
    <n v="81.96"/>
    <n v="58.96"/>
    <n v="0"/>
  </r>
  <r>
    <s v="ORD-001632"/>
    <s v="C-0296"/>
    <d v="2024-05-04T00:00:00"/>
    <s v="Mobile App"/>
    <s v="Buy Now Pay Later"/>
    <s v="West Coast"/>
    <n v="1"/>
    <x v="3"/>
    <n v="29.69"/>
    <n v="10"/>
    <n v="2.97"/>
    <n v="6.06"/>
    <n v="18.66"/>
    <n v="0"/>
    <n v="1.07"/>
    <s v="No"/>
    <n v="0"/>
    <n v="26.72"/>
    <n v="25.79"/>
    <n v="0.93"/>
    <n v="0"/>
  </r>
  <r>
    <s v="ORD-001633"/>
    <s v="C-0401"/>
    <d v="2025-06-29T00:00:00"/>
    <s v="Website"/>
    <s v="Buy Now Pay Later"/>
    <s v="West Coast"/>
    <n v="1"/>
    <x v="7"/>
    <n v="85.29"/>
    <n v="15"/>
    <n v="12.79"/>
    <n v="11.22"/>
    <n v="48.36"/>
    <n v="0"/>
    <n v="2.4"/>
    <s v="No"/>
    <n v="0"/>
    <n v="72.5"/>
    <n v="61.98"/>
    <n v="10.52"/>
    <n v="0"/>
  </r>
  <r>
    <s v="ORD-001634"/>
    <s v="C-0021"/>
    <d v="2025-08-23T00:00:00"/>
    <s v="Mobile App"/>
    <s v="Credit Card"/>
    <s v="Southeast"/>
    <n v="2"/>
    <x v="0"/>
    <n v="398.66"/>
    <n v="10"/>
    <n v="39.869999999999997"/>
    <n v="21.46"/>
    <n v="127.29"/>
    <n v="0"/>
    <n v="10.7"/>
    <s v="No"/>
    <n v="0"/>
    <n v="358.79"/>
    <n v="159.44999999999999"/>
    <n v="199.34"/>
    <n v="0"/>
  </r>
  <r>
    <s v="ORD-001635"/>
    <s v="C-0230"/>
    <d v="2025-06-28T00:00:00"/>
    <s v="Mobile App"/>
    <s v="Credit Card"/>
    <s v="Southwest"/>
    <n v="1"/>
    <x v="5"/>
    <n v="54.32"/>
    <n v="0"/>
    <n v="0"/>
    <n v="22.68"/>
    <n v="27.28"/>
    <n v="0"/>
    <n v="1.88"/>
    <s v="No"/>
    <n v="0"/>
    <n v="54.32"/>
    <n v="51.84"/>
    <n v="2.48"/>
    <n v="0"/>
  </r>
  <r>
    <s v="ORD-001636"/>
    <s v="C-0680"/>
    <d v="2025-08-31T00:00:00"/>
    <s v="Mobile App"/>
    <s v="PayPal"/>
    <s v="Midwest"/>
    <n v="2"/>
    <x v="0"/>
    <n v="141.56"/>
    <n v="0"/>
    <n v="0"/>
    <n v="33.06"/>
    <n v="70.290000000000006"/>
    <n v="0"/>
    <n v="4.41"/>
    <s v="No"/>
    <n v="0"/>
    <n v="141.56"/>
    <n v="107.76"/>
    <n v="33.799999999999997"/>
    <n v="0"/>
  </r>
  <r>
    <s v="ORD-001637"/>
    <s v="C-0758"/>
    <d v="2024-12-13T00:00:00"/>
    <s v="Website"/>
    <s v="PayPal"/>
    <s v="Northeast"/>
    <n v="1"/>
    <x v="3"/>
    <n v="49.35"/>
    <n v="5"/>
    <n v="2.4700000000000002"/>
    <n v="8.3800000000000008"/>
    <n v="26.77"/>
    <n v="0"/>
    <n v="1.66"/>
    <s v="No"/>
    <n v="0"/>
    <n v="46.88"/>
    <n v="36.81"/>
    <n v="10.07"/>
    <n v="0"/>
  </r>
  <r>
    <s v="ORD-001638"/>
    <s v="C-0370"/>
    <d v="2025-10-26T00:00:00"/>
    <s v="Social Commerce"/>
    <s v="PayPal"/>
    <s v="Southeast"/>
    <n v="2"/>
    <x v="4"/>
    <n v="47.26"/>
    <n v="0"/>
    <n v="0"/>
    <n v="18.899999999999999"/>
    <n v="21.19"/>
    <n v="3.78"/>
    <n v="1.67"/>
    <s v="No"/>
    <n v="0"/>
    <n v="47.26"/>
    <n v="45.54"/>
    <n v="1.72"/>
    <n v="0"/>
  </r>
  <r>
    <s v="ORD-001639"/>
    <s v="C-0658"/>
    <d v="2025-03-14T00:00:00"/>
    <s v="Website"/>
    <s v="Credit Card"/>
    <s v="Midwest"/>
    <n v="3"/>
    <x v="4"/>
    <n v="280.95999999999998"/>
    <n v="20"/>
    <n v="56.19"/>
    <n v="59.1"/>
    <n v="97.29"/>
    <n v="0"/>
    <n v="6.82"/>
    <s v="No"/>
    <n v="0"/>
    <n v="224.77"/>
    <n v="163.21"/>
    <n v="61.56"/>
    <n v="0"/>
  </r>
  <r>
    <s v="ORD-001640"/>
    <s v="C-0800"/>
    <d v="2025-06-11T00:00:00"/>
    <s v="Website"/>
    <s v="Credit Card"/>
    <s v="West Coast"/>
    <n v="3"/>
    <x v="2"/>
    <n v="167.61"/>
    <n v="10"/>
    <n v="16.760000000000002"/>
    <n v="44.32"/>
    <n v="70.38"/>
    <n v="0"/>
    <n v="4.67"/>
    <s v="No"/>
    <n v="0"/>
    <n v="150.85"/>
    <n v="119.37"/>
    <n v="31.48"/>
    <n v="0"/>
  </r>
  <r>
    <s v="ORD-001641"/>
    <s v="C-0654"/>
    <d v="2025-02-07T00:00:00"/>
    <s v="Mobile App"/>
    <s v="Gift Card"/>
    <s v="Midwest"/>
    <n v="1"/>
    <x v="2"/>
    <n v="45.27"/>
    <n v="25"/>
    <n v="11.32"/>
    <n v="12.78"/>
    <n v="23.99"/>
    <n v="0"/>
    <n v="1.28"/>
    <s v="No"/>
    <n v="0"/>
    <n v="33.950000000000003"/>
    <n v="38.049999999999997"/>
    <n v="-4.0999999999999996"/>
    <n v="0"/>
  </r>
  <r>
    <s v="ORD-001642"/>
    <s v="C-0063"/>
    <d v="2025-01-12T00:00:00"/>
    <s v="Social Commerce"/>
    <s v="Credit Card"/>
    <s v="Northeast"/>
    <n v="1"/>
    <x v="1"/>
    <n v="20.45"/>
    <n v="10"/>
    <n v="2.04"/>
    <n v="10.220000000000001"/>
    <n v="7.45"/>
    <n v="1.47"/>
    <n v="0.83"/>
    <s v="No"/>
    <n v="0"/>
    <n v="18.41"/>
    <n v="19.97"/>
    <n v="-1.56"/>
    <n v="0"/>
  </r>
  <r>
    <s v="ORD-001643"/>
    <s v="C-0667"/>
    <d v="2024-12-19T00:00:00"/>
    <s v="Mobile App"/>
    <s v="PayPal"/>
    <s v="Northeast"/>
    <n v="1"/>
    <x v="6"/>
    <n v="46.4"/>
    <n v="5"/>
    <n v="2.3199999999999998"/>
    <n v="15.96"/>
    <n v="13.54"/>
    <n v="0"/>
    <n v="1.58"/>
    <s v="No"/>
    <n v="0"/>
    <n v="44.08"/>
    <n v="31.08"/>
    <n v="13"/>
    <n v="0"/>
  </r>
  <r>
    <s v="ORD-001644"/>
    <s v="C-0689"/>
    <d v="2025-09-12T00:00:00"/>
    <s v="Mobile App"/>
    <s v="Buy Now Pay Later"/>
    <s v="Northeast"/>
    <n v="3"/>
    <x v="3"/>
    <n v="208.14"/>
    <n v="25"/>
    <n v="52.03"/>
    <n v="39.340000000000003"/>
    <n v="91.41"/>
    <n v="0"/>
    <n v="4.83"/>
    <s v="No"/>
    <n v="0"/>
    <n v="156.11000000000001"/>
    <n v="135.58000000000001"/>
    <n v="20.53"/>
    <n v="0"/>
  </r>
  <r>
    <s v="ORD-001645"/>
    <s v="C-0297"/>
    <d v="2025-10-01T00:00:00"/>
    <s v="Mobile App"/>
    <s v="Credit Card"/>
    <s v="Southeast"/>
    <n v="1"/>
    <x v="5"/>
    <n v="334.32"/>
    <n v="20"/>
    <n v="66.86"/>
    <n v="27.06"/>
    <n v="109.02"/>
    <n v="0"/>
    <n v="8.06"/>
    <s v="No"/>
    <n v="0"/>
    <n v="267.45999999999998"/>
    <n v="144.13999999999999"/>
    <n v="123.32"/>
    <n v="0"/>
  </r>
  <r>
    <s v="ORD-001646"/>
    <s v="C-0017"/>
    <d v="2025-08-19T00:00:00"/>
    <s v="Marketplace"/>
    <s v="PayPal"/>
    <s v="Southeast"/>
    <n v="2"/>
    <x v="5"/>
    <n v="110.64"/>
    <n v="10"/>
    <n v="11.06"/>
    <n v="11.56"/>
    <n v="48.54"/>
    <n v="14.94"/>
    <n v="3.19"/>
    <s v="No"/>
    <n v="0"/>
    <n v="99.58"/>
    <n v="78.23"/>
    <n v="21.35"/>
    <n v="0"/>
  </r>
  <r>
    <s v="ORD-001647"/>
    <s v="C-0690"/>
    <d v="2025-09-15T00:00:00"/>
    <s v="Website"/>
    <s v="Debit Card"/>
    <s v="Midwest"/>
    <n v="1"/>
    <x v="1"/>
    <n v="117.33"/>
    <n v="5"/>
    <n v="5.87"/>
    <n v="29.46"/>
    <n v="47.7"/>
    <n v="0"/>
    <n v="3.53"/>
    <s v="No"/>
    <n v="0"/>
    <n v="111.46"/>
    <n v="80.69"/>
    <n v="30.77"/>
    <n v="0"/>
  </r>
  <r>
    <s v="ORD-001648"/>
    <s v="C-0124"/>
    <d v="2025-03-04T00:00:00"/>
    <s v="Marketplace"/>
    <s v="Credit Card"/>
    <s v="Southwest"/>
    <n v="1"/>
    <x v="6"/>
    <n v="57.93"/>
    <n v="0"/>
    <n v="0"/>
    <n v="17.7"/>
    <n v="18.690000000000001"/>
    <n v="8.69"/>
    <n v="1.98"/>
    <s v="No"/>
    <n v="0"/>
    <n v="57.93"/>
    <n v="47.06"/>
    <n v="10.87"/>
    <n v="0"/>
  </r>
  <r>
    <s v="ORD-001649"/>
    <s v="C-0631"/>
    <d v="2025-07-31T00:00:00"/>
    <s v="Mobile App"/>
    <s v="Credit Card"/>
    <s v="Midwest"/>
    <n v="2"/>
    <x v="2"/>
    <n v="95.67"/>
    <n v="10"/>
    <n v="9.57"/>
    <n v="22.6"/>
    <n v="51.75"/>
    <n v="0"/>
    <n v="2.8"/>
    <s v="No"/>
    <n v="0"/>
    <n v="86.1"/>
    <n v="77.150000000000006"/>
    <n v="8.9499999999999993"/>
    <n v="0"/>
  </r>
  <r>
    <s v="ORD-001650"/>
    <s v="C-0558"/>
    <d v="2025-04-18T00:00:00"/>
    <s v="Marketplace"/>
    <s v="Credit Card"/>
    <s v="Southeast"/>
    <n v="1"/>
    <x v="4"/>
    <n v="20.57"/>
    <n v="0"/>
    <n v="0"/>
    <n v="7.02"/>
    <n v="7.36"/>
    <n v="3.09"/>
    <n v="0.9"/>
    <s v="No"/>
    <n v="0"/>
    <n v="20.57"/>
    <n v="18.37"/>
    <n v="2.2000000000000002"/>
    <n v="0"/>
  </r>
  <r>
    <s v="ORD-001651"/>
    <s v="C-0792"/>
    <d v="2025-03-15T00:00:00"/>
    <s v="Marketplace"/>
    <s v="Credit Card"/>
    <s v="Southeast"/>
    <n v="3"/>
    <x v="2"/>
    <n v="155.52000000000001"/>
    <n v="0"/>
    <n v="0"/>
    <n v="35.54"/>
    <n v="61.52"/>
    <n v="23.33"/>
    <n v="4.8099999999999996"/>
    <s v="No"/>
    <n v="0"/>
    <n v="155.52000000000001"/>
    <n v="125.2"/>
    <n v="30.32"/>
    <n v="0"/>
  </r>
  <r>
    <s v="ORD-001652"/>
    <s v="C-0714"/>
    <d v="2025-09-21T00:00:00"/>
    <s v="Website"/>
    <s v="Buy Now Pay Later"/>
    <s v="Southeast"/>
    <n v="1"/>
    <x v="1"/>
    <n v="58.23"/>
    <n v="5"/>
    <n v="2.91"/>
    <n v="13.42"/>
    <n v="22.42"/>
    <n v="0"/>
    <n v="1.9"/>
    <s v="No"/>
    <n v="0"/>
    <n v="55.32"/>
    <n v="37.74"/>
    <n v="17.579999999999998"/>
    <n v="0"/>
  </r>
  <r>
    <s v="ORD-001653"/>
    <s v="C-0619"/>
    <d v="2025-06-10T00:00:00"/>
    <s v="Mobile App"/>
    <s v="Debit Card"/>
    <s v="Southeast"/>
    <n v="3"/>
    <x v="6"/>
    <n v="75.38"/>
    <n v="0"/>
    <n v="0"/>
    <n v="41.3"/>
    <n v="34.799999999999997"/>
    <n v="0"/>
    <n v="2.4900000000000002"/>
    <s v="No"/>
    <n v="0"/>
    <n v="75.38"/>
    <n v="78.59"/>
    <n v="-3.21"/>
    <n v="0"/>
  </r>
  <r>
    <s v="ORD-001654"/>
    <s v="C-0731"/>
    <d v="2024-08-12T00:00:00"/>
    <s v="Mobile App"/>
    <s v="Credit Card"/>
    <s v="Midwest"/>
    <n v="1"/>
    <x v="0"/>
    <n v="215.16"/>
    <n v="5"/>
    <n v="10.76"/>
    <n v="10.46"/>
    <n v="62.72"/>
    <n v="0"/>
    <n v="6.23"/>
    <s v="No"/>
    <n v="0"/>
    <n v="204.4"/>
    <n v="79.41"/>
    <n v="124.99"/>
    <n v="0"/>
  </r>
  <r>
    <s v="ORD-001655"/>
    <s v="C-0437"/>
    <d v="2025-10-08T00:00:00"/>
    <s v="Mobile App"/>
    <s v="Debit Card"/>
    <s v="West Coast"/>
    <n v="1"/>
    <x v="5"/>
    <n v="9.48"/>
    <n v="15"/>
    <n v="1.42"/>
    <n v="13.1"/>
    <n v="3.49"/>
    <n v="0"/>
    <n v="0.53"/>
    <s v="No"/>
    <n v="0"/>
    <n v="8.06"/>
    <n v="17.12"/>
    <n v="-9.06"/>
    <n v="0"/>
  </r>
  <r>
    <s v="ORD-001656"/>
    <s v="C-0633"/>
    <d v="2024-09-22T00:00:00"/>
    <s v="Website"/>
    <s v="Debit Card"/>
    <s v="Southwest"/>
    <n v="5"/>
    <x v="0"/>
    <n v="329.22"/>
    <n v="20"/>
    <n v="65.84"/>
    <n v="58.9"/>
    <n v="124.94"/>
    <n v="0"/>
    <n v="7.94"/>
    <s v="No"/>
    <n v="0"/>
    <n v="263.38"/>
    <n v="191.78"/>
    <n v="71.599999999999994"/>
    <n v="0"/>
  </r>
  <r>
    <s v="ORD-001657"/>
    <s v="C-0114"/>
    <d v="2024-06-09T00:00:00"/>
    <s v="Website"/>
    <s v="Buy Now Pay Later"/>
    <s v="Midwest"/>
    <n v="2"/>
    <x v="0"/>
    <n v="84.93"/>
    <n v="10"/>
    <n v="8.49"/>
    <n v="20.36"/>
    <n v="32.79"/>
    <n v="0"/>
    <n v="2.52"/>
    <s v="No"/>
    <n v="0"/>
    <n v="76.44"/>
    <n v="55.67"/>
    <n v="20.77"/>
    <n v="0"/>
  </r>
  <r>
    <s v="ORD-001658"/>
    <s v="C-0118"/>
    <d v="2025-01-16T00:00:00"/>
    <s v="Website"/>
    <s v="Gift Card"/>
    <s v="Northeast"/>
    <n v="2"/>
    <x v="3"/>
    <n v="252.06"/>
    <n v="20"/>
    <n v="50.41"/>
    <n v="15.7"/>
    <n v="78.87"/>
    <n v="0"/>
    <n v="6.15"/>
    <s v="No"/>
    <n v="0"/>
    <n v="201.65"/>
    <n v="100.72"/>
    <n v="100.93"/>
    <n v="0"/>
  </r>
  <r>
    <s v="ORD-001659"/>
    <s v="C-0573"/>
    <d v="2025-05-31T00:00:00"/>
    <s v="Marketplace"/>
    <s v="Buy Now Pay Later"/>
    <s v="West Coast"/>
    <n v="2"/>
    <x v="3"/>
    <n v="295.8"/>
    <n v="0"/>
    <n v="0"/>
    <n v="16.82"/>
    <n v="94.45"/>
    <n v="44.37"/>
    <n v="8.8800000000000008"/>
    <s v="No"/>
    <n v="0"/>
    <n v="295.8"/>
    <n v="164.52"/>
    <n v="131.28"/>
    <n v="0"/>
  </r>
  <r>
    <s v="ORD-001660"/>
    <s v="C-0370"/>
    <d v="2024-12-07T00:00:00"/>
    <s v="Website"/>
    <s v="Debit Card"/>
    <s v="Southwest"/>
    <n v="1"/>
    <x v="5"/>
    <n v="85.06"/>
    <n v="10"/>
    <n v="8.51"/>
    <n v="11.82"/>
    <n v="36.72"/>
    <n v="0"/>
    <n v="2.52"/>
    <s v="No"/>
    <n v="0"/>
    <n v="76.55"/>
    <n v="51.06"/>
    <n v="25.49"/>
    <n v="0"/>
  </r>
  <r>
    <s v="ORD-001661"/>
    <s v="C-0184"/>
    <d v="2025-08-17T00:00:00"/>
    <s v="Mobile App"/>
    <s v="PayPal"/>
    <s v="West Coast"/>
    <n v="2"/>
    <x v="0"/>
    <n v="194.84"/>
    <n v="0"/>
    <n v="0"/>
    <n v="13.96"/>
    <n v="63.39"/>
    <n v="0"/>
    <n v="5.95"/>
    <s v="No"/>
    <n v="0"/>
    <n v="194.84"/>
    <n v="83.3"/>
    <n v="111.54"/>
    <n v="0"/>
  </r>
  <r>
    <s v="ORD-001662"/>
    <s v="C-0675"/>
    <d v="2024-05-09T00:00:00"/>
    <s v="Marketplace"/>
    <s v="Credit Card"/>
    <s v="Southwest"/>
    <n v="3"/>
    <x v="2"/>
    <n v="101.81"/>
    <n v="25"/>
    <n v="25.45"/>
    <n v="40.4"/>
    <n v="51.51"/>
    <n v="11.45"/>
    <n v="2.5099999999999998"/>
    <s v="No"/>
    <n v="0"/>
    <n v="76.36"/>
    <n v="105.87"/>
    <n v="-29.51"/>
    <n v="0"/>
  </r>
  <r>
    <s v="ORD-001663"/>
    <s v="C-0733"/>
    <d v="2025-08-23T00:00:00"/>
    <s v="Website"/>
    <s v="Credit Card"/>
    <s v="Southeast"/>
    <n v="1"/>
    <x v="4"/>
    <n v="86.75"/>
    <n v="5"/>
    <n v="4.34"/>
    <n v="12.94"/>
    <n v="26.86"/>
    <n v="0"/>
    <n v="2.69"/>
    <s v="Yes"/>
    <n v="82.41"/>
    <n v="0"/>
    <n v="42.49"/>
    <n v="-42.49"/>
    <n v="0"/>
  </r>
  <r>
    <s v="ORD-001664"/>
    <s v="C-0519"/>
    <d v="2025-01-16T00:00:00"/>
    <s v="Marketplace"/>
    <s v="Credit Card"/>
    <s v="West Coast"/>
    <n v="5"/>
    <x v="0"/>
    <n v="460.11"/>
    <n v="0"/>
    <n v="0"/>
    <n v="73.92"/>
    <n v="158.44"/>
    <n v="69.02"/>
    <n v="13.64"/>
    <s v="No"/>
    <n v="0"/>
    <n v="460.11"/>
    <n v="315.02"/>
    <n v="145.09"/>
    <n v="0"/>
  </r>
  <r>
    <s v="ORD-001665"/>
    <s v="C-0257"/>
    <d v="2024-09-18T00:00:00"/>
    <s v="Mobile App"/>
    <s v="Credit Card"/>
    <s v="Southwest"/>
    <n v="1"/>
    <x v="2"/>
    <n v="63.63"/>
    <n v="15"/>
    <n v="9.5399999999999991"/>
    <n v="8.3800000000000008"/>
    <n v="31.76"/>
    <n v="0"/>
    <n v="1.87"/>
    <s v="No"/>
    <n v="0"/>
    <n v="54.09"/>
    <n v="42.01"/>
    <n v="12.08"/>
    <n v="1"/>
  </r>
  <r>
    <s v="ORD-001666"/>
    <s v="C-0462"/>
    <d v="2025-08-03T00:00:00"/>
    <s v="Mobile App"/>
    <s v="PayPal"/>
    <s v="Northeast"/>
    <n v="1"/>
    <x v="3"/>
    <n v="27.71"/>
    <n v="10"/>
    <n v="2.77"/>
    <n v="12.94"/>
    <n v="11.44"/>
    <n v="0"/>
    <n v="1.02"/>
    <s v="No"/>
    <n v="0"/>
    <n v="24.94"/>
    <n v="25.4"/>
    <n v="-0.46"/>
    <n v="0"/>
  </r>
  <r>
    <s v="ORD-001667"/>
    <s v="C-0306"/>
    <d v="2024-05-10T00:00:00"/>
    <s v="Website"/>
    <s v="Debit Card"/>
    <s v="Midwest"/>
    <n v="2"/>
    <x v="4"/>
    <n v="218.96"/>
    <n v="15"/>
    <n v="32.840000000000003"/>
    <n v="42.96"/>
    <n v="97.82"/>
    <n v="0"/>
    <n v="5.7"/>
    <s v="No"/>
    <n v="0"/>
    <n v="186.12"/>
    <n v="146.47999999999999"/>
    <n v="39.64"/>
    <n v="0"/>
  </r>
  <r>
    <s v="ORD-001668"/>
    <s v="C-0189"/>
    <d v="2025-03-15T00:00:00"/>
    <s v="Website"/>
    <s v="Buy Now Pay Later"/>
    <s v="Southwest"/>
    <n v="5"/>
    <x v="0"/>
    <n v="337.11"/>
    <n v="10"/>
    <n v="33.71"/>
    <n v="61.72"/>
    <n v="152.63999999999999"/>
    <n v="0"/>
    <n v="9.1"/>
    <s v="No"/>
    <n v="0"/>
    <n v="303.39999999999998"/>
    <n v="223.46"/>
    <n v="79.94"/>
    <n v="0"/>
  </r>
  <r>
    <s v="ORD-001669"/>
    <s v="C-0702"/>
    <d v="2024-03-07T00:00:00"/>
    <s v="Marketplace"/>
    <s v="PayPal"/>
    <s v="Southwest"/>
    <n v="1"/>
    <x v="3"/>
    <n v="19.260000000000002"/>
    <n v="5"/>
    <n v="0.96"/>
    <n v="5.26"/>
    <n v="7.33"/>
    <n v="2.75"/>
    <n v="0.83"/>
    <s v="No"/>
    <n v="0"/>
    <n v="18.3"/>
    <n v="16.170000000000002"/>
    <n v="2.13"/>
    <n v="0"/>
  </r>
  <r>
    <s v="ORD-001670"/>
    <s v="C-0112"/>
    <d v="2024-10-22T00:00:00"/>
    <s v="Website"/>
    <s v="Credit Card"/>
    <s v="Northeast"/>
    <n v="2"/>
    <x v="6"/>
    <n v="53.2"/>
    <n v="15"/>
    <n v="7.98"/>
    <n v="12.92"/>
    <n v="19.73"/>
    <n v="0"/>
    <n v="1.61"/>
    <s v="No"/>
    <n v="0"/>
    <n v="45.22"/>
    <n v="34.26"/>
    <n v="10.96"/>
    <n v="0"/>
  </r>
  <r>
    <s v="ORD-001671"/>
    <s v="C-0136"/>
    <d v="2025-02-15T00:00:00"/>
    <s v="Marketplace"/>
    <s v="Credit Card"/>
    <s v="Southeast"/>
    <n v="2"/>
    <x v="2"/>
    <n v="260.83"/>
    <n v="0"/>
    <n v="0"/>
    <n v="44.24"/>
    <n v="120.01"/>
    <n v="39.119999999999997"/>
    <n v="7.86"/>
    <s v="No"/>
    <n v="0"/>
    <n v="260.83"/>
    <n v="211.23"/>
    <n v="49.6"/>
    <n v="0"/>
  </r>
  <r>
    <s v="ORD-001672"/>
    <s v="C-0703"/>
    <d v="2024-09-02T00:00:00"/>
    <s v="Marketplace"/>
    <s v="PayPal"/>
    <s v="Midwest"/>
    <n v="1"/>
    <x v="3"/>
    <n v="19.260000000000002"/>
    <n v="15"/>
    <n v="2.89"/>
    <n v="5.26"/>
    <n v="7.33"/>
    <n v="2.46"/>
    <n v="0.77"/>
    <s v="No"/>
    <n v="0"/>
    <n v="16.37"/>
    <n v="15.82"/>
    <n v="0.55000000000000004"/>
    <n v="0"/>
  </r>
  <r>
    <s v="ORD-001673"/>
    <s v="C-0223"/>
    <d v="2025-07-29T00:00:00"/>
    <s v="Marketplace"/>
    <s v="Credit Card"/>
    <s v="Northeast"/>
    <n v="2"/>
    <x v="3"/>
    <n v="74.41"/>
    <n v="10"/>
    <n v="7.44"/>
    <n v="15.48"/>
    <n v="49.75"/>
    <n v="10.050000000000001"/>
    <n v="2.2400000000000002"/>
    <s v="No"/>
    <n v="0"/>
    <n v="66.97"/>
    <n v="77.52"/>
    <n v="-10.55"/>
    <n v="0"/>
  </r>
  <r>
    <s v="ORD-001674"/>
    <s v="C-0234"/>
    <d v="2024-10-06T00:00:00"/>
    <s v="Mobile App"/>
    <s v="PayPal"/>
    <s v="Midwest"/>
    <n v="2"/>
    <x v="0"/>
    <n v="95.12"/>
    <n v="5"/>
    <n v="4.76"/>
    <n v="36.340000000000003"/>
    <n v="51.28"/>
    <n v="0"/>
    <n v="2.92"/>
    <s v="No"/>
    <n v="0"/>
    <n v="90.36"/>
    <n v="90.54"/>
    <n v="-0.18"/>
    <n v="0"/>
  </r>
  <r>
    <s v="ORD-001675"/>
    <s v="C-0245"/>
    <d v="2025-09-27T00:00:00"/>
    <s v="Website"/>
    <s v="Buy Now Pay Later"/>
    <s v="Midwest"/>
    <n v="1"/>
    <x v="2"/>
    <n v="72.56"/>
    <n v="10"/>
    <n v="7.26"/>
    <n v="8.6999999999999993"/>
    <n v="35.81"/>
    <n v="0"/>
    <n v="2.19"/>
    <s v="No"/>
    <n v="0"/>
    <n v="65.3"/>
    <n v="46.7"/>
    <n v="18.600000000000001"/>
    <n v="0"/>
  </r>
  <r>
    <s v="ORD-001676"/>
    <s v="C-0397"/>
    <d v="2025-06-18T00:00:00"/>
    <s v="Website"/>
    <s v="Debit Card"/>
    <s v="Northeast"/>
    <n v="1"/>
    <x v="7"/>
    <n v="57.08"/>
    <n v="15"/>
    <n v="8.56"/>
    <n v="11.26"/>
    <n v="26.65"/>
    <n v="0"/>
    <n v="1.71"/>
    <s v="No"/>
    <n v="0"/>
    <n v="48.52"/>
    <n v="39.619999999999997"/>
    <n v="8.9"/>
    <n v="0"/>
  </r>
  <r>
    <s v="ORD-001677"/>
    <s v="C-0560"/>
    <d v="2025-02-15T00:00:00"/>
    <s v="Mobile App"/>
    <s v="Credit Card"/>
    <s v="Northeast"/>
    <n v="2"/>
    <x v="5"/>
    <n v="121.56"/>
    <n v="10"/>
    <n v="12.16"/>
    <n v="33.22"/>
    <n v="64.819999999999993"/>
    <n v="0"/>
    <n v="3.47"/>
    <s v="No"/>
    <n v="0"/>
    <n v="109.4"/>
    <n v="101.51"/>
    <n v="7.89"/>
    <n v="0"/>
  </r>
  <r>
    <s v="ORD-001678"/>
    <s v="C-0282"/>
    <d v="2025-02-03T00:00:00"/>
    <s v="Marketplace"/>
    <s v="PayPal"/>
    <s v="Northeast"/>
    <n v="4"/>
    <x v="4"/>
    <n v="137.29"/>
    <n v="0"/>
    <n v="0"/>
    <n v="77.78"/>
    <n v="56.8"/>
    <n v="20.59"/>
    <n v="4.28"/>
    <s v="No"/>
    <n v="0"/>
    <n v="137.29"/>
    <n v="159.44999999999999"/>
    <n v="-22.16"/>
    <n v="0"/>
  </r>
  <r>
    <s v="ORD-001679"/>
    <s v="C-0005"/>
    <d v="2025-05-12T00:00:00"/>
    <s v="Mobile App"/>
    <s v="Gift Card"/>
    <s v="West Coast"/>
    <n v="1"/>
    <x v="5"/>
    <n v="129.80000000000001"/>
    <n v="5"/>
    <n v="6.49"/>
    <n v="3.82"/>
    <n v="38.64"/>
    <n v="0"/>
    <n v="3.88"/>
    <s v="No"/>
    <n v="0"/>
    <n v="123.31"/>
    <n v="46.34"/>
    <n v="76.97"/>
    <n v="0"/>
  </r>
  <r>
    <s v="ORD-001680"/>
    <s v="C-0592"/>
    <d v="2025-07-16T00:00:00"/>
    <s v="Mobile App"/>
    <s v="Gift Card"/>
    <s v="Southwest"/>
    <n v="2"/>
    <x v="3"/>
    <n v="66.290000000000006"/>
    <n v="0"/>
    <n v="0"/>
    <n v="16.68"/>
    <n v="33.299999999999997"/>
    <n v="0"/>
    <n v="2.2200000000000002"/>
    <s v="No"/>
    <n v="0"/>
    <n v="66.290000000000006"/>
    <n v="52.2"/>
    <n v="14.09"/>
    <n v="0"/>
  </r>
  <r>
    <s v="ORD-001681"/>
    <s v="C-0404"/>
    <d v="2025-04-30T00:00:00"/>
    <s v="Marketplace"/>
    <s v="Credit Card"/>
    <s v="Northeast"/>
    <n v="3"/>
    <x v="6"/>
    <n v="217.33"/>
    <n v="0"/>
    <n v="0"/>
    <n v="31.22"/>
    <n v="70.03"/>
    <n v="32.6"/>
    <n v="6.6"/>
    <s v="No"/>
    <n v="0"/>
    <n v="217.33"/>
    <n v="140.44999999999999"/>
    <n v="76.88"/>
    <n v="0"/>
  </r>
  <r>
    <s v="ORD-001682"/>
    <s v="C-0786"/>
    <d v="2025-12-27T00:00:00"/>
    <s v="Mobile App"/>
    <s v="PayPal"/>
    <s v="Midwest"/>
    <n v="1"/>
    <x v="4"/>
    <n v="13.66"/>
    <n v="0"/>
    <n v="0"/>
    <n v="10.62"/>
    <n v="4.6900000000000004"/>
    <n v="0"/>
    <n v="0.7"/>
    <s v="No"/>
    <n v="0"/>
    <n v="13.66"/>
    <n v="16.010000000000002"/>
    <n v="-2.35"/>
    <n v="0"/>
  </r>
  <r>
    <s v="ORD-001683"/>
    <s v="C-0373"/>
    <d v="2025-10-18T00:00:00"/>
    <s v="Website"/>
    <s v="PayPal"/>
    <s v="Midwest"/>
    <n v="3"/>
    <x v="4"/>
    <n v="154.01"/>
    <n v="0"/>
    <n v="0"/>
    <n v="27.94"/>
    <n v="80.78"/>
    <n v="0"/>
    <n v="4.7699999999999996"/>
    <s v="No"/>
    <n v="0"/>
    <n v="154.01"/>
    <n v="113.49"/>
    <n v="40.520000000000003"/>
    <n v="0"/>
  </r>
  <r>
    <s v="ORD-001684"/>
    <s v="C-0677"/>
    <d v="2025-12-16T00:00:00"/>
    <s v="Mobile App"/>
    <s v="Credit Card"/>
    <s v="West Coast"/>
    <n v="1"/>
    <x v="7"/>
    <n v="215.49"/>
    <n v="0"/>
    <n v="0"/>
    <n v="30.42"/>
    <n v="142.68"/>
    <n v="0"/>
    <n v="6.55"/>
    <s v="No"/>
    <n v="0"/>
    <n v="215.49"/>
    <n v="179.65"/>
    <n v="35.840000000000003"/>
    <n v="0"/>
  </r>
  <r>
    <s v="ORD-001685"/>
    <s v="C-0307"/>
    <d v="2025-07-28T00:00:00"/>
    <s v="Mobile App"/>
    <s v="Debit Card"/>
    <s v="Northeast"/>
    <n v="1"/>
    <x v="0"/>
    <n v="29.99"/>
    <n v="5"/>
    <n v="1.5"/>
    <n v="9.26"/>
    <n v="13.51"/>
    <n v="0"/>
    <n v="1.1299999999999999"/>
    <s v="No"/>
    <n v="0"/>
    <n v="28.49"/>
    <n v="23.9"/>
    <n v="4.59"/>
    <n v="0"/>
  </r>
  <r>
    <s v="ORD-001686"/>
    <s v="C-0460"/>
    <d v="2025-03-25T00:00:00"/>
    <s v="Website"/>
    <s v="PayPal"/>
    <s v="West Coast"/>
    <n v="2"/>
    <x v="2"/>
    <n v="136.58000000000001"/>
    <n v="5"/>
    <n v="6.83"/>
    <n v="10.039999999999999"/>
    <n v="56.55"/>
    <n v="0"/>
    <n v="4.0599999999999996"/>
    <s v="No"/>
    <n v="0"/>
    <n v="129.75"/>
    <n v="70.650000000000006"/>
    <n v="59.1"/>
    <n v="0"/>
  </r>
  <r>
    <s v="ORD-001687"/>
    <s v="C-0696"/>
    <d v="2024-09-29T00:00:00"/>
    <s v="Website"/>
    <s v="Credit Card"/>
    <s v="Northeast"/>
    <n v="1"/>
    <x v="5"/>
    <n v="85.06"/>
    <n v="5"/>
    <n v="4.25"/>
    <n v="11.82"/>
    <n v="36.72"/>
    <n v="0"/>
    <n v="2.64"/>
    <s v="No"/>
    <n v="0"/>
    <n v="80.81"/>
    <n v="51.18"/>
    <n v="29.63"/>
    <n v="0"/>
  </r>
  <r>
    <s v="ORD-001688"/>
    <s v="C-0076"/>
    <d v="2025-08-05T00:00:00"/>
    <s v="Mobile App"/>
    <s v="Credit Card"/>
    <s v="Northeast"/>
    <n v="3"/>
    <x v="0"/>
    <n v="572.61"/>
    <n v="5"/>
    <n v="28.63"/>
    <n v="24.16"/>
    <n v="196.39"/>
    <n v="0"/>
    <n v="16.079999999999998"/>
    <s v="No"/>
    <n v="0"/>
    <n v="543.98"/>
    <n v="236.63"/>
    <n v="307.35000000000002"/>
    <n v="0"/>
  </r>
  <r>
    <s v="ORD-001689"/>
    <s v="C-0542"/>
    <d v="2025-11-11T00:00:00"/>
    <s v="Mobile App"/>
    <s v="Credit Card"/>
    <s v="West Coast"/>
    <n v="2"/>
    <x v="6"/>
    <n v="27.3"/>
    <n v="5"/>
    <n v="1.36"/>
    <n v="23.24"/>
    <n v="17.82"/>
    <n v="0"/>
    <n v="1.05"/>
    <s v="No"/>
    <n v="0"/>
    <n v="25.94"/>
    <n v="42.11"/>
    <n v="-16.170000000000002"/>
    <n v="0"/>
  </r>
  <r>
    <s v="ORD-001690"/>
    <s v="C-0170"/>
    <d v="2025-07-31T00:00:00"/>
    <s v="Mobile App"/>
    <s v="PayPal"/>
    <s v="Northeast"/>
    <n v="3"/>
    <x v="5"/>
    <n v="458.95"/>
    <n v="20"/>
    <n v="91.79"/>
    <n v="46.8"/>
    <n v="159.37"/>
    <n v="0"/>
    <n v="10.95"/>
    <s v="No"/>
    <n v="0"/>
    <n v="367.16"/>
    <n v="217.12"/>
    <n v="150.04"/>
    <n v="0"/>
  </r>
  <r>
    <s v="ORD-001691"/>
    <s v="C-0732"/>
    <d v="2024-09-06T00:00:00"/>
    <s v="Marketplace"/>
    <s v="Gift Card"/>
    <s v="Northeast"/>
    <n v="2"/>
    <x v="5"/>
    <n v="112.12"/>
    <n v="20"/>
    <n v="22.42"/>
    <n v="36.4"/>
    <n v="61.48"/>
    <n v="13.46"/>
    <n v="2.9"/>
    <s v="No"/>
    <n v="0"/>
    <n v="89.7"/>
    <n v="114.24"/>
    <n v="-24.54"/>
    <n v="0"/>
  </r>
  <r>
    <s v="ORD-001692"/>
    <s v="C-0108"/>
    <d v="2025-07-04T00:00:00"/>
    <s v="Marketplace"/>
    <s v="Credit Card"/>
    <s v="West Coast"/>
    <n v="3"/>
    <x v="6"/>
    <n v="112.79"/>
    <n v="20"/>
    <n v="22.56"/>
    <n v="52.94"/>
    <n v="38.17"/>
    <n v="13.53"/>
    <n v="2.92"/>
    <s v="No"/>
    <n v="0"/>
    <n v="90.23"/>
    <n v="107.56"/>
    <n v="-17.329999999999998"/>
    <n v="0"/>
  </r>
  <r>
    <s v="ORD-001693"/>
    <s v="C-0107"/>
    <d v="2025-09-10T00:00:00"/>
    <s v="Mobile App"/>
    <s v="PayPal"/>
    <s v="Southeast"/>
    <n v="1"/>
    <x v="0"/>
    <n v="182.6"/>
    <n v="0"/>
    <n v="0"/>
    <n v="8.7799999999999994"/>
    <n v="60.94"/>
    <n v="0"/>
    <n v="5.6"/>
    <s v="No"/>
    <n v="0"/>
    <n v="182.6"/>
    <n v="75.319999999999993"/>
    <n v="107.28"/>
    <n v="0"/>
  </r>
  <r>
    <s v="ORD-001694"/>
    <s v="C-0774"/>
    <d v="2024-12-30T00:00:00"/>
    <s v="Marketplace"/>
    <s v="Credit Card"/>
    <s v="West Coast"/>
    <n v="2"/>
    <x v="7"/>
    <n v="275.56"/>
    <n v="0"/>
    <n v="0"/>
    <n v="32.9"/>
    <n v="80.02"/>
    <n v="41.33"/>
    <n v="8.2899999999999991"/>
    <s v="No"/>
    <n v="0"/>
    <n v="275.56"/>
    <n v="162.54"/>
    <n v="113.02"/>
    <n v="0"/>
  </r>
  <r>
    <s v="ORD-001695"/>
    <s v="C-0441"/>
    <d v="2025-01-15T00:00:00"/>
    <s v="Marketplace"/>
    <s v="PayPal"/>
    <s v="Midwest"/>
    <n v="2"/>
    <x v="1"/>
    <n v="94.12"/>
    <n v="0"/>
    <n v="0"/>
    <n v="19"/>
    <n v="40.15"/>
    <n v="14.12"/>
    <n v="3.03"/>
    <s v="No"/>
    <n v="0"/>
    <n v="94.12"/>
    <n v="76.3"/>
    <n v="17.82"/>
    <n v="0"/>
  </r>
  <r>
    <s v="ORD-001696"/>
    <s v="C-0033"/>
    <d v="2025-09-01T00:00:00"/>
    <s v="Social Commerce"/>
    <s v="PayPal"/>
    <s v="West Coast"/>
    <n v="2"/>
    <x v="1"/>
    <n v="97.7"/>
    <n v="15"/>
    <n v="14.65"/>
    <n v="12.84"/>
    <n v="33.159999999999997"/>
    <n v="6.64"/>
    <n v="2.71"/>
    <s v="No"/>
    <n v="0"/>
    <n v="83.05"/>
    <n v="55.35"/>
    <n v="27.7"/>
    <n v="0"/>
  </r>
  <r>
    <s v="ORD-001697"/>
    <s v="C-0049"/>
    <d v="2025-07-08T00:00:00"/>
    <s v="Social Commerce"/>
    <s v="Gift Card"/>
    <s v="Northeast"/>
    <n v="1"/>
    <x v="5"/>
    <n v="129.80000000000001"/>
    <n v="5"/>
    <n v="6.49"/>
    <n v="3.82"/>
    <n v="38.64"/>
    <n v="9.86"/>
    <n v="3.88"/>
    <s v="Yes"/>
    <n v="123.31"/>
    <n v="0"/>
    <n v="56.2"/>
    <n v="-56.2"/>
    <n v="0"/>
  </r>
  <r>
    <s v="ORD-001698"/>
    <s v="C-0449"/>
    <d v="2025-06-16T00:00:00"/>
    <s v="Marketplace"/>
    <s v="PayPal"/>
    <s v="Southwest"/>
    <n v="1"/>
    <x v="1"/>
    <n v="11.82"/>
    <n v="15"/>
    <n v="1.77"/>
    <n v="11.9"/>
    <n v="5.81"/>
    <n v="1.51"/>
    <n v="0.59"/>
    <s v="No"/>
    <n v="0"/>
    <n v="10.050000000000001"/>
    <n v="19.809999999999999"/>
    <n v="-9.76"/>
    <n v="0"/>
  </r>
  <r>
    <s v="ORD-001699"/>
    <s v="C-0383"/>
    <d v="2024-04-16T00:00:00"/>
    <s v="Website"/>
    <s v="Buy Now Pay Later"/>
    <s v="Southeast"/>
    <n v="2"/>
    <x v="5"/>
    <n v="178.36"/>
    <n v="0"/>
    <n v="0"/>
    <n v="36.4"/>
    <n v="76.680000000000007"/>
    <n v="0"/>
    <n v="5.47"/>
    <s v="No"/>
    <n v="0"/>
    <n v="178.36"/>
    <n v="118.55"/>
    <n v="59.81"/>
    <n v="1"/>
  </r>
  <r>
    <s v="ORD-001700"/>
    <s v="C-0474"/>
    <d v="2024-12-13T00:00:00"/>
    <s v="Marketplace"/>
    <s v="PayPal"/>
    <s v="Midwest"/>
    <n v="3"/>
    <x v="5"/>
    <n v="452.96"/>
    <n v="0"/>
    <n v="0"/>
    <n v="34.96"/>
    <n v="145.16999999999999"/>
    <n v="67.94"/>
    <n v="13.44"/>
    <s v="No"/>
    <n v="0"/>
    <n v="452.96"/>
    <n v="261.51"/>
    <n v="191.45"/>
    <n v="0"/>
  </r>
  <r>
    <s v="ORD-001701"/>
    <s v="C-0569"/>
    <d v="2024-08-23T00:00:00"/>
    <s v="Marketplace"/>
    <s v="PayPal"/>
    <s v="Midwest"/>
    <n v="4"/>
    <x v="7"/>
    <n v="472.27"/>
    <n v="10"/>
    <n v="47.23"/>
    <n v="70.900000000000006"/>
    <n v="205.09"/>
    <n v="63.76"/>
    <n v="12.63"/>
    <s v="Yes"/>
    <n v="425.04"/>
    <n v="0"/>
    <n v="352.38"/>
    <n v="-352.38"/>
    <n v="0"/>
  </r>
  <r>
    <s v="ORD-001702"/>
    <s v="C-0168"/>
    <d v="2025-06-06T00:00:00"/>
    <s v="Mobile App"/>
    <s v="Credit Card"/>
    <s v="West Coast"/>
    <n v="1"/>
    <x v="4"/>
    <n v="49.76"/>
    <n v="10"/>
    <n v="4.9800000000000004"/>
    <n v="14.04"/>
    <n v="27.54"/>
    <n v="0"/>
    <n v="1.6"/>
    <s v="No"/>
    <n v="0"/>
    <n v="44.78"/>
    <n v="43.18"/>
    <n v="1.6"/>
    <n v="0"/>
  </r>
  <r>
    <s v="ORD-001703"/>
    <s v="C-0594"/>
    <d v="2025-07-13T00:00:00"/>
    <s v="Mobile App"/>
    <s v="Credit Card"/>
    <s v="Southeast"/>
    <n v="2"/>
    <x v="3"/>
    <n v="173.57"/>
    <n v="0"/>
    <n v="0"/>
    <n v="28.5"/>
    <n v="69.23"/>
    <n v="0"/>
    <n v="5.33"/>
    <s v="No"/>
    <n v="0"/>
    <n v="173.57"/>
    <n v="103.06"/>
    <n v="70.510000000000005"/>
    <n v="1"/>
  </r>
  <r>
    <s v="ORD-001704"/>
    <s v="C-0426"/>
    <d v="2025-07-15T00:00:00"/>
    <s v="Website"/>
    <s v="Credit Card"/>
    <s v="Midwest"/>
    <n v="1"/>
    <x v="1"/>
    <n v="23.64"/>
    <n v="10"/>
    <n v="2.36"/>
    <n v="23.8"/>
    <n v="11.62"/>
    <n v="0"/>
    <n v="0.92"/>
    <s v="No"/>
    <n v="0"/>
    <n v="21.28"/>
    <n v="36.340000000000003"/>
    <n v="-15.06"/>
    <n v="0"/>
  </r>
  <r>
    <s v="ORD-001705"/>
    <s v="C-0513"/>
    <d v="2025-06-12T00:00:00"/>
    <s v="Website"/>
    <s v="Debit Card"/>
    <s v="Northeast"/>
    <n v="1"/>
    <x v="0"/>
    <n v="68.98"/>
    <n v="10"/>
    <n v="6.9"/>
    <n v="14.54"/>
    <n v="25.39"/>
    <n v="0"/>
    <n v="2.1"/>
    <s v="No"/>
    <n v="0"/>
    <n v="62.08"/>
    <n v="42.03"/>
    <n v="20.05"/>
    <n v="0"/>
  </r>
  <r>
    <s v="ORD-001706"/>
    <s v="C-0749"/>
    <d v="2025-05-23T00:00:00"/>
    <s v="Mobile App"/>
    <s v="Credit Card"/>
    <s v="Midwest"/>
    <n v="1"/>
    <x v="1"/>
    <n v="36.6"/>
    <n v="10"/>
    <n v="3.66"/>
    <n v="10.62"/>
    <n v="14.64"/>
    <n v="0"/>
    <n v="1.26"/>
    <s v="No"/>
    <n v="0"/>
    <n v="32.94"/>
    <n v="26.52"/>
    <n v="6.42"/>
    <n v="0"/>
  </r>
  <r>
    <s v="ORD-001707"/>
    <s v="C-0044"/>
    <d v="2025-06-20T00:00:00"/>
    <s v="Marketplace"/>
    <s v="Credit Card"/>
    <s v="Southwest"/>
    <n v="3"/>
    <x v="4"/>
    <n v="165.32"/>
    <n v="10"/>
    <n v="16.53"/>
    <n v="42.06"/>
    <n v="101.71"/>
    <n v="22.32"/>
    <n v="4.6100000000000003"/>
    <s v="No"/>
    <n v="0"/>
    <n v="148.79"/>
    <n v="170.7"/>
    <n v="-21.91"/>
    <n v="0"/>
  </r>
  <r>
    <s v="ORD-001708"/>
    <s v="C-0049"/>
    <d v="2025-08-08T00:00:00"/>
    <s v="Website"/>
    <s v="PayPal"/>
    <s v="Midwest"/>
    <n v="1"/>
    <x v="6"/>
    <n v="19.309999999999999"/>
    <n v="10"/>
    <n v="1.93"/>
    <n v="5.9"/>
    <n v="6.23"/>
    <n v="0"/>
    <n v="0.8"/>
    <s v="Yes"/>
    <n v="17.38"/>
    <n v="0"/>
    <n v="12.93"/>
    <n v="-12.93"/>
    <n v="0"/>
  </r>
  <r>
    <s v="ORD-001709"/>
    <s v="C-0445"/>
    <d v="2025-05-08T00:00:00"/>
    <s v="Marketplace"/>
    <s v="Credit Card"/>
    <s v="Southwest"/>
    <n v="5"/>
    <x v="4"/>
    <n v="235.23"/>
    <n v="10"/>
    <n v="23.52"/>
    <n v="81.94"/>
    <n v="117.98"/>
    <n v="31.76"/>
    <n v="6.44"/>
    <s v="No"/>
    <n v="0"/>
    <n v="211.71"/>
    <n v="238.12"/>
    <n v="-26.41"/>
    <n v="0"/>
  </r>
  <r>
    <s v="ORD-001710"/>
    <s v="C-0792"/>
    <d v="2025-06-29T00:00:00"/>
    <s v="Marketplace"/>
    <s v="PayPal"/>
    <s v="Midwest"/>
    <n v="2"/>
    <x v="0"/>
    <n v="139.16999999999999"/>
    <n v="0"/>
    <n v="0"/>
    <n v="23.72"/>
    <n v="78.23"/>
    <n v="20.88"/>
    <n v="4.34"/>
    <s v="No"/>
    <n v="0"/>
    <n v="139.16999999999999"/>
    <n v="127.17"/>
    <n v="12"/>
    <n v="1"/>
  </r>
  <r>
    <s v="ORD-001711"/>
    <s v="C-0382"/>
    <d v="2024-12-26T00:00:00"/>
    <s v="Mobile App"/>
    <s v="Debit Card"/>
    <s v="Midwest"/>
    <n v="1"/>
    <x v="6"/>
    <n v="26.5"/>
    <n v="0"/>
    <n v="0"/>
    <n v="5.5"/>
    <n v="8.06"/>
    <n v="0"/>
    <n v="1.07"/>
    <s v="No"/>
    <n v="0"/>
    <n v="26.5"/>
    <n v="14.63"/>
    <n v="11.87"/>
    <n v="0"/>
  </r>
  <r>
    <s v="ORD-001712"/>
    <s v="C-0338"/>
    <d v="2025-04-07T00:00:00"/>
    <s v="Mobile App"/>
    <s v="Gift Card"/>
    <s v="Southeast"/>
    <n v="2"/>
    <x v="3"/>
    <n v="281.41000000000003"/>
    <n v="5"/>
    <n v="14.07"/>
    <n v="44.06"/>
    <n v="139.19999999999999"/>
    <n v="0"/>
    <n v="8.0500000000000007"/>
    <s v="No"/>
    <n v="0"/>
    <n v="267.33999999999997"/>
    <n v="191.31"/>
    <n v="76.03"/>
    <n v="0"/>
  </r>
  <r>
    <s v="ORD-001713"/>
    <s v="C-0500"/>
    <d v="2025-09-09T00:00:00"/>
    <s v="Mobile App"/>
    <s v="PayPal"/>
    <s v="West Coast"/>
    <n v="2"/>
    <x v="4"/>
    <n v="165.34"/>
    <n v="25"/>
    <n v="41.34"/>
    <n v="35.22"/>
    <n v="73.650000000000006"/>
    <n v="0"/>
    <n v="3.9"/>
    <s v="No"/>
    <n v="0"/>
    <n v="124"/>
    <n v="112.77"/>
    <n v="11.23"/>
    <n v="0"/>
  </r>
  <r>
    <s v="ORD-001714"/>
    <s v="C-0052"/>
    <d v="2025-08-22T00:00:00"/>
    <s v="Website"/>
    <s v="Credit Card"/>
    <s v="West Coast"/>
    <n v="1"/>
    <x v="2"/>
    <n v="113.43"/>
    <n v="0"/>
    <n v="0"/>
    <n v="17.22"/>
    <n v="34.65"/>
    <n v="0"/>
    <n v="3.59"/>
    <s v="No"/>
    <n v="0"/>
    <n v="113.43"/>
    <n v="55.46"/>
    <n v="57.97"/>
    <n v="0"/>
  </r>
  <r>
    <s v="ORD-001715"/>
    <s v="C-0728"/>
    <d v="2024-08-15T00:00:00"/>
    <s v="Website"/>
    <s v="Credit Card"/>
    <s v="Southeast"/>
    <n v="1"/>
    <x v="1"/>
    <n v="94.64"/>
    <n v="0"/>
    <n v="0"/>
    <n v="18.2"/>
    <n v="41.88"/>
    <n v="0"/>
    <n v="3.04"/>
    <s v="No"/>
    <n v="0"/>
    <n v="94.64"/>
    <n v="63.12"/>
    <n v="31.52"/>
    <n v="0"/>
  </r>
  <r>
    <s v="ORD-001716"/>
    <s v="C-0213"/>
    <d v="2025-09-23T00:00:00"/>
    <s v="Marketplace"/>
    <s v="Debit Card"/>
    <s v="Southeast"/>
    <n v="1"/>
    <x v="0"/>
    <n v="20.67"/>
    <n v="15"/>
    <n v="3.1"/>
    <n v="4.3"/>
    <n v="5.96"/>
    <n v="2.64"/>
    <n v="0.81"/>
    <s v="No"/>
    <n v="0"/>
    <n v="17.57"/>
    <n v="13.71"/>
    <n v="3.86"/>
    <n v="0"/>
  </r>
  <r>
    <s v="ORD-001717"/>
    <s v="C-0788"/>
    <d v="2024-08-17T00:00:00"/>
    <s v="Website"/>
    <s v="Credit Card"/>
    <s v="West Coast"/>
    <n v="1"/>
    <x v="4"/>
    <n v="6.07"/>
    <n v="10"/>
    <n v="0.61"/>
    <n v="12.94"/>
    <n v="4.1399999999999997"/>
    <n v="0"/>
    <n v="0.46"/>
    <s v="No"/>
    <n v="0"/>
    <n v="5.46"/>
    <n v="17.54"/>
    <n v="-12.08"/>
    <n v="0"/>
  </r>
  <r>
    <s v="ORD-001718"/>
    <s v="C-0558"/>
    <d v="2025-06-17T00:00:00"/>
    <s v="Marketplace"/>
    <s v="Credit Card"/>
    <s v="Northeast"/>
    <n v="3"/>
    <x v="0"/>
    <n v="294.41000000000003"/>
    <n v="15"/>
    <n v="44.16"/>
    <n v="33.76"/>
    <n v="98.59"/>
    <n v="37.54"/>
    <n v="7.56"/>
    <s v="No"/>
    <n v="0"/>
    <n v="250.25"/>
    <n v="177.45"/>
    <n v="72.8"/>
    <n v="0"/>
  </r>
  <r>
    <s v="ORD-001719"/>
    <s v="C-0030"/>
    <d v="2025-02-27T00:00:00"/>
    <s v="Marketplace"/>
    <s v="PayPal"/>
    <s v="Midwest"/>
    <n v="1"/>
    <x v="4"/>
    <n v="20.57"/>
    <n v="10"/>
    <n v="2.06"/>
    <n v="7.02"/>
    <n v="7.36"/>
    <n v="2.78"/>
    <n v="0.84"/>
    <s v="No"/>
    <n v="0"/>
    <n v="18.510000000000002"/>
    <n v="18"/>
    <n v="0.51"/>
    <n v="0"/>
  </r>
  <r>
    <s v="ORD-001720"/>
    <s v="C-0653"/>
    <d v="2025-03-12T00:00:00"/>
    <s v="Website"/>
    <s v="PayPal"/>
    <s v="Southeast"/>
    <n v="1"/>
    <x v="0"/>
    <n v="370.06"/>
    <n v="10"/>
    <n v="37.01"/>
    <n v="10.84"/>
    <n v="133.38"/>
    <n v="0"/>
    <n v="9.9600000000000009"/>
    <s v="No"/>
    <n v="0"/>
    <n v="333.05"/>
    <n v="154.18"/>
    <n v="178.87"/>
    <n v="0"/>
  </r>
  <r>
    <s v="ORD-001721"/>
    <s v="C-0483"/>
    <d v="2025-04-18T00:00:00"/>
    <s v="Mobile App"/>
    <s v="Gift Card"/>
    <s v="Midwest"/>
    <n v="1"/>
    <x v="2"/>
    <n v="90.83"/>
    <n v="15"/>
    <n v="13.62"/>
    <n v="15.42"/>
    <n v="26.68"/>
    <n v="0"/>
    <n v="2.54"/>
    <s v="No"/>
    <n v="0"/>
    <n v="77.209999999999994"/>
    <n v="44.64"/>
    <n v="32.57"/>
    <n v="0"/>
  </r>
  <r>
    <s v="ORD-001722"/>
    <s v="C-0780"/>
    <d v="2025-02-25T00:00:00"/>
    <s v="Mobile App"/>
    <s v="Credit Card"/>
    <s v="Southeast"/>
    <n v="1"/>
    <x v="0"/>
    <n v="137.96"/>
    <n v="5"/>
    <n v="6.9"/>
    <n v="29.08"/>
    <n v="50.78"/>
    <n v="0"/>
    <n v="4.0999999999999996"/>
    <s v="No"/>
    <n v="0"/>
    <n v="131.06"/>
    <n v="83.96"/>
    <n v="47.1"/>
    <n v="0"/>
  </r>
  <r>
    <s v="ORD-001723"/>
    <s v="C-0573"/>
    <d v="2024-07-18T00:00:00"/>
    <s v="Website"/>
    <s v="Credit Card"/>
    <s v="Southwest"/>
    <n v="3"/>
    <x v="4"/>
    <n v="174.26"/>
    <n v="0"/>
    <n v="0"/>
    <n v="74.84"/>
    <n v="100.13"/>
    <n v="0"/>
    <n v="5.35"/>
    <s v="No"/>
    <n v="0"/>
    <n v="174.26"/>
    <n v="180.32"/>
    <n v="-6.06"/>
    <n v="0"/>
  </r>
  <r>
    <s v="ORD-001724"/>
    <s v="C-0322"/>
    <d v="2025-09-04T00:00:00"/>
    <s v="Website"/>
    <s v="Buy Now Pay Later"/>
    <s v="Southeast"/>
    <n v="3"/>
    <x v="7"/>
    <n v="203.79"/>
    <n v="0"/>
    <n v="0"/>
    <n v="34.26"/>
    <n v="71.13"/>
    <n v="0"/>
    <n v="6.21"/>
    <s v="No"/>
    <n v="0"/>
    <n v="203.79"/>
    <n v="111.6"/>
    <n v="92.19"/>
    <n v="0"/>
  </r>
  <r>
    <s v="ORD-001725"/>
    <s v="C-0241"/>
    <d v="2025-03-23T00:00:00"/>
    <s v="Marketplace"/>
    <s v="Credit Card"/>
    <s v="Southeast"/>
    <n v="3"/>
    <x v="5"/>
    <n v="229.15"/>
    <n v="0"/>
    <n v="0"/>
    <n v="46.62"/>
    <n v="98.65"/>
    <n v="34.369999999999997"/>
    <n v="6.95"/>
    <s v="No"/>
    <n v="0"/>
    <n v="229.15"/>
    <n v="186.59"/>
    <n v="42.56"/>
    <n v="0"/>
  </r>
  <r>
    <s v="ORD-001726"/>
    <s v="C-0058"/>
    <d v="2025-05-03T00:00:00"/>
    <s v="Mobile App"/>
    <s v="Debit Card"/>
    <s v="Southeast"/>
    <n v="1"/>
    <x v="0"/>
    <n v="547.79999999999995"/>
    <n v="20"/>
    <n v="109.56"/>
    <n v="26.34"/>
    <n v="182.82"/>
    <n v="0"/>
    <n v="13.01"/>
    <s v="No"/>
    <n v="0"/>
    <n v="438.24"/>
    <n v="222.17"/>
    <n v="216.07"/>
    <n v="0"/>
  </r>
  <r>
    <s v="ORD-001727"/>
    <s v="C-0140"/>
    <d v="2025-07-09T00:00:00"/>
    <s v="Website"/>
    <s v="PayPal"/>
    <s v="Southwest"/>
    <n v="1"/>
    <x v="0"/>
    <n v="29.99"/>
    <n v="0"/>
    <n v="0"/>
    <n v="9.26"/>
    <n v="13.51"/>
    <n v="0"/>
    <n v="1.17"/>
    <s v="No"/>
    <n v="0"/>
    <n v="29.99"/>
    <n v="23.94"/>
    <n v="6.05"/>
    <n v="0"/>
  </r>
  <r>
    <s v="ORD-001728"/>
    <s v="C-0596"/>
    <d v="2025-02-28T00:00:00"/>
    <s v="Mobile App"/>
    <s v="Credit Card"/>
    <s v="Southwest"/>
    <n v="1"/>
    <x v="4"/>
    <n v="56"/>
    <n v="15"/>
    <n v="8.4"/>
    <n v="12.86"/>
    <n v="19.82"/>
    <n v="0"/>
    <n v="1.68"/>
    <s v="No"/>
    <n v="0"/>
    <n v="47.6"/>
    <n v="34.36"/>
    <n v="13.24"/>
    <n v="0"/>
  </r>
  <r>
    <s v="ORD-001729"/>
    <s v="C-0687"/>
    <d v="2025-03-28T00:00:00"/>
    <s v="Marketplace"/>
    <s v="Gift Card"/>
    <s v="Midwest"/>
    <n v="1"/>
    <x v="4"/>
    <n v="20.57"/>
    <n v="15"/>
    <n v="3.09"/>
    <n v="7.02"/>
    <n v="7.36"/>
    <n v="2.62"/>
    <n v="0.81"/>
    <s v="No"/>
    <n v="0"/>
    <n v="17.48"/>
    <n v="17.809999999999999"/>
    <n v="-0.33"/>
    <n v="0"/>
  </r>
  <r>
    <s v="ORD-001730"/>
    <s v="C-0629"/>
    <d v="2025-01-01T00:00:00"/>
    <s v="Marketplace"/>
    <s v="Credit Card"/>
    <s v="Southeast"/>
    <n v="4"/>
    <x v="6"/>
    <n v="206.41"/>
    <n v="0"/>
    <n v="0"/>
    <n v="36.24"/>
    <n v="76.53"/>
    <n v="30.96"/>
    <n v="6.29"/>
    <s v="No"/>
    <n v="0"/>
    <n v="206.41"/>
    <n v="150.02000000000001"/>
    <n v="56.39"/>
    <n v="0"/>
  </r>
  <r>
    <s v="ORD-001731"/>
    <s v="C-0007"/>
    <d v="2025-11-12T00:00:00"/>
    <s v="Marketplace"/>
    <s v="Credit Card"/>
    <s v="Southeast"/>
    <n v="3"/>
    <x v="4"/>
    <n v="278.97000000000003"/>
    <n v="10"/>
    <n v="27.9"/>
    <n v="39.200000000000003"/>
    <n v="106.97"/>
    <n v="37.659999999999997"/>
    <n v="7.58"/>
    <s v="No"/>
    <n v="0"/>
    <n v="251.07"/>
    <n v="191.41"/>
    <n v="59.66"/>
    <n v="0"/>
  </r>
  <r>
    <s v="ORD-001732"/>
    <s v="C-0227"/>
    <d v="2025-01-02T00:00:00"/>
    <s v="Marketplace"/>
    <s v="Buy Now Pay Later"/>
    <s v="Northeast"/>
    <n v="2"/>
    <x v="2"/>
    <n v="119.78"/>
    <n v="5"/>
    <n v="5.99"/>
    <n v="14.6"/>
    <n v="56.71"/>
    <n v="17.07"/>
    <n v="3.6"/>
    <s v="No"/>
    <n v="0"/>
    <n v="113.79"/>
    <n v="91.98"/>
    <n v="21.81"/>
    <n v="0"/>
  </r>
  <r>
    <s v="ORD-001733"/>
    <s v="C-0284"/>
    <d v="2025-04-13T00:00:00"/>
    <s v="Mobile App"/>
    <s v="PayPal"/>
    <s v="West Coast"/>
    <n v="5"/>
    <x v="4"/>
    <n v="432.51"/>
    <n v="15"/>
    <n v="64.88"/>
    <n v="57.4"/>
    <n v="165.87"/>
    <n v="0"/>
    <n v="10.96"/>
    <s v="No"/>
    <n v="0"/>
    <n v="367.63"/>
    <n v="234.23"/>
    <n v="133.4"/>
    <n v="0"/>
  </r>
  <r>
    <s v="ORD-001734"/>
    <s v="C-0401"/>
    <d v="2025-10-03T00:00:00"/>
    <s v="Mobile App"/>
    <s v="Credit Card"/>
    <s v="West Coast"/>
    <n v="1"/>
    <x v="5"/>
    <n v="48.08"/>
    <n v="0"/>
    <n v="0"/>
    <n v="15.26"/>
    <n v="34.07"/>
    <n v="0"/>
    <n v="1.69"/>
    <s v="No"/>
    <n v="0"/>
    <n v="48.08"/>
    <n v="51.02"/>
    <n v="-2.94"/>
    <n v="0"/>
  </r>
  <r>
    <s v="ORD-001735"/>
    <s v="C-0531"/>
    <d v="2025-06-15T00:00:00"/>
    <s v="Mobile App"/>
    <s v="PayPal"/>
    <s v="Northeast"/>
    <n v="3"/>
    <x v="7"/>
    <n v="132.04"/>
    <n v="25"/>
    <n v="33.01"/>
    <n v="30.1"/>
    <n v="54.14"/>
    <n v="0"/>
    <n v="3.17"/>
    <s v="Yes"/>
    <n v="99.03"/>
    <n v="0"/>
    <n v="87.41"/>
    <n v="-87.41"/>
    <n v="0"/>
  </r>
  <r>
    <s v="ORD-001736"/>
    <s v="C-0659"/>
    <d v="2025-01-02T00:00:00"/>
    <s v="Mobile App"/>
    <s v="PayPal"/>
    <s v="West Coast"/>
    <n v="1"/>
    <x v="7"/>
    <n v="115.01"/>
    <n v="10"/>
    <n v="11.5"/>
    <n v="13.18"/>
    <n v="35.49"/>
    <n v="0"/>
    <n v="3.3"/>
    <s v="No"/>
    <n v="0"/>
    <n v="103.51"/>
    <n v="51.97"/>
    <n v="51.54"/>
    <n v="0"/>
  </r>
  <r>
    <s v="ORD-001737"/>
    <s v="C-0201"/>
    <d v="2025-09-22T00:00:00"/>
    <s v="Mobile App"/>
    <s v="Credit Card"/>
    <s v="Northeast"/>
    <n v="2"/>
    <x v="3"/>
    <n v="85.7"/>
    <n v="10"/>
    <n v="8.57"/>
    <n v="23.14"/>
    <n v="46.25"/>
    <n v="0"/>
    <n v="2.54"/>
    <s v="No"/>
    <n v="0"/>
    <n v="77.13"/>
    <n v="71.930000000000007"/>
    <n v="5.2"/>
    <n v="1"/>
  </r>
  <r>
    <s v="ORD-001738"/>
    <s v="C-0512"/>
    <d v="2025-04-08T00:00:00"/>
    <s v="Website"/>
    <s v="Credit Card"/>
    <s v="Northeast"/>
    <n v="2"/>
    <x v="2"/>
    <n v="121.44"/>
    <n v="10"/>
    <n v="12.14"/>
    <n v="23.08"/>
    <n v="63.28"/>
    <n v="0"/>
    <n v="3.47"/>
    <s v="No"/>
    <n v="0"/>
    <n v="109.3"/>
    <n v="89.83"/>
    <n v="19.47"/>
    <n v="0"/>
  </r>
  <r>
    <s v="ORD-001739"/>
    <s v="C-0238"/>
    <d v="2025-04-12T00:00:00"/>
    <s v="Website"/>
    <s v="Gift Card"/>
    <s v="Southwest"/>
    <n v="1"/>
    <x v="3"/>
    <n v="14.58"/>
    <n v="0"/>
    <n v="0"/>
    <n v="9.1"/>
    <n v="4.3600000000000003"/>
    <n v="0"/>
    <n v="0.72"/>
    <s v="No"/>
    <n v="0"/>
    <n v="14.58"/>
    <n v="14.18"/>
    <n v="0.4"/>
    <n v="0"/>
  </r>
  <r>
    <s v="ORD-001740"/>
    <s v="C-0256"/>
    <d v="2025-12-10T00:00:00"/>
    <s v="Social Commerce"/>
    <s v="Buy Now Pay Later"/>
    <s v="Southeast"/>
    <n v="3"/>
    <x v="2"/>
    <n v="299.63"/>
    <n v="10"/>
    <n v="29.96"/>
    <n v="34.24"/>
    <n v="111.74"/>
    <n v="21.57"/>
    <n v="8.1199999999999992"/>
    <s v="No"/>
    <n v="0"/>
    <n v="269.67"/>
    <n v="175.67"/>
    <n v="94"/>
    <n v="0"/>
  </r>
  <r>
    <s v="ORD-001741"/>
    <s v="C-0108"/>
    <d v="2025-06-21T00:00:00"/>
    <s v="Marketplace"/>
    <s v="Gift Card"/>
    <s v="Southeast"/>
    <n v="2"/>
    <x v="7"/>
    <n v="544.12"/>
    <n v="0"/>
    <n v="0"/>
    <n v="22.96"/>
    <n v="163.47"/>
    <n v="81.62"/>
    <n v="16.079999999999998"/>
    <s v="No"/>
    <n v="0"/>
    <n v="544.12"/>
    <n v="284.13"/>
    <n v="259.99"/>
    <n v="0"/>
  </r>
  <r>
    <s v="ORD-001742"/>
    <s v="C-0277"/>
    <d v="2025-06-04T00:00:00"/>
    <s v="Website"/>
    <s v="Credit Card"/>
    <s v="Southeast"/>
    <n v="3"/>
    <x v="5"/>
    <n v="518.95000000000005"/>
    <n v="15"/>
    <n v="77.84"/>
    <n v="61.94"/>
    <n v="252.37"/>
    <n v="0"/>
    <n v="13.09"/>
    <s v="No"/>
    <n v="0"/>
    <n v="441.11"/>
    <n v="327.39999999999998"/>
    <n v="113.71"/>
    <n v="0"/>
  </r>
  <r>
    <s v="ORD-001743"/>
    <s v="C-0568"/>
    <d v="2024-08-25T00:00:00"/>
    <s v="Marketplace"/>
    <s v="Buy Now Pay Later"/>
    <s v="West Coast"/>
    <n v="2"/>
    <x v="0"/>
    <n v="206.04"/>
    <n v="0"/>
    <n v="0"/>
    <n v="20.68"/>
    <n v="77.28"/>
    <n v="30.91"/>
    <n v="6.28"/>
    <s v="No"/>
    <n v="0"/>
    <n v="206.04"/>
    <n v="135.15"/>
    <n v="70.89"/>
    <n v="0"/>
  </r>
  <r>
    <s v="ORD-001744"/>
    <s v="C-0504"/>
    <d v="2024-10-17T00:00:00"/>
    <s v="Website"/>
    <s v="PayPal"/>
    <s v="Northeast"/>
    <n v="1"/>
    <x v="7"/>
    <n v="32.909999999999997"/>
    <n v="0"/>
    <n v="0"/>
    <n v="44.58"/>
    <n v="12.42"/>
    <n v="0"/>
    <n v="1.25"/>
    <s v="No"/>
    <n v="0"/>
    <n v="32.909999999999997"/>
    <n v="58.25"/>
    <n v="-25.34"/>
    <n v="0"/>
  </r>
  <r>
    <s v="ORD-001745"/>
    <s v="C-0451"/>
    <d v="2024-11-05T00:00:00"/>
    <s v="Social Commerce"/>
    <s v="Debit Card"/>
    <s v="Southwest"/>
    <n v="2"/>
    <x v="3"/>
    <n v="45.95"/>
    <n v="10"/>
    <n v="4.59"/>
    <n v="17"/>
    <n v="18.350000000000001"/>
    <n v="3.31"/>
    <n v="1.5"/>
    <s v="No"/>
    <n v="0"/>
    <n v="41.36"/>
    <n v="40.159999999999997"/>
    <n v="1.2"/>
    <n v="0"/>
  </r>
  <r>
    <s v="ORD-001746"/>
    <s v="C-0032"/>
    <d v="2025-08-02T00:00:00"/>
    <s v="Marketplace"/>
    <s v="Buy Now Pay Later"/>
    <s v="Southeast"/>
    <n v="5"/>
    <x v="2"/>
    <n v="337.6"/>
    <n v="10"/>
    <n v="33.76"/>
    <n v="89.2"/>
    <n v="121.59"/>
    <n v="45.58"/>
    <n v="9.11"/>
    <s v="No"/>
    <n v="0"/>
    <n v="303.83999999999997"/>
    <n v="265.48"/>
    <n v="38.36"/>
    <n v="0"/>
  </r>
  <r>
    <s v="ORD-001747"/>
    <s v="C-0601"/>
    <d v="2025-03-23T00:00:00"/>
    <s v="Mobile App"/>
    <s v="Buy Now Pay Later"/>
    <s v="Southeast"/>
    <n v="4"/>
    <x v="5"/>
    <n v="167.13"/>
    <n v="0"/>
    <n v="0"/>
    <n v="59.5"/>
    <n v="56.85"/>
    <n v="0"/>
    <n v="5.15"/>
    <s v="No"/>
    <n v="0"/>
    <n v="167.13"/>
    <n v="121.5"/>
    <n v="45.63"/>
    <n v="0"/>
  </r>
  <r>
    <s v="ORD-001748"/>
    <s v="C-0311"/>
    <d v="2025-04-04T00:00:00"/>
    <s v="Marketplace"/>
    <s v="PayPal"/>
    <s v="Southwest"/>
    <n v="1"/>
    <x v="4"/>
    <n v="90.19"/>
    <n v="0"/>
    <n v="0"/>
    <n v="13.42"/>
    <n v="33.04"/>
    <n v="13.53"/>
    <n v="2.92"/>
    <s v="No"/>
    <n v="0"/>
    <n v="90.19"/>
    <n v="62.91"/>
    <n v="27.28"/>
    <n v="0"/>
  </r>
  <r>
    <s v="ORD-001749"/>
    <s v="C-0243"/>
    <d v="2025-08-22T00:00:00"/>
    <s v="Website"/>
    <s v="Credit Card"/>
    <s v="West Coast"/>
    <n v="2"/>
    <x v="2"/>
    <n v="131.68"/>
    <n v="5"/>
    <n v="6.58"/>
    <n v="39.6"/>
    <n v="62.7"/>
    <n v="0"/>
    <n v="3.93"/>
    <s v="No"/>
    <n v="0"/>
    <n v="125.1"/>
    <n v="106.23"/>
    <n v="18.87"/>
    <n v="0"/>
  </r>
  <r>
    <s v="ORD-001750"/>
    <s v="C-0516"/>
    <d v="2025-08-25T00:00:00"/>
    <s v="Mobile App"/>
    <s v="Credit Card"/>
    <s v="Northeast"/>
    <n v="1"/>
    <x v="7"/>
    <n v="67.09"/>
    <n v="0"/>
    <n v="0"/>
    <n v="10.54"/>
    <n v="26.96"/>
    <n v="0"/>
    <n v="2.25"/>
    <s v="No"/>
    <n v="0"/>
    <n v="67.09"/>
    <n v="39.75"/>
    <n v="27.34"/>
    <n v="0"/>
  </r>
  <r>
    <s v="ORD-001751"/>
    <s v="C-0277"/>
    <d v="2024-09-27T00:00:00"/>
    <s v="Mobile App"/>
    <s v="Debit Card"/>
    <s v="Southwest"/>
    <n v="1"/>
    <x v="7"/>
    <n v="314.19"/>
    <n v="10"/>
    <n v="31.42"/>
    <n v="44.82"/>
    <n v="102.45"/>
    <n v="0"/>
    <n v="8.5"/>
    <s v="No"/>
    <n v="0"/>
    <n v="282.77"/>
    <n v="155.77000000000001"/>
    <n v="127"/>
    <n v="0"/>
  </r>
  <r>
    <s v="ORD-001752"/>
    <s v="C-0062"/>
    <d v="2025-02-09T00:00:00"/>
    <s v="Social Commerce"/>
    <s v="Credit Card"/>
    <s v="Midwest"/>
    <n v="1"/>
    <x v="0"/>
    <n v="113.13"/>
    <n v="0"/>
    <n v="0"/>
    <n v="43.38"/>
    <n v="35.67"/>
    <n v="9.0500000000000007"/>
    <n v="3.58"/>
    <s v="No"/>
    <n v="0"/>
    <n v="113.13"/>
    <n v="91.68"/>
    <n v="21.45"/>
    <n v="0"/>
  </r>
  <r>
    <s v="ORD-001753"/>
    <s v="C-0342"/>
    <d v="2025-02-25T00:00:00"/>
    <s v="Website"/>
    <s v="Credit Card"/>
    <s v="Northeast"/>
    <n v="1"/>
    <x v="0"/>
    <n v="24.38"/>
    <n v="15"/>
    <n v="3.66"/>
    <n v="13.9"/>
    <n v="16.190000000000001"/>
    <n v="0"/>
    <n v="0.9"/>
    <s v="No"/>
    <n v="0"/>
    <n v="20.72"/>
    <n v="30.99"/>
    <n v="-10.27"/>
    <n v="0"/>
  </r>
  <r>
    <s v="ORD-001754"/>
    <s v="C-0490"/>
    <d v="2024-03-28T00:00:00"/>
    <s v="Mobile App"/>
    <s v="Debit Card"/>
    <s v="Southwest"/>
    <n v="4"/>
    <x v="3"/>
    <n v="202.66"/>
    <n v="0"/>
    <n v="0"/>
    <n v="45.74"/>
    <n v="95.7"/>
    <n v="0"/>
    <n v="6.18"/>
    <s v="No"/>
    <n v="0"/>
    <n v="202.66"/>
    <n v="147.62"/>
    <n v="55.04"/>
    <n v="0"/>
  </r>
  <r>
    <s v="ORD-001755"/>
    <s v="C-0073"/>
    <d v="2025-06-07T00:00:00"/>
    <s v="Website"/>
    <s v="Debit Card"/>
    <s v="Southeast"/>
    <n v="4"/>
    <x v="7"/>
    <n v="388.48"/>
    <n v="25"/>
    <n v="97.12"/>
    <n v="44.3"/>
    <n v="131.24"/>
    <n v="0"/>
    <n v="8.75"/>
    <s v="No"/>
    <n v="0"/>
    <n v="291.36"/>
    <n v="184.29"/>
    <n v="107.07"/>
    <n v="0"/>
  </r>
  <r>
    <s v="ORD-001756"/>
    <s v="C-0068"/>
    <d v="2025-05-10T00:00:00"/>
    <s v="Website"/>
    <s v="Debit Card"/>
    <s v="Southwest"/>
    <n v="1"/>
    <x v="3"/>
    <n v="36.49"/>
    <n v="0"/>
    <n v="0"/>
    <n v="12.38"/>
    <n v="15.2"/>
    <n v="0"/>
    <n v="1.36"/>
    <s v="No"/>
    <n v="0"/>
    <n v="36.49"/>
    <n v="28.94"/>
    <n v="7.55"/>
    <n v="0"/>
  </r>
  <r>
    <s v="ORD-001757"/>
    <s v="C-0730"/>
    <d v="2025-03-22T00:00:00"/>
    <s v="Mobile App"/>
    <s v="PayPal"/>
    <s v="Northeast"/>
    <n v="1"/>
    <x v="6"/>
    <n v="19.309999999999999"/>
    <n v="0"/>
    <n v="0"/>
    <n v="5.9"/>
    <n v="6.23"/>
    <n v="0"/>
    <n v="0.86"/>
    <s v="No"/>
    <n v="0"/>
    <n v="19.309999999999999"/>
    <n v="12.99"/>
    <n v="6.32"/>
    <n v="0"/>
  </r>
  <r>
    <s v="ORD-001758"/>
    <s v="C-0597"/>
    <d v="2024-04-26T00:00:00"/>
    <s v="Website"/>
    <s v="PayPal"/>
    <s v="West Coast"/>
    <n v="2"/>
    <x v="5"/>
    <n v="361.41"/>
    <n v="0"/>
    <n v="0"/>
    <n v="78.599999999999994"/>
    <n v="131.19"/>
    <n v="0"/>
    <n v="10.78"/>
    <s v="No"/>
    <n v="0"/>
    <n v="361.41"/>
    <n v="220.57"/>
    <n v="140.84"/>
    <n v="0"/>
  </r>
  <r>
    <s v="ORD-001759"/>
    <s v="C-0746"/>
    <d v="2025-12-23T00:00:00"/>
    <s v="Social Commerce"/>
    <s v="Buy Now Pay Later"/>
    <s v="Southeast"/>
    <n v="2"/>
    <x v="5"/>
    <n v="157.13"/>
    <n v="5"/>
    <n v="7.86"/>
    <n v="20.6"/>
    <n v="64.55"/>
    <n v="11.94"/>
    <n v="4.63"/>
    <s v="No"/>
    <n v="0"/>
    <n v="149.27000000000001"/>
    <n v="101.72"/>
    <n v="47.55"/>
    <n v="0"/>
  </r>
  <r>
    <s v="ORD-001760"/>
    <s v="C-0065"/>
    <d v="2025-07-19T00:00:00"/>
    <s v="Marketplace"/>
    <s v="Debit Card"/>
    <s v="West Coast"/>
    <n v="1"/>
    <x v="7"/>
    <n v="26.25"/>
    <n v="15"/>
    <n v="3.94"/>
    <n v="7.18"/>
    <n v="10.78"/>
    <n v="3.35"/>
    <n v="0.95"/>
    <s v="No"/>
    <n v="0"/>
    <n v="22.31"/>
    <n v="22.26"/>
    <n v="0.05"/>
    <n v="0"/>
  </r>
  <r>
    <s v="ORD-001761"/>
    <s v="C-0643"/>
    <d v="2025-01-11T00:00:00"/>
    <s v="Mobile App"/>
    <s v="Credit Card"/>
    <s v="Midwest"/>
    <n v="1"/>
    <x v="6"/>
    <n v="20.82"/>
    <n v="10"/>
    <n v="2.08"/>
    <n v="19.16"/>
    <n v="9.1199999999999992"/>
    <n v="0"/>
    <n v="0.84"/>
    <s v="No"/>
    <n v="0"/>
    <n v="18.739999999999998"/>
    <n v="29.12"/>
    <n v="-10.38"/>
    <n v="0"/>
  </r>
  <r>
    <s v="ORD-001762"/>
    <s v="C-0264"/>
    <d v="2025-07-10T00:00:00"/>
    <s v="Mobile App"/>
    <s v="Debit Card"/>
    <s v="West Coast"/>
    <n v="1"/>
    <x v="6"/>
    <n v="26.5"/>
    <n v="0"/>
    <n v="0"/>
    <n v="5.5"/>
    <n v="8.06"/>
    <n v="0"/>
    <n v="1.07"/>
    <s v="No"/>
    <n v="0"/>
    <n v="26.5"/>
    <n v="14.63"/>
    <n v="11.87"/>
    <n v="0"/>
  </r>
  <r>
    <s v="ORD-001763"/>
    <s v="C-0613"/>
    <d v="2024-10-01T00:00:00"/>
    <s v="Marketplace"/>
    <s v="Debit Card"/>
    <s v="Southeast"/>
    <n v="2"/>
    <x v="6"/>
    <n v="58.82"/>
    <n v="0"/>
    <n v="0"/>
    <n v="14.58"/>
    <n v="22.08"/>
    <n v="8.82"/>
    <n v="2.0099999999999998"/>
    <s v="No"/>
    <n v="0"/>
    <n v="58.82"/>
    <n v="47.49"/>
    <n v="11.33"/>
    <n v="0"/>
  </r>
  <r>
    <s v="ORD-001764"/>
    <s v="C-0126"/>
    <d v="2025-09-14T00:00:00"/>
    <s v="Mobile App"/>
    <s v="Credit Card"/>
    <s v="Midwest"/>
    <n v="2"/>
    <x v="2"/>
    <n v="240.75"/>
    <n v="10"/>
    <n v="24.07"/>
    <n v="56.28"/>
    <n v="126.06"/>
    <n v="0"/>
    <n v="6.58"/>
    <s v="No"/>
    <n v="0"/>
    <n v="216.68"/>
    <n v="188.92"/>
    <n v="27.76"/>
    <n v="0"/>
  </r>
  <r>
    <s v="ORD-001765"/>
    <s v="C-0232"/>
    <d v="2025-06-22T00:00:00"/>
    <s v="Mobile App"/>
    <s v="Credit Card"/>
    <s v="Southeast"/>
    <n v="1"/>
    <x v="0"/>
    <n v="260.5"/>
    <n v="5"/>
    <n v="13.03"/>
    <n v="11.82"/>
    <n v="78.92"/>
    <n v="0"/>
    <n v="7.48"/>
    <s v="No"/>
    <n v="0"/>
    <n v="247.47"/>
    <n v="98.22"/>
    <n v="149.25"/>
    <n v="0"/>
  </r>
  <r>
    <s v="ORD-001766"/>
    <s v="C-0125"/>
    <d v="2025-06-16T00:00:00"/>
    <s v="Marketplace"/>
    <s v="Credit Card"/>
    <s v="Northeast"/>
    <n v="3"/>
    <x v="4"/>
    <n v="130.82"/>
    <n v="0"/>
    <n v="0"/>
    <n v="23.46"/>
    <n v="60.31"/>
    <n v="19.62"/>
    <n v="4.09"/>
    <s v="No"/>
    <n v="0"/>
    <n v="130.82"/>
    <n v="107.48"/>
    <n v="23.34"/>
    <n v="0"/>
  </r>
  <r>
    <s v="ORD-001767"/>
    <s v="C-0430"/>
    <d v="2025-07-27T00:00:00"/>
    <s v="Marketplace"/>
    <s v="PayPal"/>
    <s v="Northeast"/>
    <n v="1"/>
    <x v="6"/>
    <n v="19.309999999999999"/>
    <n v="20"/>
    <n v="3.86"/>
    <n v="5.9"/>
    <n v="6.23"/>
    <n v="2.3199999999999998"/>
    <n v="0.75"/>
    <s v="Yes"/>
    <n v="15.45"/>
    <n v="0"/>
    <n v="15.2"/>
    <n v="-15.2"/>
    <n v="0"/>
  </r>
  <r>
    <s v="ORD-001768"/>
    <s v="C-0630"/>
    <d v="2025-02-19T00:00:00"/>
    <s v="Website"/>
    <s v="Debit Card"/>
    <s v="Northeast"/>
    <n v="2"/>
    <x v="3"/>
    <n v="41.67"/>
    <n v="10"/>
    <n v="4.17"/>
    <n v="18.12"/>
    <n v="18.5"/>
    <n v="0"/>
    <n v="1.39"/>
    <s v="Yes"/>
    <n v="37.5"/>
    <n v="0"/>
    <n v="38.01"/>
    <n v="-38.01"/>
    <n v="0"/>
  </r>
  <r>
    <s v="ORD-001769"/>
    <s v="C-0093"/>
    <d v="2024-03-24T00:00:00"/>
    <s v="Website"/>
    <s v="Gift Card"/>
    <s v="Southeast"/>
    <n v="1"/>
    <x v="6"/>
    <n v="17.989999999999998"/>
    <n v="0"/>
    <n v="0"/>
    <n v="11.74"/>
    <n v="7.88"/>
    <n v="0"/>
    <n v="0.82"/>
    <s v="No"/>
    <n v="0"/>
    <n v="17.989999999999998"/>
    <n v="20.440000000000001"/>
    <n v="-2.4500000000000002"/>
    <n v="1"/>
  </r>
  <r>
    <s v="ORD-001770"/>
    <s v="C-0482"/>
    <d v="2024-12-07T00:00:00"/>
    <s v="Marketplace"/>
    <s v="PayPal"/>
    <s v="Southeast"/>
    <n v="1"/>
    <x v="6"/>
    <n v="20"/>
    <n v="10"/>
    <n v="2"/>
    <n v="12.28"/>
    <n v="6.7"/>
    <n v="2.7"/>
    <n v="0.82"/>
    <s v="No"/>
    <n v="0"/>
    <n v="18"/>
    <n v="22.5"/>
    <n v="-4.5"/>
    <n v="1"/>
  </r>
  <r>
    <s v="ORD-001771"/>
    <s v="C-0176"/>
    <d v="2025-02-27T00:00:00"/>
    <s v="Mobile App"/>
    <s v="Buy Now Pay Later"/>
    <s v="West Coast"/>
    <n v="2"/>
    <x v="7"/>
    <n v="91.35"/>
    <n v="5"/>
    <n v="4.57"/>
    <n v="14.12"/>
    <n v="43.15"/>
    <n v="0"/>
    <n v="2.82"/>
    <s v="Yes"/>
    <n v="86.78"/>
    <n v="0"/>
    <n v="60.09"/>
    <n v="-60.09"/>
    <n v="0"/>
  </r>
  <r>
    <s v="ORD-001772"/>
    <s v="C-0778"/>
    <d v="2025-10-15T00:00:00"/>
    <s v="Mobile App"/>
    <s v="PayPal"/>
    <s v="Northeast"/>
    <n v="2"/>
    <x v="6"/>
    <n v="201.22"/>
    <n v="10"/>
    <n v="20.12"/>
    <n v="20.12"/>
    <n v="72.58"/>
    <n v="0"/>
    <n v="5.55"/>
    <s v="No"/>
    <n v="0"/>
    <n v="181.1"/>
    <n v="98.25"/>
    <n v="82.85"/>
    <n v="0"/>
  </r>
  <r>
    <s v="ORD-001773"/>
    <s v="C-0176"/>
    <d v="2025-08-24T00:00:00"/>
    <s v="Mobile App"/>
    <s v="Credit Card"/>
    <s v="Midwest"/>
    <n v="1"/>
    <x v="5"/>
    <n v="27.84"/>
    <n v="0"/>
    <n v="0"/>
    <n v="7.42"/>
    <n v="8.24"/>
    <n v="0"/>
    <n v="1.1100000000000001"/>
    <s v="No"/>
    <n v="0"/>
    <n v="27.84"/>
    <n v="16.77"/>
    <n v="11.07"/>
    <n v="1"/>
  </r>
  <r>
    <s v="ORD-001774"/>
    <s v="C-0610"/>
    <d v="2025-06-10T00:00:00"/>
    <s v="Social Commerce"/>
    <s v="Credit Card"/>
    <s v="Southeast"/>
    <n v="3"/>
    <x v="2"/>
    <n v="55.76"/>
    <n v="0"/>
    <n v="0"/>
    <n v="25.06"/>
    <n v="18.309999999999999"/>
    <n v="4.46"/>
    <n v="1.92"/>
    <s v="No"/>
    <n v="0"/>
    <n v="55.76"/>
    <n v="49.75"/>
    <n v="6.01"/>
    <n v="0"/>
  </r>
  <r>
    <s v="ORD-001775"/>
    <s v="C-0392"/>
    <d v="2025-06-07T00:00:00"/>
    <s v="Mobile App"/>
    <s v="PayPal"/>
    <s v="West Coast"/>
    <n v="3"/>
    <x v="7"/>
    <n v="316.73"/>
    <n v="0"/>
    <n v="0"/>
    <n v="30.96"/>
    <n v="92.33"/>
    <n v="0"/>
    <n v="9.49"/>
    <s v="No"/>
    <n v="0"/>
    <n v="316.73"/>
    <n v="132.78"/>
    <n v="183.95"/>
    <n v="0"/>
  </r>
  <r>
    <s v="ORD-001776"/>
    <s v="C-0545"/>
    <d v="2025-07-28T00:00:00"/>
    <s v="Marketplace"/>
    <s v="Debit Card"/>
    <s v="Midwest"/>
    <n v="3"/>
    <x v="0"/>
    <n v="1081.1400000000001"/>
    <n v="0"/>
    <n v="0"/>
    <n v="57.04"/>
    <n v="364.93"/>
    <n v="162.16999999999999"/>
    <n v="31.65"/>
    <s v="No"/>
    <n v="0"/>
    <n v="1081.1400000000001"/>
    <n v="615.79"/>
    <n v="465.35"/>
    <n v="0"/>
  </r>
  <r>
    <s v="ORD-001777"/>
    <s v="C-0249"/>
    <d v="2025-08-17T00:00:00"/>
    <s v="Website"/>
    <s v="Credit Card"/>
    <s v="Southwest"/>
    <n v="1"/>
    <x v="0"/>
    <n v="78.790000000000006"/>
    <n v="0"/>
    <n v="0"/>
    <n v="13.5"/>
    <n v="31.36"/>
    <n v="0"/>
    <n v="2.58"/>
    <s v="Yes"/>
    <n v="78.790000000000006"/>
    <n v="0"/>
    <n v="47.44"/>
    <n v="-47.44"/>
    <n v="0"/>
  </r>
  <r>
    <s v="ORD-001778"/>
    <s v="C-0797"/>
    <d v="2025-06-16T00:00:00"/>
    <s v="Website"/>
    <s v="Credit Card"/>
    <s v="Southeast"/>
    <n v="1"/>
    <x v="0"/>
    <n v="24.38"/>
    <n v="5"/>
    <n v="1.22"/>
    <n v="13.9"/>
    <n v="16.190000000000001"/>
    <n v="0"/>
    <n v="0.97"/>
    <s v="No"/>
    <n v="0"/>
    <n v="23.16"/>
    <n v="31.06"/>
    <n v="-7.9"/>
    <n v="0"/>
  </r>
  <r>
    <s v="ORD-001779"/>
    <s v="C-0317"/>
    <d v="2025-05-05T00:00:00"/>
    <s v="Website"/>
    <s v="Gift Card"/>
    <s v="West Coast"/>
    <n v="1"/>
    <x v="4"/>
    <n v="6.07"/>
    <n v="20"/>
    <n v="1.21"/>
    <n v="12.94"/>
    <n v="4.1399999999999997"/>
    <n v="0"/>
    <n v="0.44"/>
    <s v="No"/>
    <n v="0"/>
    <n v="4.8600000000000003"/>
    <n v="17.52"/>
    <n v="-12.66"/>
    <n v="1"/>
  </r>
  <r>
    <s v="ORD-001780"/>
    <s v="C-0180"/>
    <d v="2025-01-09T00:00:00"/>
    <s v="Mobile App"/>
    <s v="Buy Now Pay Later"/>
    <s v="Southwest"/>
    <n v="1"/>
    <x v="6"/>
    <n v="9.94"/>
    <n v="5"/>
    <n v="0.5"/>
    <n v="7.34"/>
    <n v="6.71"/>
    <n v="0"/>
    <n v="0.56999999999999995"/>
    <s v="No"/>
    <n v="0"/>
    <n v="9.44"/>
    <n v="14.62"/>
    <n v="-5.18"/>
    <n v="0"/>
  </r>
  <r>
    <s v="ORD-001781"/>
    <s v="C-0583"/>
    <d v="2025-12-02T00:00:00"/>
    <s v="Website"/>
    <s v="PayPal"/>
    <s v="Northeast"/>
    <n v="1"/>
    <x v="4"/>
    <n v="30.79"/>
    <n v="0"/>
    <n v="0"/>
    <n v="12.38"/>
    <n v="19.86"/>
    <n v="0"/>
    <n v="1.19"/>
    <s v="No"/>
    <n v="0"/>
    <n v="30.79"/>
    <n v="33.43"/>
    <n v="-2.64"/>
    <n v="0"/>
  </r>
  <r>
    <s v="ORD-001782"/>
    <s v="C-0631"/>
    <d v="2025-06-05T00:00:00"/>
    <s v="Website"/>
    <s v="Credit Card"/>
    <s v="West Coast"/>
    <n v="1"/>
    <x v="1"/>
    <n v="16.16"/>
    <n v="0"/>
    <n v="0"/>
    <n v="4.54"/>
    <n v="7.01"/>
    <n v="0"/>
    <n v="0.77"/>
    <s v="Yes"/>
    <n v="16.16"/>
    <n v="0"/>
    <n v="12.32"/>
    <n v="-12.32"/>
    <n v="0"/>
  </r>
  <r>
    <s v="ORD-001783"/>
    <s v="C-0178"/>
    <d v="2024-08-23T00:00:00"/>
    <s v="Marketplace"/>
    <s v="PayPal"/>
    <s v="Southeast"/>
    <n v="1"/>
    <x v="3"/>
    <n v="29.69"/>
    <n v="15"/>
    <n v="4.45"/>
    <n v="6.06"/>
    <n v="18.66"/>
    <n v="3.79"/>
    <n v="1.03"/>
    <s v="No"/>
    <n v="0"/>
    <n v="25.24"/>
    <n v="29.54"/>
    <n v="-4.3"/>
    <n v="0"/>
  </r>
  <r>
    <s v="ORD-001784"/>
    <s v="C-0141"/>
    <d v="2025-04-02T00:00:00"/>
    <s v="Website"/>
    <s v="Credit Card"/>
    <s v="Southwest"/>
    <n v="1"/>
    <x v="3"/>
    <n v="45.69"/>
    <n v="0"/>
    <n v="0"/>
    <n v="11.58"/>
    <n v="28.21"/>
    <n v="0"/>
    <n v="1.63"/>
    <s v="No"/>
    <n v="0"/>
    <n v="45.69"/>
    <n v="41.42"/>
    <n v="4.2699999999999996"/>
    <n v="1"/>
  </r>
  <r>
    <s v="ORD-001785"/>
    <s v="C-0410"/>
    <d v="2025-07-24T00:00:00"/>
    <s v="Website"/>
    <s v="PayPal"/>
    <s v="Southwest"/>
    <n v="2"/>
    <x v="0"/>
    <n v="52.29"/>
    <n v="25"/>
    <n v="13.07"/>
    <n v="23.56"/>
    <n v="16.25"/>
    <n v="0"/>
    <n v="1.44"/>
    <s v="No"/>
    <n v="0"/>
    <n v="39.22"/>
    <n v="41.25"/>
    <n v="-2.0299999999999998"/>
    <n v="0"/>
  </r>
  <r>
    <s v="ORD-001786"/>
    <s v="C-0320"/>
    <d v="2024-09-20T00:00:00"/>
    <s v="Social Commerce"/>
    <s v="Credit Card"/>
    <s v="Northeast"/>
    <n v="1"/>
    <x v="0"/>
    <n v="370.06"/>
    <n v="20"/>
    <n v="74.010000000000005"/>
    <n v="10.84"/>
    <n v="133.38"/>
    <n v="23.68"/>
    <n v="8.89"/>
    <s v="No"/>
    <n v="0"/>
    <n v="296.05"/>
    <n v="176.79"/>
    <n v="119.26"/>
    <n v="0"/>
  </r>
  <r>
    <s v="ORD-001787"/>
    <s v="C-0224"/>
    <d v="2024-07-20T00:00:00"/>
    <s v="Mobile App"/>
    <s v="PayPal"/>
    <s v="Midwest"/>
    <n v="1"/>
    <x v="6"/>
    <n v="31.87"/>
    <n v="15"/>
    <n v="4.78"/>
    <n v="9.58"/>
    <n v="10.3"/>
    <n v="0"/>
    <n v="1.0900000000000001"/>
    <s v="No"/>
    <n v="0"/>
    <n v="27.09"/>
    <n v="20.97"/>
    <n v="6.12"/>
    <n v="0"/>
  </r>
  <r>
    <s v="ORD-001788"/>
    <s v="C-0322"/>
    <d v="2025-05-19T00:00:00"/>
    <s v="Mobile App"/>
    <s v="Buy Now Pay Later"/>
    <s v="West Coast"/>
    <n v="1"/>
    <x v="3"/>
    <n v="29.59"/>
    <n v="10"/>
    <n v="2.96"/>
    <n v="4.7"/>
    <n v="12.42"/>
    <n v="0"/>
    <n v="1.07"/>
    <s v="No"/>
    <n v="0"/>
    <n v="26.63"/>
    <n v="18.190000000000001"/>
    <n v="8.44"/>
    <n v="0"/>
  </r>
  <r>
    <s v="ORD-001789"/>
    <s v="C-0539"/>
    <d v="2025-08-06T00:00:00"/>
    <s v="Mobile App"/>
    <s v="Credit Card"/>
    <s v="West Coast"/>
    <n v="2"/>
    <x v="0"/>
    <n v="44.69"/>
    <n v="0"/>
    <n v="0"/>
    <n v="8.2799999999999994"/>
    <n v="16.71"/>
    <n v="0"/>
    <n v="1.6"/>
    <s v="No"/>
    <n v="0"/>
    <n v="44.69"/>
    <n v="26.59"/>
    <n v="18.100000000000001"/>
    <n v="0"/>
  </r>
  <r>
    <s v="ORD-001790"/>
    <s v="C-0544"/>
    <d v="2025-08-29T00:00:00"/>
    <s v="Website"/>
    <s v="PayPal"/>
    <s v="Southeast"/>
    <n v="1"/>
    <x v="0"/>
    <n v="56.08"/>
    <n v="0"/>
    <n v="0"/>
    <n v="13.42"/>
    <n v="29.44"/>
    <n v="0"/>
    <n v="1.93"/>
    <s v="No"/>
    <n v="0"/>
    <n v="56.08"/>
    <n v="44.79"/>
    <n v="11.29"/>
    <n v="0"/>
  </r>
  <r>
    <s v="ORD-001791"/>
    <s v="C-0280"/>
    <d v="2025-01-06T00:00:00"/>
    <s v="Website"/>
    <s v="Buy Now Pay Later"/>
    <s v="Northeast"/>
    <n v="3"/>
    <x v="6"/>
    <n v="141.68"/>
    <n v="10"/>
    <n v="14.17"/>
    <n v="42.58"/>
    <n v="52.41"/>
    <n v="0"/>
    <n v="4"/>
    <s v="No"/>
    <n v="0"/>
    <n v="127.51"/>
    <n v="98.99"/>
    <n v="28.52"/>
    <n v="0"/>
  </r>
  <r>
    <s v="ORD-001792"/>
    <s v="C-0598"/>
    <d v="2025-06-10T00:00:00"/>
    <s v="Mobile App"/>
    <s v="Gift Card"/>
    <s v="West Coast"/>
    <n v="3"/>
    <x v="7"/>
    <n v="216.72"/>
    <n v="0"/>
    <n v="0"/>
    <n v="31.52"/>
    <n v="84.17"/>
    <n v="0"/>
    <n v="6.58"/>
    <s v="No"/>
    <n v="0"/>
    <n v="216.72"/>
    <n v="122.27"/>
    <n v="94.45"/>
    <n v="0"/>
  </r>
  <r>
    <s v="ORD-001793"/>
    <s v="C-0592"/>
    <d v="2025-08-25T00:00:00"/>
    <s v="Marketplace"/>
    <s v="PayPal"/>
    <s v="Northeast"/>
    <n v="1"/>
    <x v="7"/>
    <n v="26.25"/>
    <n v="10"/>
    <n v="2.62"/>
    <n v="7.18"/>
    <n v="10.78"/>
    <n v="3.54"/>
    <n v="0.99"/>
    <s v="No"/>
    <n v="0"/>
    <n v="23.63"/>
    <n v="22.49"/>
    <n v="1.1399999999999999"/>
    <n v="0"/>
  </r>
  <r>
    <s v="ORD-001794"/>
    <s v="C-0600"/>
    <d v="2025-09-27T00:00:00"/>
    <s v="Website"/>
    <s v="Gift Card"/>
    <s v="West Coast"/>
    <n v="3"/>
    <x v="3"/>
    <n v="266.45999999999998"/>
    <n v="10"/>
    <n v="26.65"/>
    <n v="55.5"/>
    <n v="85.26"/>
    <n v="0"/>
    <n v="7.25"/>
    <s v="No"/>
    <n v="0"/>
    <n v="239.81"/>
    <n v="148.01"/>
    <n v="91.8"/>
    <n v="0"/>
  </r>
  <r>
    <s v="ORD-001795"/>
    <s v="C-0022"/>
    <d v="2025-04-03T00:00:00"/>
    <s v="Mobile App"/>
    <s v="PayPal"/>
    <s v="Midwest"/>
    <n v="1"/>
    <x v="6"/>
    <n v="48.57"/>
    <n v="0"/>
    <n v="0"/>
    <n v="44.1"/>
    <n v="17.670000000000002"/>
    <n v="0"/>
    <n v="1.71"/>
    <s v="No"/>
    <n v="0"/>
    <n v="48.57"/>
    <n v="63.48"/>
    <n v="-14.91"/>
    <n v="0"/>
  </r>
  <r>
    <s v="ORD-001796"/>
    <s v="C-0167"/>
    <d v="2025-03-19T00:00:00"/>
    <s v="Marketplace"/>
    <s v="Credit Card"/>
    <s v="Midwest"/>
    <n v="1"/>
    <x v="6"/>
    <n v="26.5"/>
    <n v="0"/>
    <n v="0"/>
    <n v="5.5"/>
    <n v="8.06"/>
    <n v="3.97"/>
    <n v="1.07"/>
    <s v="No"/>
    <n v="0"/>
    <n v="26.5"/>
    <n v="18.600000000000001"/>
    <n v="7.9"/>
    <n v="0"/>
  </r>
  <r>
    <s v="ORD-001797"/>
    <s v="C-0604"/>
    <d v="2025-05-14T00:00:00"/>
    <s v="Mobile App"/>
    <s v="Debit Card"/>
    <s v="West Coast"/>
    <n v="1"/>
    <x v="5"/>
    <n v="57.92"/>
    <n v="0"/>
    <n v="0"/>
    <n v="18.04"/>
    <n v="16.600000000000001"/>
    <n v="0"/>
    <n v="1.98"/>
    <s v="No"/>
    <n v="0"/>
    <n v="57.92"/>
    <n v="36.619999999999997"/>
    <n v="21.3"/>
    <n v="0"/>
  </r>
  <r>
    <s v="ORD-001798"/>
    <s v="C-0512"/>
    <d v="2024-02-24T00:00:00"/>
    <s v="Mobile App"/>
    <s v="PayPal"/>
    <s v="Northeast"/>
    <n v="1"/>
    <x v="7"/>
    <n v="71.83"/>
    <n v="0"/>
    <n v="0"/>
    <n v="10.14"/>
    <n v="47.56"/>
    <n v="0"/>
    <n v="2.38"/>
    <s v="No"/>
    <n v="0"/>
    <n v="71.83"/>
    <n v="60.08"/>
    <n v="11.75"/>
    <n v="0"/>
  </r>
  <r>
    <s v="ORD-001799"/>
    <s v="C-0082"/>
    <d v="2024-04-01T00:00:00"/>
    <s v="Mobile App"/>
    <s v="Buy Now Pay Later"/>
    <s v="Midwest"/>
    <n v="2"/>
    <x v="6"/>
    <n v="64.58"/>
    <n v="0"/>
    <n v="0"/>
    <n v="18.68"/>
    <n v="30.22"/>
    <n v="0"/>
    <n v="2.17"/>
    <s v="No"/>
    <n v="0"/>
    <n v="64.58"/>
    <n v="51.07"/>
    <n v="13.51"/>
    <n v="0"/>
  </r>
  <r>
    <s v="ORD-001800"/>
    <s v="C-0565"/>
    <d v="2025-05-21T00:00:00"/>
    <s v="Marketplace"/>
    <s v="PayPal"/>
    <s v="Midwest"/>
    <n v="2"/>
    <x v="0"/>
    <n v="452.33"/>
    <n v="15"/>
    <n v="67.849999999999994"/>
    <n v="25.76"/>
    <n v="164.34"/>
    <n v="57.67"/>
    <n v="11.45"/>
    <s v="No"/>
    <n v="0"/>
    <n v="384.48"/>
    <n v="259.22000000000003"/>
    <n v="125.26"/>
    <n v="0"/>
  </r>
  <r>
    <s v="ORD-001801"/>
    <s v="C-0046"/>
    <d v="2025-07-09T00:00:00"/>
    <s v="Mobile App"/>
    <s v="Debit Card"/>
    <s v="Southwest"/>
    <n v="4"/>
    <x v="5"/>
    <n v="395.92"/>
    <n v="10"/>
    <n v="39.590000000000003"/>
    <n v="50.7"/>
    <n v="131.33000000000001"/>
    <n v="0"/>
    <n v="10.63"/>
    <s v="No"/>
    <n v="0"/>
    <n v="356.33"/>
    <n v="192.66"/>
    <n v="163.66999999999999"/>
    <n v="0"/>
  </r>
  <r>
    <s v="ORD-001802"/>
    <s v="C-0091"/>
    <d v="2024-07-14T00:00:00"/>
    <s v="Marketplace"/>
    <s v="Credit Card"/>
    <s v="West Coast"/>
    <n v="3"/>
    <x v="4"/>
    <n v="327.83"/>
    <n v="15"/>
    <n v="49.17"/>
    <n v="24.5"/>
    <n v="104.49"/>
    <n v="41.8"/>
    <n v="8.3800000000000008"/>
    <s v="Yes"/>
    <n v="278.66000000000003"/>
    <n v="0"/>
    <n v="179.17"/>
    <n v="-179.17"/>
    <n v="0"/>
  </r>
  <r>
    <s v="ORD-001803"/>
    <s v="C-0095"/>
    <d v="2024-10-05T00:00:00"/>
    <s v="Mobile App"/>
    <s v="Credit Card"/>
    <s v="Southwest"/>
    <n v="4"/>
    <x v="0"/>
    <n v="300.41000000000003"/>
    <n v="15"/>
    <n v="45.06"/>
    <n v="68.900000000000006"/>
    <n v="131.44"/>
    <n v="0"/>
    <n v="7.71"/>
    <s v="No"/>
    <n v="0"/>
    <n v="255.35"/>
    <n v="208.05"/>
    <n v="47.3"/>
    <n v="0"/>
  </r>
  <r>
    <s v="ORD-001804"/>
    <s v="C-0346"/>
    <d v="2025-09-06T00:00:00"/>
    <s v="Marketplace"/>
    <s v="Buy Now Pay Later"/>
    <s v="Southeast"/>
    <n v="3"/>
    <x v="3"/>
    <n v="70.87"/>
    <n v="15"/>
    <n v="10.63"/>
    <n v="37.22"/>
    <n v="43.76"/>
    <n v="9.0399999999999991"/>
    <n v="2.0499999999999998"/>
    <s v="No"/>
    <n v="0"/>
    <n v="60.24"/>
    <n v="92.07"/>
    <n v="-31.83"/>
    <n v="1"/>
  </r>
  <r>
    <s v="ORD-001805"/>
    <s v="C-0627"/>
    <d v="2025-11-09T00:00:00"/>
    <s v="Marketplace"/>
    <s v="PayPal"/>
    <s v="Southwest"/>
    <n v="5"/>
    <x v="4"/>
    <n v="254.06"/>
    <n v="10"/>
    <n v="25.41"/>
    <n v="62.92"/>
    <n v="108.38"/>
    <n v="34.299999999999997"/>
    <n v="6.93"/>
    <s v="No"/>
    <n v="0"/>
    <n v="228.65"/>
    <n v="212.53"/>
    <n v="16.12"/>
    <n v="0"/>
  </r>
  <r>
    <s v="ORD-001806"/>
    <s v="C-0475"/>
    <d v="2025-11-24T00:00:00"/>
    <s v="Social Commerce"/>
    <s v="Gift Card"/>
    <s v="West Coast"/>
    <n v="1"/>
    <x v="5"/>
    <n v="111.64"/>
    <n v="0"/>
    <n v="0"/>
    <n v="14.22"/>
    <n v="37.840000000000003"/>
    <n v="8.93"/>
    <n v="3.54"/>
    <s v="No"/>
    <n v="0"/>
    <n v="111.64"/>
    <n v="64.53"/>
    <n v="47.11"/>
    <n v="0"/>
  </r>
  <r>
    <s v="ORD-001807"/>
    <s v="C-0585"/>
    <d v="2024-12-07T00:00:00"/>
    <s v="Marketplace"/>
    <s v="PayPal"/>
    <s v="Southwest"/>
    <n v="1"/>
    <x v="1"/>
    <n v="52.86"/>
    <n v="20"/>
    <n v="10.57"/>
    <n v="34.979999999999997"/>
    <n v="25.59"/>
    <n v="6.34"/>
    <n v="1.53"/>
    <s v="No"/>
    <n v="0"/>
    <n v="42.29"/>
    <n v="68.44"/>
    <n v="-26.15"/>
    <n v="0"/>
  </r>
  <r>
    <s v="ORD-001808"/>
    <s v="C-0726"/>
    <d v="2025-09-10T00:00:00"/>
    <s v="Website"/>
    <s v="Debit Card"/>
    <s v="West Coast"/>
    <n v="1"/>
    <x v="5"/>
    <n v="66.05"/>
    <n v="0"/>
    <n v="0"/>
    <n v="14.86"/>
    <n v="23.44"/>
    <n v="0"/>
    <n v="2.2200000000000002"/>
    <s v="No"/>
    <n v="0"/>
    <n v="66.05"/>
    <n v="40.520000000000003"/>
    <n v="25.53"/>
    <n v="0"/>
  </r>
  <r>
    <s v="ORD-001809"/>
    <s v="C-0688"/>
    <d v="2024-04-03T00:00:00"/>
    <s v="Website"/>
    <s v="Gift Card"/>
    <s v="Midwest"/>
    <n v="3"/>
    <x v="1"/>
    <n v="125.13"/>
    <n v="0"/>
    <n v="0"/>
    <n v="24.02"/>
    <n v="45.67"/>
    <n v="0"/>
    <n v="3.93"/>
    <s v="No"/>
    <n v="0"/>
    <n v="125.13"/>
    <n v="73.62"/>
    <n v="51.51"/>
    <n v="0"/>
  </r>
  <r>
    <s v="ORD-001810"/>
    <s v="C-0474"/>
    <d v="2024-12-14T00:00:00"/>
    <s v="Mobile App"/>
    <s v="PayPal"/>
    <s v="Midwest"/>
    <n v="1"/>
    <x v="7"/>
    <n v="210.21"/>
    <n v="5"/>
    <n v="10.51"/>
    <n v="29.7"/>
    <n v="91.11"/>
    <n v="0"/>
    <n v="6.09"/>
    <s v="No"/>
    <n v="0"/>
    <n v="199.7"/>
    <n v="126.9"/>
    <n v="72.8"/>
    <n v="0"/>
  </r>
  <r>
    <s v="ORD-001811"/>
    <s v="C-0032"/>
    <d v="2025-07-13T00:00:00"/>
    <s v="Website"/>
    <s v="Debit Card"/>
    <s v="Southeast"/>
    <n v="1"/>
    <x v="4"/>
    <n v="56"/>
    <n v="0"/>
    <n v="0"/>
    <n v="12.86"/>
    <n v="19.82"/>
    <n v="0"/>
    <n v="1.92"/>
    <s v="No"/>
    <n v="0"/>
    <n v="56"/>
    <n v="34.6"/>
    <n v="21.4"/>
    <n v="0"/>
  </r>
  <r>
    <s v="ORD-001812"/>
    <s v="C-0033"/>
    <d v="2025-06-01T00:00:00"/>
    <s v="Website"/>
    <s v="PayPal"/>
    <s v="Southeast"/>
    <n v="3"/>
    <x v="6"/>
    <n v="153.49"/>
    <n v="10"/>
    <n v="15.35"/>
    <n v="31.84"/>
    <n v="72.61"/>
    <n v="0"/>
    <n v="4.3099999999999996"/>
    <s v="Yes"/>
    <n v="138.13999999999999"/>
    <n v="0"/>
    <n v="108.76"/>
    <n v="-108.76"/>
    <n v="0"/>
  </r>
  <r>
    <s v="ORD-001813"/>
    <s v="C-0010"/>
    <d v="2024-12-17T00:00:00"/>
    <s v="Mobile App"/>
    <s v="Gift Card"/>
    <s v="Southwest"/>
    <n v="2"/>
    <x v="3"/>
    <n v="114.14"/>
    <n v="0"/>
    <n v="0"/>
    <n v="20.68"/>
    <n v="36.39"/>
    <n v="0"/>
    <n v="3.61"/>
    <s v="No"/>
    <n v="0"/>
    <n v="114.14"/>
    <n v="60.68"/>
    <n v="53.46"/>
    <n v="0"/>
  </r>
  <r>
    <s v="ORD-001814"/>
    <s v="C-0782"/>
    <d v="2024-04-05T00:00:00"/>
    <s v="Marketplace"/>
    <s v="Buy Now Pay Later"/>
    <s v="Southeast"/>
    <n v="1"/>
    <x v="1"/>
    <n v="73.84"/>
    <n v="0"/>
    <n v="0"/>
    <n v="15.48"/>
    <n v="25.9"/>
    <n v="11.08"/>
    <n v="2.44"/>
    <s v="No"/>
    <n v="0"/>
    <n v="73.84"/>
    <n v="54.9"/>
    <n v="18.940000000000001"/>
    <n v="1"/>
  </r>
  <r>
    <s v="ORD-001815"/>
    <s v="C-0774"/>
    <d v="2024-12-06T00:00:00"/>
    <s v="Mobile App"/>
    <s v="PayPal"/>
    <s v="West Coast"/>
    <n v="1"/>
    <x v="3"/>
    <n v="27.71"/>
    <n v="15"/>
    <n v="4.16"/>
    <n v="12.94"/>
    <n v="11.44"/>
    <n v="0"/>
    <n v="0.98"/>
    <s v="No"/>
    <n v="0"/>
    <n v="23.55"/>
    <n v="25.36"/>
    <n v="-1.81"/>
    <n v="0"/>
  </r>
  <r>
    <s v="ORD-001816"/>
    <s v="C-0087"/>
    <d v="2025-08-20T00:00:00"/>
    <s v="Website"/>
    <s v="Buy Now Pay Later"/>
    <s v="Northeast"/>
    <n v="2"/>
    <x v="3"/>
    <n v="88.79"/>
    <n v="5"/>
    <n v="4.4400000000000004"/>
    <n v="9.9600000000000009"/>
    <n v="33.21"/>
    <n v="0"/>
    <n v="2.75"/>
    <s v="No"/>
    <n v="0"/>
    <n v="84.35"/>
    <n v="45.92"/>
    <n v="38.43"/>
    <n v="0"/>
  </r>
  <r>
    <s v="ORD-001817"/>
    <s v="C-0756"/>
    <d v="2025-08-08T00:00:00"/>
    <s v="Mobile App"/>
    <s v="Credit Card"/>
    <s v="Southeast"/>
    <n v="2"/>
    <x v="6"/>
    <n v="116.76"/>
    <n v="5"/>
    <n v="5.84"/>
    <n v="23.08"/>
    <n v="41.9"/>
    <n v="0"/>
    <n v="3.52"/>
    <s v="No"/>
    <n v="0"/>
    <n v="110.92"/>
    <n v="68.5"/>
    <n v="42.42"/>
    <n v="0"/>
  </r>
  <r>
    <s v="ORD-001818"/>
    <s v="C-0025"/>
    <d v="2025-04-25T00:00:00"/>
    <s v="Marketplace"/>
    <s v="Credit Card"/>
    <s v="West Coast"/>
    <n v="2"/>
    <x v="5"/>
    <n v="63.99"/>
    <n v="10"/>
    <n v="6.4"/>
    <n v="19"/>
    <n v="19.84"/>
    <n v="8.64"/>
    <n v="1.97"/>
    <s v="No"/>
    <n v="0"/>
    <n v="57.59"/>
    <n v="49.45"/>
    <n v="8.14"/>
    <n v="0"/>
  </r>
  <r>
    <s v="ORD-001819"/>
    <s v="C-0121"/>
    <d v="2025-07-03T00:00:00"/>
    <s v="Mobile App"/>
    <s v="Credit Card"/>
    <s v="Southwest"/>
    <n v="2"/>
    <x v="6"/>
    <n v="175.89"/>
    <n v="25"/>
    <n v="43.97"/>
    <n v="20.34"/>
    <n v="56.64"/>
    <n v="0"/>
    <n v="4.13"/>
    <s v="No"/>
    <n v="0"/>
    <n v="131.91999999999999"/>
    <n v="81.11"/>
    <n v="50.81"/>
    <n v="0"/>
  </r>
  <r>
    <s v="ORD-001820"/>
    <s v="C-0467"/>
    <d v="2025-07-09T00:00:00"/>
    <s v="Marketplace"/>
    <s v="Credit Card"/>
    <s v="Northeast"/>
    <n v="1"/>
    <x v="7"/>
    <n v="115.01"/>
    <n v="15"/>
    <n v="17.25"/>
    <n v="13.18"/>
    <n v="35.49"/>
    <n v="14.66"/>
    <n v="3.14"/>
    <s v="No"/>
    <n v="0"/>
    <n v="97.76"/>
    <n v="66.47"/>
    <n v="31.29"/>
    <n v="0"/>
  </r>
  <r>
    <s v="ORD-001821"/>
    <s v="C-0253"/>
    <d v="2025-09-28T00:00:00"/>
    <s v="Marketplace"/>
    <s v="Credit Card"/>
    <s v="Midwest"/>
    <n v="2"/>
    <x v="0"/>
    <n v="110.93"/>
    <n v="5"/>
    <n v="5.55"/>
    <n v="13.32"/>
    <n v="44.92"/>
    <n v="15.81"/>
    <n v="3.36"/>
    <s v="No"/>
    <n v="0"/>
    <n v="105.38"/>
    <n v="77.41"/>
    <n v="27.97"/>
    <n v="0"/>
  </r>
  <r>
    <s v="ORD-001822"/>
    <s v="C-0473"/>
    <d v="2025-05-11T00:00:00"/>
    <s v="Mobile App"/>
    <s v="Credit Card"/>
    <s v="Southwest"/>
    <n v="1"/>
    <x v="6"/>
    <n v="17.989999999999998"/>
    <n v="0"/>
    <n v="0"/>
    <n v="11.74"/>
    <n v="7.88"/>
    <n v="0"/>
    <n v="0.82"/>
    <s v="No"/>
    <n v="0"/>
    <n v="17.989999999999998"/>
    <n v="20.440000000000001"/>
    <n v="-2.4500000000000002"/>
    <n v="0"/>
  </r>
  <r>
    <s v="ORD-001823"/>
    <s v="C-0680"/>
    <d v="2025-01-30T00:00:00"/>
    <s v="Website"/>
    <s v="Debit Card"/>
    <s v="Southeast"/>
    <n v="1"/>
    <x v="1"/>
    <n v="106.23"/>
    <n v="0"/>
    <n v="0"/>
    <n v="36.42"/>
    <n v="56.67"/>
    <n v="0"/>
    <n v="3.38"/>
    <s v="No"/>
    <n v="0"/>
    <n v="106.23"/>
    <n v="96.47"/>
    <n v="9.76"/>
    <n v="0"/>
  </r>
  <r>
    <s v="ORD-001824"/>
    <s v="C-0028"/>
    <d v="2025-06-14T00:00:00"/>
    <s v="Marketplace"/>
    <s v="Buy Now Pay Later"/>
    <s v="Southeast"/>
    <n v="2"/>
    <x v="5"/>
    <n v="75.64"/>
    <n v="0"/>
    <n v="0"/>
    <n v="50.24"/>
    <n v="36.06"/>
    <n v="11.35"/>
    <n v="2.4900000000000002"/>
    <s v="No"/>
    <n v="0"/>
    <n v="75.64"/>
    <n v="100.14"/>
    <n v="-24.5"/>
    <n v="0"/>
  </r>
  <r>
    <s v="ORD-001825"/>
    <s v="C-0108"/>
    <d v="2025-05-07T00:00:00"/>
    <s v="Website"/>
    <s v="PayPal"/>
    <s v="Southwest"/>
    <n v="1"/>
    <x v="7"/>
    <n v="70.069999999999993"/>
    <n v="25"/>
    <n v="17.52"/>
    <n v="9.9"/>
    <n v="30.37"/>
    <n v="0"/>
    <n v="1.82"/>
    <s v="No"/>
    <n v="0"/>
    <n v="52.55"/>
    <n v="42.09"/>
    <n v="10.46"/>
    <n v="0"/>
  </r>
  <r>
    <s v="ORD-001826"/>
    <s v="C-0697"/>
    <d v="2025-01-10T00:00:00"/>
    <s v="Website"/>
    <s v="Debit Card"/>
    <s v="Northeast"/>
    <n v="3"/>
    <x v="2"/>
    <n v="184.17"/>
    <n v="10"/>
    <n v="18.420000000000002"/>
    <n v="23.14"/>
    <n v="59.72"/>
    <n v="0"/>
    <n v="5.1100000000000003"/>
    <s v="No"/>
    <n v="0"/>
    <n v="165.75"/>
    <n v="87.97"/>
    <n v="77.78"/>
    <n v="0"/>
  </r>
  <r>
    <s v="ORD-001827"/>
    <s v="C-0650"/>
    <d v="2025-08-28T00:00:00"/>
    <s v="Website"/>
    <s v="Debit Card"/>
    <s v="Northeast"/>
    <n v="1"/>
    <x v="4"/>
    <n v="37.86"/>
    <n v="0"/>
    <n v="0"/>
    <n v="9.02"/>
    <n v="26.84"/>
    <n v="0"/>
    <n v="1.4"/>
    <s v="Yes"/>
    <n v="37.86"/>
    <n v="0"/>
    <n v="37.26"/>
    <n v="-37.26"/>
    <n v="0"/>
  </r>
  <r>
    <s v="ORD-001828"/>
    <s v="C-0396"/>
    <d v="2025-12-22T00:00:00"/>
    <s v="Website"/>
    <s v="Credit Card"/>
    <s v="Midwest"/>
    <n v="4"/>
    <x v="2"/>
    <n v="336.3"/>
    <n v="0"/>
    <n v="0"/>
    <n v="49.44"/>
    <n v="112.33"/>
    <n v="0"/>
    <n v="10.050000000000001"/>
    <s v="No"/>
    <n v="0"/>
    <n v="336.3"/>
    <n v="171.82"/>
    <n v="164.48"/>
    <n v="0"/>
  </r>
  <r>
    <s v="ORD-001829"/>
    <s v="C-0068"/>
    <d v="2024-11-11T00:00:00"/>
    <s v="Mobile App"/>
    <s v="Credit Card"/>
    <s v="Northeast"/>
    <n v="2"/>
    <x v="3"/>
    <n v="78.510000000000005"/>
    <n v="10"/>
    <n v="7.85"/>
    <n v="31.94"/>
    <n v="35.14"/>
    <n v="0"/>
    <n v="2.35"/>
    <s v="No"/>
    <n v="0"/>
    <n v="70.66"/>
    <n v="69.430000000000007"/>
    <n v="1.23"/>
    <n v="1"/>
  </r>
  <r>
    <s v="ORD-001830"/>
    <s v="C-0124"/>
    <d v="2025-03-10T00:00:00"/>
    <s v="Marketplace"/>
    <s v="Debit Card"/>
    <s v="Northeast"/>
    <n v="1"/>
    <x v="5"/>
    <n v="27.16"/>
    <n v="10"/>
    <n v="2.72"/>
    <n v="11.34"/>
    <n v="13.64"/>
    <n v="3.67"/>
    <n v="1.01"/>
    <s v="No"/>
    <n v="0"/>
    <n v="24.44"/>
    <n v="29.66"/>
    <n v="-5.22"/>
    <n v="0"/>
  </r>
  <r>
    <s v="ORD-001831"/>
    <s v="C-0159"/>
    <d v="2025-10-02T00:00:00"/>
    <s v="Social Commerce"/>
    <s v="PayPal"/>
    <s v="Southeast"/>
    <n v="1"/>
    <x v="0"/>
    <n v="68.98"/>
    <n v="10"/>
    <n v="6.9"/>
    <n v="14.54"/>
    <n v="25.39"/>
    <n v="4.97"/>
    <n v="2.1"/>
    <s v="No"/>
    <n v="0"/>
    <n v="62.08"/>
    <n v="47"/>
    <n v="15.08"/>
    <n v="0"/>
  </r>
  <r>
    <s v="ORD-001832"/>
    <s v="C-0145"/>
    <d v="2025-06-21T00:00:00"/>
    <s v="Mobile App"/>
    <s v="Debit Card"/>
    <s v="West Coast"/>
    <n v="3"/>
    <x v="4"/>
    <n v="161.19"/>
    <n v="0"/>
    <n v="0"/>
    <n v="71.180000000000007"/>
    <n v="65.239999999999995"/>
    <n v="0"/>
    <n v="4.97"/>
    <s v="No"/>
    <n v="0"/>
    <n v="161.19"/>
    <n v="141.38999999999999"/>
    <n v="19.8"/>
    <n v="0"/>
  </r>
  <r>
    <s v="ORD-001833"/>
    <s v="C-0052"/>
    <d v="2025-06-12T00:00:00"/>
    <s v="Mobile App"/>
    <s v="PayPal"/>
    <s v="Northeast"/>
    <n v="3"/>
    <x v="2"/>
    <n v="202.11"/>
    <n v="0"/>
    <n v="0"/>
    <n v="29.38"/>
    <n v="78.28"/>
    <n v="0"/>
    <n v="6.16"/>
    <s v="No"/>
    <n v="0"/>
    <n v="202.11"/>
    <n v="113.82"/>
    <n v="88.29"/>
    <n v="0"/>
  </r>
  <r>
    <s v="ORD-001834"/>
    <s v="C-0582"/>
    <d v="2025-08-09T00:00:00"/>
    <s v="Social Commerce"/>
    <s v="Buy Now Pay Later"/>
    <s v="West Coast"/>
    <n v="3"/>
    <x v="7"/>
    <n v="211.48"/>
    <n v="5"/>
    <n v="10.57"/>
    <n v="60.94"/>
    <n v="134.88"/>
    <n v="16.07"/>
    <n v="6.13"/>
    <s v="No"/>
    <n v="0"/>
    <n v="200.91"/>
    <n v="218.02"/>
    <n v="-17.11"/>
    <n v="0"/>
  </r>
  <r>
    <s v="ORD-001835"/>
    <s v="C-0120"/>
    <d v="2025-02-07T00:00:00"/>
    <s v="Mobile App"/>
    <s v="PayPal"/>
    <s v="Northeast"/>
    <n v="1"/>
    <x v="2"/>
    <n v="82.29"/>
    <n v="20"/>
    <n v="16.46"/>
    <n v="13.02"/>
    <n v="37.65"/>
    <n v="0"/>
    <n v="2.21"/>
    <s v="No"/>
    <n v="0"/>
    <n v="65.83"/>
    <n v="52.88"/>
    <n v="12.95"/>
    <n v="0"/>
  </r>
  <r>
    <s v="ORD-001836"/>
    <s v="C-0138"/>
    <d v="2024-07-06T00:00:00"/>
    <s v="Website"/>
    <s v="Debit Card"/>
    <s v="Northeast"/>
    <n v="1"/>
    <x v="2"/>
    <n v="44.22"/>
    <n v="5"/>
    <n v="2.21"/>
    <n v="16.739999999999998"/>
    <n v="13.71"/>
    <n v="0"/>
    <n v="1.52"/>
    <s v="No"/>
    <n v="0"/>
    <n v="42.01"/>
    <n v="31.97"/>
    <n v="10.039999999999999"/>
    <n v="0"/>
  </r>
  <r>
    <s v="ORD-001837"/>
    <s v="C-0597"/>
    <d v="2024-09-25T00:00:00"/>
    <s v="Website"/>
    <s v="Credit Card"/>
    <s v="Midwest"/>
    <n v="1"/>
    <x v="2"/>
    <n v="10.050000000000001"/>
    <n v="0"/>
    <n v="0"/>
    <n v="9.18"/>
    <n v="6.91"/>
    <n v="0"/>
    <n v="0.59"/>
    <s v="No"/>
    <n v="0"/>
    <n v="10.050000000000001"/>
    <n v="16.68"/>
    <n v="-6.63"/>
    <n v="0"/>
  </r>
  <r>
    <s v="ORD-001838"/>
    <s v="C-0657"/>
    <d v="2024-05-09T00:00:00"/>
    <s v="Mobile App"/>
    <s v="PayPal"/>
    <s v="Southwest"/>
    <n v="3"/>
    <x v="6"/>
    <n v="149.69"/>
    <n v="5"/>
    <n v="7.48"/>
    <n v="28.9"/>
    <n v="48.11"/>
    <n v="0"/>
    <n v="4.42"/>
    <s v="No"/>
    <n v="0"/>
    <n v="142.21"/>
    <n v="81.430000000000007"/>
    <n v="60.78"/>
    <n v="0"/>
  </r>
  <r>
    <s v="ORD-001839"/>
    <s v="C-0208"/>
    <d v="2025-07-16T00:00:00"/>
    <s v="Social Commerce"/>
    <s v="Credit Card"/>
    <s v="West Coast"/>
    <n v="1"/>
    <x v="6"/>
    <n v="23.18"/>
    <n v="5"/>
    <n v="1.1599999999999999"/>
    <n v="9.26"/>
    <n v="9.5500000000000007"/>
    <n v="1.76"/>
    <n v="0.94"/>
    <s v="No"/>
    <n v="0"/>
    <n v="22.02"/>
    <n v="21.51"/>
    <n v="0.51"/>
    <n v="0"/>
  </r>
  <r>
    <s v="ORD-001840"/>
    <s v="C-0720"/>
    <d v="2024-07-20T00:00:00"/>
    <s v="Website"/>
    <s v="Gift Card"/>
    <s v="Southwest"/>
    <n v="2"/>
    <x v="2"/>
    <n v="129.37"/>
    <n v="10"/>
    <n v="12.94"/>
    <n v="14.84"/>
    <n v="57.89"/>
    <n v="0"/>
    <n v="3.68"/>
    <s v="No"/>
    <n v="0"/>
    <n v="116.43"/>
    <n v="76.41"/>
    <n v="40.020000000000003"/>
    <n v="0"/>
  </r>
  <r>
    <s v="ORD-001841"/>
    <s v="C-0042"/>
    <d v="2025-10-10T00:00:00"/>
    <s v="Website"/>
    <s v="PayPal"/>
    <s v="Southeast"/>
    <n v="1"/>
    <x v="3"/>
    <n v="11.99"/>
    <n v="10"/>
    <n v="1.2"/>
    <n v="10.3"/>
    <n v="6.88"/>
    <n v="0"/>
    <n v="0.61"/>
    <s v="No"/>
    <n v="0"/>
    <n v="10.79"/>
    <n v="17.79"/>
    <n v="-7"/>
    <n v="0"/>
  </r>
  <r>
    <s v="ORD-001842"/>
    <s v="C-0675"/>
    <d v="2025-05-30T00:00:00"/>
    <s v="Website"/>
    <s v="Credit Card"/>
    <s v="Southwest"/>
    <n v="1"/>
    <x v="1"/>
    <n v="24.02"/>
    <n v="0"/>
    <n v="0"/>
    <n v="3.98"/>
    <n v="10.75"/>
    <n v="0"/>
    <n v="1"/>
    <s v="No"/>
    <n v="0"/>
    <n v="24.02"/>
    <n v="15.73"/>
    <n v="8.2899999999999991"/>
    <n v="0"/>
  </r>
  <r>
    <s v="ORD-001843"/>
    <s v="C-0414"/>
    <d v="2025-05-13T00:00:00"/>
    <s v="Website"/>
    <s v="Credit Card"/>
    <s v="West Coast"/>
    <n v="2"/>
    <x v="3"/>
    <n v="179.1"/>
    <n v="0"/>
    <n v="0"/>
    <n v="26.18"/>
    <n v="67.55"/>
    <n v="0"/>
    <n v="5.49"/>
    <s v="No"/>
    <n v="0"/>
    <n v="179.1"/>
    <n v="99.22"/>
    <n v="79.88"/>
    <n v="0"/>
  </r>
  <r>
    <s v="ORD-001844"/>
    <s v="C-0048"/>
    <d v="2024-11-28T00:00:00"/>
    <s v="Website"/>
    <s v="PayPal"/>
    <s v="Southeast"/>
    <n v="1"/>
    <x v="5"/>
    <n v="110.36"/>
    <n v="5"/>
    <n v="5.52"/>
    <n v="5.0999999999999996"/>
    <n v="37.85"/>
    <n v="0"/>
    <n v="3.34"/>
    <s v="No"/>
    <n v="0"/>
    <n v="104.84"/>
    <n v="46.29"/>
    <n v="58.55"/>
    <n v="0"/>
  </r>
  <r>
    <s v="ORD-001845"/>
    <s v="C-0052"/>
    <d v="2024-11-06T00:00:00"/>
    <s v="Website"/>
    <s v="Debit Card"/>
    <s v="West Coast"/>
    <n v="2"/>
    <x v="4"/>
    <n v="459.44"/>
    <n v="0"/>
    <n v="0"/>
    <n v="64.7"/>
    <n v="149.16"/>
    <n v="0"/>
    <n v="13.62"/>
    <s v="No"/>
    <n v="0"/>
    <n v="459.44"/>
    <n v="227.48"/>
    <n v="231.96"/>
    <n v="0"/>
  </r>
  <r>
    <s v="ORD-001846"/>
    <s v="C-0749"/>
    <d v="2025-03-19T00:00:00"/>
    <s v="Website"/>
    <s v="Gift Card"/>
    <s v="Southeast"/>
    <n v="4"/>
    <x v="2"/>
    <n v="325.51"/>
    <n v="10"/>
    <n v="32.549999999999997"/>
    <n v="64.900000000000006"/>
    <n v="144.19999999999999"/>
    <n v="0"/>
    <n v="8.8000000000000007"/>
    <s v="No"/>
    <n v="0"/>
    <n v="292.95999999999998"/>
    <n v="217.9"/>
    <n v="75.06"/>
    <n v="0"/>
  </r>
  <r>
    <s v="ORD-001847"/>
    <s v="C-0185"/>
    <d v="2024-09-06T00:00:00"/>
    <s v="Mobile App"/>
    <s v="Gift Card"/>
    <s v="Northeast"/>
    <n v="2"/>
    <x v="5"/>
    <n v="158.57"/>
    <n v="0"/>
    <n v="0"/>
    <n v="22.36"/>
    <n v="61.74"/>
    <n v="0"/>
    <n v="4.9000000000000004"/>
    <s v="Yes"/>
    <n v="158.57"/>
    <n v="0"/>
    <n v="89"/>
    <n v="-89"/>
    <n v="0"/>
  </r>
  <r>
    <s v="ORD-001848"/>
    <s v="C-0788"/>
    <d v="2024-05-02T00:00:00"/>
    <s v="Marketplace"/>
    <s v="Credit Card"/>
    <s v="Southwest"/>
    <n v="2"/>
    <x v="0"/>
    <n v="257.5"/>
    <n v="0"/>
    <n v="0"/>
    <n v="33.22"/>
    <n v="100.72"/>
    <n v="38.619999999999997"/>
    <n v="7.77"/>
    <s v="No"/>
    <n v="0"/>
    <n v="257.5"/>
    <n v="180.33"/>
    <n v="77.17"/>
    <n v="0"/>
  </r>
  <r>
    <s v="ORD-001849"/>
    <s v="C-0700"/>
    <d v="2024-11-04T00:00:00"/>
    <s v="Mobile App"/>
    <s v="Credit Card"/>
    <s v="Midwest"/>
    <n v="1"/>
    <x v="0"/>
    <n v="20.67"/>
    <n v="25"/>
    <n v="5.17"/>
    <n v="4.3"/>
    <n v="5.96"/>
    <n v="0"/>
    <n v="0.75"/>
    <s v="No"/>
    <n v="0"/>
    <n v="15.5"/>
    <n v="11.01"/>
    <n v="4.49"/>
    <n v="1"/>
  </r>
  <r>
    <s v="ORD-001850"/>
    <s v="C-0073"/>
    <d v="2025-05-02T00:00:00"/>
    <s v="Website"/>
    <s v="Buy Now Pay Later"/>
    <s v="Northeast"/>
    <n v="2"/>
    <x v="4"/>
    <n v="178.4"/>
    <n v="5"/>
    <n v="8.92"/>
    <n v="39.76"/>
    <n v="59.38"/>
    <n v="0"/>
    <n v="5.21"/>
    <s v="No"/>
    <n v="0"/>
    <n v="169.48"/>
    <n v="104.35"/>
    <n v="65.13"/>
    <n v="0"/>
  </r>
  <r>
    <s v="ORD-001851"/>
    <s v="C-0309"/>
    <d v="2025-03-25T00:00:00"/>
    <s v="Marketplace"/>
    <s v="Credit Card"/>
    <s v="Northeast"/>
    <n v="2"/>
    <x v="0"/>
    <n v="312.39"/>
    <n v="15"/>
    <n v="46.86"/>
    <n v="23.72"/>
    <n v="103.35"/>
    <n v="39.83"/>
    <n v="8"/>
    <s v="No"/>
    <n v="0"/>
    <n v="265.52999999999997"/>
    <n v="174.9"/>
    <n v="90.63"/>
    <n v="0"/>
  </r>
  <r>
    <s v="ORD-001852"/>
    <s v="C-0441"/>
    <d v="2025-06-10T00:00:00"/>
    <s v="Mobile App"/>
    <s v="Credit Card"/>
    <s v="Northeast"/>
    <n v="1"/>
    <x v="2"/>
    <n v="168.08"/>
    <n v="15"/>
    <n v="25.21"/>
    <n v="8.44"/>
    <n v="51.94"/>
    <n v="0"/>
    <n v="4.4400000000000004"/>
    <s v="No"/>
    <n v="0"/>
    <n v="142.87"/>
    <n v="64.819999999999993"/>
    <n v="78.05"/>
    <n v="0"/>
  </r>
  <r>
    <s v="ORD-001853"/>
    <s v="C-0363"/>
    <d v="2024-06-13T00:00:00"/>
    <s v="Marketplace"/>
    <s v="Credit Card"/>
    <s v="Southwest"/>
    <n v="3"/>
    <x v="0"/>
    <n v="140.47"/>
    <n v="5"/>
    <n v="7.02"/>
    <n v="55.58"/>
    <n v="60.87"/>
    <n v="20.02"/>
    <n v="4.17"/>
    <s v="No"/>
    <n v="0"/>
    <n v="133.44999999999999"/>
    <n v="140.63999999999999"/>
    <n v="-7.19"/>
    <n v="0"/>
  </r>
  <r>
    <s v="ORD-001854"/>
    <s v="C-0373"/>
    <d v="2024-06-18T00:00:00"/>
    <s v="Social Commerce"/>
    <s v="PayPal"/>
    <s v="West Coast"/>
    <n v="4"/>
    <x v="4"/>
    <n v="283.88"/>
    <n v="15"/>
    <n v="42.58"/>
    <n v="43.9"/>
    <n v="90.92"/>
    <n v="19.3"/>
    <n v="7.3"/>
    <s v="Yes"/>
    <n v="241.3"/>
    <n v="0"/>
    <n v="161.41999999999999"/>
    <n v="-161.41999999999999"/>
    <n v="0"/>
  </r>
  <r>
    <s v="ORD-001855"/>
    <s v="C-0151"/>
    <d v="2025-05-03T00:00:00"/>
    <s v="Social Commerce"/>
    <s v="Credit Card"/>
    <s v="Southeast"/>
    <n v="1"/>
    <x v="1"/>
    <n v="11.82"/>
    <n v="0"/>
    <n v="0"/>
    <n v="11.9"/>
    <n v="5.81"/>
    <n v="0.95"/>
    <n v="0.64"/>
    <s v="No"/>
    <n v="0"/>
    <n v="11.82"/>
    <n v="19.3"/>
    <n v="-7.48"/>
    <n v="0"/>
  </r>
  <r>
    <s v="ORD-001856"/>
    <s v="C-0153"/>
    <d v="2024-12-05T00:00:00"/>
    <s v="Marketplace"/>
    <s v="Credit Card"/>
    <s v="Southeast"/>
    <n v="3"/>
    <x v="6"/>
    <n v="247.23"/>
    <n v="0"/>
    <n v="0"/>
    <n v="39.36"/>
    <n v="86"/>
    <n v="37.08"/>
    <n v="7.47"/>
    <s v="No"/>
    <n v="0"/>
    <n v="247.23"/>
    <n v="169.91"/>
    <n v="77.319999999999993"/>
    <n v="1"/>
  </r>
  <r>
    <s v="ORD-001857"/>
    <s v="C-0743"/>
    <d v="2025-07-12T00:00:00"/>
    <s v="Mobile App"/>
    <s v="PayPal"/>
    <s v="Midwest"/>
    <n v="4"/>
    <x v="6"/>
    <n v="473.33"/>
    <n v="0"/>
    <n v="0"/>
    <n v="65.08"/>
    <n v="219.85"/>
    <n v="0"/>
    <n v="14.03"/>
    <s v="No"/>
    <n v="0"/>
    <n v="473.33"/>
    <n v="298.95999999999998"/>
    <n v="174.37"/>
    <n v="0"/>
  </r>
  <r>
    <s v="ORD-001858"/>
    <s v="C-0184"/>
    <d v="2024-11-30T00:00:00"/>
    <s v="Social Commerce"/>
    <s v="Credit Card"/>
    <s v="Southwest"/>
    <n v="1"/>
    <x v="4"/>
    <n v="187.78"/>
    <n v="0"/>
    <n v="0"/>
    <n v="12.28"/>
    <n v="65.62"/>
    <n v="15.02"/>
    <n v="5.75"/>
    <s v="No"/>
    <n v="0"/>
    <n v="187.78"/>
    <n v="98.67"/>
    <n v="89.11"/>
    <n v="0"/>
  </r>
  <r>
    <s v="ORD-001859"/>
    <s v="C-0094"/>
    <d v="2024-04-16T00:00:00"/>
    <s v="Marketplace"/>
    <s v="PayPal"/>
    <s v="Northeast"/>
    <n v="2"/>
    <x v="0"/>
    <n v="53.41"/>
    <n v="5"/>
    <n v="2.67"/>
    <n v="26.36"/>
    <n v="30.39"/>
    <n v="7.61"/>
    <n v="1.77"/>
    <s v="No"/>
    <n v="0"/>
    <n v="50.74"/>
    <n v="66.13"/>
    <n v="-15.39"/>
    <n v="0"/>
  </r>
  <r>
    <s v="ORD-001860"/>
    <s v="C-0156"/>
    <d v="2024-09-11T00:00:00"/>
    <s v="Website"/>
    <s v="Buy Now Pay Later"/>
    <s v="West Coast"/>
    <n v="1"/>
    <x v="3"/>
    <n v="17.399999999999999"/>
    <n v="5"/>
    <n v="0.87"/>
    <n v="12.3"/>
    <n v="7.23"/>
    <n v="0"/>
    <n v="0.78"/>
    <s v="No"/>
    <n v="0"/>
    <n v="16.53"/>
    <n v="20.309999999999999"/>
    <n v="-3.78"/>
    <n v="0"/>
  </r>
  <r>
    <s v="ORD-001861"/>
    <s v="C-0390"/>
    <d v="2025-08-12T00:00:00"/>
    <s v="Website"/>
    <s v="PayPal"/>
    <s v="Southwest"/>
    <n v="3"/>
    <x v="1"/>
    <n v="245.54"/>
    <n v="5"/>
    <n v="12.28"/>
    <n v="49.98"/>
    <n v="124.84"/>
    <n v="0"/>
    <n v="7.06"/>
    <s v="No"/>
    <n v="0"/>
    <n v="233.26"/>
    <n v="181.88"/>
    <n v="51.38"/>
    <n v="0"/>
  </r>
  <r>
    <s v="ORD-001862"/>
    <s v="C-0033"/>
    <d v="2025-09-04T00:00:00"/>
    <s v="Website"/>
    <s v="Gift Card"/>
    <s v="Midwest"/>
    <n v="1"/>
    <x v="5"/>
    <n v="59.14"/>
    <n v="10"/>
    <n v="5.91"/>
    <n v="24.28"/>
    <n v="41.32"/>
    <n v="0"/>
    <n v="1.84"/>
    <s v="No"/>
    <n v="0"/>
    <n v="53.23"/>
    <n v="67.44"/>
    <n v="-14.21"/>
    <n v="0"/>
  </r>
  <r>
    <s v="ORD-001863"/>
    <s v="C-0703"/>
    <d v="2025-10-06T00:00:00"/>
    <s v="Mobile App"/>
    <s v="PayPal"/>
    <s v="Southeast"/>
    <n v="3"/>
    <x v="5"/>
    <n v="113.29"/>
    <n v="0"/>
    <n v="0"/>
    <n v="46.56"/>
    <n v="39.46"/>
    <n v="0"/>
    <n v="3.59"/>
    <s v="No"/>
    <n v="0"/>
    <n v="113.29"/>
    <n v="89.61"/>
    <n v="23.68"/>
    <n v="0"/>
  </r>
  <r>
    <s v="ORD-001864"/>
    <s v="C-0281"/>
    <d v="2025-02-11T00:00:00"/>
    <s v="Marketplace"/>
    <s v="Credit Card"/>
    <s v="Northeast"/>
    <n v="5"/>
    <x v="7"/>
    <n v="247.95"/>
    <n v="0"/>
    <n v="0"/>
    <n v="58.28"/>
    <n v="126.33"/>
    <n v="37.19"/>
    <n v="7.49"/>
    <s v="No"/>
    <n v="0"/>
    <n v="247.95"/>
    <n v="229.29"/>
    <n v="18.66"/>
    <n v="0"/>
  </r>
  <r>
    <s v="ORD-001865"/>
    <s v="C-0346"/>
    <d v="2025-09-25T00:00:00"/>
    <s v="Website"/>
    <s v="Gift Card"/>
    <s v="Southeast"/>
    <n v="1"/>
    <x v="2"/>
    <n v="57.29"/>
    <n v="25"/>
    <n v="14.32"/>
    <n v="13.18"/>
    <n v="20.72"/>
    <n v="0"/>
    <n v="1.55"/>
    <s v="No"/>
    <n v="0"/>
    <n v="42.97"/>
    <n v="35.450000000000003"/>
    <n v="7.52"/>
    <n v="0"/>
  </r>
  <r>
    <s v="ORD-001866"/>
    <s v="C-0650"/>
    <d v="2025-05-26T00:00:00"/>
    <s v="Website"/>
    <s v="Credit Card"/>
    <s v="Midwest"/>
    <n v="2"/>
    <x v="4"/>
    <n v="110.25"/>
    <n v="20"/>
    <n v="22.05"/>
    <n v="16.440000000000001"/>
    <n v="60.88"/>
    <n v="0"/>
    <n v="2.86"/>
    <s v="No"/>
    <n v="0"/>
    <n v="88.2"/>
    <n v="80.180000000000007"/>
    <n v="8.02"/>
    <n v="0"/>
  </r>
  <r>
    <s v="ORD-001867"/>
    <s v="C-0496"/>
    <d v="2024-05-31T00:00:00"/>
    <s v="Mobile App"/>
    <s v="Credit Card"/>
    <s v="Midwest"/>
    <n v="2"/>
    <x v="5"/>
    <n v="262.86"/>
    <n v="0"/>
    <n v="0"/>
    <n v="50.24"/>
    <n v="79.37"/>
    <n v="0"/>
    <n v="7.92"/>
    <s v="No"/>
    <n v="0"/>
    <n v="262.86"/>
    <n v="137.53"/>
    <n v="125.33"/>
    <n v="0"/>
  </r>
  <r>
    <s v="ORD-001868"/>
    <s v="C-0040"/>
    <d v="2024-11-16T00:00:00"/>
    <s v="Mobile App"/>
    <s v="PayPal"/>
    <s v="Northeast"/>
    <n v="1"/>
    <x v="6"/>
    <n v="40.32"/>
    <n v="5"/>
    <n v="2.02"/>
    <n v="11.96"/>
    <n v="14.16"/>
    <n v="0"/>
    <n v="1.41"/>
    <s v="No"/>
    <n v="0"/>
    <n v="38.299999999999997"/>
    <n v="27.53"/>
    <n v="10.77"/>
    <n v="0"/>
  </r>
  <r>
    <s v="ORD-001869"/>
    <s v="C-0223"/>
    <d v="2024-06-12T00:00:00"/>
    <s v="Mobile App"/>
    <s v="PayPal"/>
    <s v="West Coast"/>
    <n v="1"/>
    <x v="7"/>
    <n v="13.82"/>
    <n v="0"/>
    <n v="0"/>
    <n v="15.18"/>
    <n v="6.6"/>
    <n v="0"/>
    <n v="0.7"/>
    <s v="No"/>
    <n v="0"/>
    <n v="13.82"/>
    <n v="22.48"/>
    <n v="-8.66"/>
    <n v="0"/>
  </r>
  <r>
    <s v="ORD-001870"/>
    <s v="C-0011"/>
    <d v="2025-06-30T00:00:00"/>
    <s v="Marketplace"/>
    <s v="Buy Now Pay Later"/>
    <s v="Southeast"/>
    <n v="2"/>
    <x v="4"/>
    <n v="141.88"/>
    <n v="0"/>
    <n v="0"/>
    <n v="51.28"/>
    <n v="76.11"/>
    <n v="21.28"/>
    <n v="4.41"/>
    <s v="No"/>
    <n v="0"/>
    <n v="141.88"/>
    <n v="153.08000000000001"/>
    <n v="-11.2"/>
    <n v="0"/>
  </r>
  <r>
    <s v="ORD-001871"/>
    <s v="C-0486"/>
    <d v="2024-06-28T00:00:00"/>
    <s v="Website"/>
    <s v="Credit Card"/>
    <s v="Southeast"/>
    <n v="3"/>
    <x v="2"/>
    <n v="260.58999999999997"/>
    <n v="25"/>
    <n v="65.150000000000006"/>
    <n v="30.48"/>
    <n v="89.25"/>
    <n v="0"/>
    <n v="5.97"/>
    <s v="No"/>
    <n v="0"/>
    <n v="195.44"/>
    <n v="125.7"/>
    <n v="69.739999999999995"/>
    <n v="0"/>
  </r>
  <r>
    <s v="ORD-001872"/>
    <s v="C-0287"/>
    <d v="2024-08-07T00:00:00"/>
    <s v="Mobile App"/>
    <s v="Credit Card"/>
    <s v="West Coast"/>
    <n v="1"/>
    <x v="2"/>
    <n v="46.8"/>
    <n v="15"/>
    <n v="7.02"/>
    <n v="9.9"/>
    <n v="19.21"/>
    <n v="0"/>
    <n v="1.45"/>
    <s v="No"/>
    <n v="0"/>
    <n v="39.78"/>
    <n v="30.56"/>
    <n v="9.2200000000000006"/>
    <n v="0"/>
  </r>
  <r>
    <s v="ORD-001873"/>
    <s v="C-0718"/>
    <d v="2024-06-22T00:00:00"/>
    <s v="Mobile App"/>
    <s v="Credit Card"/>
    <s v="Midwest"/>
    <n v="3"/>
    <x v="2"/>
    <n v="69.290000000000006"/>
    <n v="0"/>
    <n v="0"/>
    <n v="54.14"/>
    <n v="30.56"/>
    <n v="0"/>
    <n v="2.31"/>
    <s v="No"/>
    <n v="0"/>
    <n v="69.290000000000006"/>
    <n v="87.01"/>
    <n v="-17.72"/>
    <n v="0"/>
  </r>
  <r>
    <s v="ORD-001874"/>
    <s v="C-0129"/>
    <d v="2024-09-19T00:00:00"/>
    <s v="Mobile App"/>
    <s v="PayPal"/>
    <s v="Midwest"/>
    <n v="1"/>
    <x v="3"/>
    <n v="47.4"/>
    <n v="20"/>
    <n v="9.48"/>
    <n v="11.98"/>
    <n v="32.39"/>
    <n v="0"/>
    <n v="1.4"/>
    <s v="No"/>
    <n v="0"/>
    <n v="37.92"/>
    <n v="45.77"/>
    <n v="-7.85"/>
    <n v="0"/>
  </r>
  <r>
    <s v="ORD-001875"/>
    <s v="C-0245"/>
    <d v="2024-07-21T00:00:00"/>
    <s v="Website"/>
    <s v="Credit Card"/>
    <s v="Southwest"/>
    <n v="4"/>
    <x v="3"/>
    <n v="944.64"/>
    <n v="10"/>
    <n v="94.46"/>
    <n v="85.52"/>
    <n v="319.79000000000002"/>
    <n v="0"/>
    <n v="24.96"/>
    <s v="No"/>
    <n v="0"/>
    <n v="850.18"/>
    <n v="430.27"/>
    <n v="419.91"/>
    <n v="0"/>
  </r>
  <r>
    <s v="ORD-001876"/>
    <s v="C-0418"/>
    <d v="2025-02-06T00:00:00"/>
    <s v="Website"/>
    <s v="Credit Card"/>
    <s v="Southwest"/>
    <n v="2"/>
    <x v="7"/>
    <n v="364.63"/>
    <n v="25"/>
    <n v="91.16"/>
    <n v="34.14"/>
    <n v="139.19"/>
    <n v="0"/>
    <n v="8.23"/>
    <s v="No"/>
    <n v="0"/>
    <n v="273.47000000000003"/>
    <n v="181.56"/>
    <n v="91.91"/>
    <n v="0"/>
  </r>
  <r>
    <s v="ORD-001877"/>
    <s v="C-0790"/>
    <d v="2024-12-14T00:00:00"/>
    <s v="Mobile App"/>
    <s v="Buy Now Pay Later"/>
    <s v="West Coast"/>
    <n v="2"/>
    <x v="0"/>
    <n v="216.18"/>
    <n v="20"/>
    <n v="43.24"/>
    <n v="39.92"/>
    <n v="64.7"/>
    <n v="0"/>
    <n v="5.32"/>
    <s v="No"/>
    <n v="0"/>
    <n v="172.94"/>
    <n v="109.94"/>
    <n v="63"/>
    <n v="0"/>
  </r>
  <r>
    <s v="ORD-001878"/>
    <s v="C-0734"/>
    <d v="2024-05-04T00:00:00"/>
    <s v="Website"/>
    <s v="Credit Card"/>
    <s v="Southwest"/>
    <n v="1"/>
    <x v="2"/>
    <n v="124.51"/>
    <n v="20"/>
    <n v="24.9"/>
    <n v="5.98"/>
    <n v="38.53"/>
    <n v="0"/>
    <n v="3.19"/>
    <s v="No"/>
    <n v="0"/>
    <n v="99.61"/>
    <n v="47.7"/>
    <n v="51.91"/>
    <n v="0"/>
  </r>
  <r>
    <s v="ORD-001879"/>
    <s v="C-0795"/>
    <d v="2025-09-11T00:00:00"/>
    <s v="Website"/>
    <s v="Credit Card"/>
    <s v="West Coast"/>
    <n v="3"/>
    <x v="3"/>
    <n v="223.08"/>
    <n v="10"/>
    <n v="22.31"/>
    <n v="55.88"/>
    <n v="87.49"/>
    <n v="0"/>
    <n v="6.12"/>
    <s v="Yes"/>
    <n v="200.77"/>
    <n v="0"/>
    <n v="149.49"/>
    <n v="-149.49"/>
    <n v="0"/>
  </r>
  <r>
    <s v="ORD-001880"/>
    <s v="C-0396"/>
    <d v="2025-01-24T00:00:00"/>
    <s v="Website"/>
    <s v="Credit Card"/>
    <s v="Midwest"/>
    <n v="1"/>
    <x v="4"/>
    <n v="86.75"/>
    <n v="0"/>
    <n v="0"/>
    <n v="12.94"/>
    <n v="26.86"/>
    <n v="0"/>
    <n v="2.82"/>
    <s v="No"/>
    <n v="0"/>
    <n v="86.75"/>
    <n v="42.62"/>
    <n v="44.13"/>
    <n v="0"/>
  </r>
  <r>
    <s v="ORD-001881"/>
    <s v="C-0350"/>
    <d v="2025-04-01T00:00:00"/>
    <s v="Website"/>
    <s v="Credit Card"/>
    <s v="Southeast"/>
    <n v="2"/>
    <x v="2"/>
    <n v="94.04"/>
    <n v="0"/>
    <n v="0"/>
    <n v="10.36"/>
    <n v="29.32"/>
    <n v="0"/>
    <n v="3.03"/>
    <s v="No"/>
    <n v="0"/>
    <n v="94.04"/>
    <n v="42.71"/>
    <n v="51.33"/>
    <n v="1"/>
  </r>
  <r>
    <s v="ORD-001882"/>
    <s v="C-0177"/>
    <d v="2025-04-16T00:00:00"/>
    <s v="Mobile App"/>
    <s v="PayPal"/>
    <s v="Northeast"/>
    <n v="2"/>
    <x v="4"/>
    <n v="86.49"/>
    <n v="15"/>
    <n v="12.97"/>
    <n v="18.920000000000002"/>
    <n v="48.03"/>
    <n v="0"/>
    <n v="2.4300000000000002"/>
    <s v="No"/>
    <n v="0"/>
    <n v="73.52"/>
    <n v="69.38"/>
    <n v="4.1399999999999997"/>
    <n v="0"/>
  </r>
  <r>
    <s v="ORD-001883"/>
    <s v="C-0152"/>
    <d v="2025-07-12T00:00:00"/>
    <s v="Mobile App"/>
    <s v="Debit Card"/>
    <s v="Southwest"/>
    <n v="2"/>
    <x v="5"/>
    <n v="119.94"/>
    <n v="0"/>
    <n v="0"/>
    <n v="27.4"/>
    <n v="41.49"/>
    <n v="0"/>
    <n v="3.78"/>
    <s v="No"/>
    <n v="0"/>
    <n v="119.94"/>
    <n v="72.67"/>
    <n v="47.27"/>
    <n v="0"/>
  </r>
  <r>
    <s v="ORD-001884"/>
    <s v="C-0295"/>
    <d v="2025-06-14T00:00:00"/>
    <s v="Mobile App"/>
    <s v="Debit Card"/>
    <s v="Midwest"/>
    <n v="1"/>
    <x v="5"/>
    <n v="48.99"/>
    <n v="10"/>
    <n v="4.9000000000000004"/>
    <n v="34.979999999999997"/>
    <n v="32.07"/>
    <n v="0"/>
    <n v="1.58"/>
    <s v="No"/>
    <n v="0"/>
    <n v="44.09"/>
    <n v="68.63"/>
    <n v="-24.54"/>
    <n v="0"/>
  </r>
  <r>
    <s v="ORD-001885"/>
    <s v="C-0648"/>
    <d v="2025-12-04T00:00:00"/>
    <s v="Mobile App"/>
    <s v="Buy Now Pay Later"/>
    <s v="Midwest"/>
    <n v="2"/>
    <x v="3"/>
    <n v="207.88"/>
    <n v="10"/>
    <n v="20.79"/>
    <n v="49.2"/>
    <n v="73.8"/>
    <n v="0"/>
    <n v="5.73"/>
    <s v="No"/>
    <n v="0"/>
    <n v="187.09"/>
    <n v="128.72999999999999"/>
    <n v="58.36"/>
    <n v="0"/>
  </r>
  <r>
    <s v="ORD-001886"/>
    <s v="C-0548"/>
    <d v="2025-04-06T00:00:00"/>
    <s v="Mobile App"/>
    <s v="Credit Card"/>
    <s v="Southeast"/>
    <n v="2"/>
    <x v="5"/>
    <n v="144.09"/>
    <n v="5"/>
    <n v="7.2"/>
    <n v="40.020000000000003"/>
    <n v="53.76"/>
    <n v="0"/>
    <n v="4.2699999999999996"/>
    <s v="No"/>
    <n v="0"/>
    <n v="136.88999999999999"/>
    <n v="98.05"/>
    <n v="38.840000000000003"/>
    <n v="0"/>
  </r>
  <r>
    <s v="ORD-001887"/>
    <s v="C-0771"/>
    <d v="2025-05-03T00:00:00"/>
    <s v="Social Commerce"/>
    <s v="Debit Card"/>
    <s v="Northeast"/>
    <n v="2"/>
    <x v="6"/>
    <n v="126.6"/>
    <n v="15"/>
    <n v="18.989999999999998"/>
    <n v="55.12"/>
    <n v="54.06"/>
    <n v="8.61"/>
    <n v="3.42"/>
    <s v="No"/>
    <n v="0"/>
    <n v="107.61"/>
    <n v="121.21"/>
    <n v="-13.6"/>
    <n v="0"/>
  </r>
  <r>
    <s v="ORD-001888"/>
    <s v="C-0554"/>
    <d v="2024-10-25T00:00:00"/>
    <s v="Website"/>
    <s v="Gift Card"/>
    <s v="Midwest"/>
    <n v="1"/>
    <x v="2"/>
    <n v="27.88"/>
    <n v="5"/>
    <n v="1.39"/>
    <n v="11.18"/>
    <n v="12.13"/>
    <n v="0"/>
    <n v="1.07"/>
    <s v="No"/>
    <n v="0"/>
    <n v="26.49"/>
    <n v="24.38"/>
    <n v="2.11"/>
    <n v="0"/>
  </r>
  <r>
    <s v="ORD-001889"/>
    <s v="C-0041"/>
    <d v="2024-08-06T00:00:00"/>
    <s v="Marketplace"/>
    <s v="Credit Card"/>
    <s v="Southeast"/>
    <n v="1"/>
    <x v="5"/>
    <n v="136.04"/>
    <n v="5"/>
    <n v="6.8"/>
    <n v="6.3"/>
    <n v="39.68"/>
    <n v="19.39"/>
    <n v="4.05"/>
    <s v="No"/>
    <n v="0"/>
    <n v="129.24"/>
    <n v="69.42"/>
    <n v="59.82"/>
    <n v="0"/>
  </r>
  <r>
    <s v="ORD-001890"/>
    <s v="C-0794"/>
    <d v="2024-09-14T00:00:00"/>
    <s v="Social Commerce"/>
    <s v="Debit Card"/>
    <s v="Southeast"/>
    <n v="2"/>
    <x v="1"/>
    <n v="86.45"/>
    <n v="5"/>
    <n v="4.32"/>
    <n v="15"/>
    <n v="30.16"/>
    <n v="6.57"/>
    <n v="2.68"/>
    <s v="No"/>
    <n v="0"/>
    <n v="82.13"/>
    <n v="54.41"/>
    <n v="27.72"/>
    <n v="0"/>
  </r>
  <r>
    <s v="ORD-001891"/>
    <s v="C-0752"/>
    <d v="2025-05-23T00:00:00"/>
    <s v="Social Commerce"/>
    <s v="Credit Card"/>
    <s v="Southwest"/>
    <n v="1"/>
    <x v="7"/>
    <n v="134.18"/>
    <n v="20"/>
    <n v="26.84"/>
    <n v="21.08"/>
    <n v="53.92"/>
    <n v="8.59"/>
    <n v="3.41"/>
    <s v="No"/>
    <n v="0"/>
    <n v="107.34"/>
    <n v="87"/>
    <n v="20.34"/>
    <n v="0"/>
  </r>
  <r>
    <s v="ORD-001892"/>
    <s v="C-0542"/>
    <d v="2024-09-28T00:00:00"/>
    <s v="Website"/>
    <s v="Credit Card"/>
    <s v="West Coast"/>
    <n v="3"/>
    <x v="5"/>
    <n v="105.91"/>
    <n v="10"/>
    <n v="10.59"/>
    <n v="44.24"/>
    <n v="61.82"/>
    <n v="0"/>
    <n v="3.06"/>
    <s v="No"/>
    <n v="0"/>
    <n v="95.32"/>
    <n v="109.12"/>
    <n v="-13.8"/>
    <n v="0"/>
  </r>
  <r>
    <s v="ORD-001893"/>
    <s v="C-0148"/>
    <d v="2025-10-07T00:00:00"/>
    <s v="Website"/>
    <s v="Buy Now Pay Later"/>
    <s v="Southwest"/>
    <n v="2"/>
    <x v="6"/>
    <n v="69.98"/>
    <n v="0"/>
    <n v="0"/>
    <n v="37.14"/>
    <n v="37.68"/>
    <n v="0"/>
    <n v="2.33"/>
    <s v="No"/>
    <n v="0"/>
    <n v="69.98"/>
    <n v="77.150000000000006"/>
    <n v="-7.17"/>
    <n v="0"/>
  </r>
  <r>
    <s v="ORD-001894"/>
    <s v="C-0415"/>
    <d v="2025-03-06T00:00:00"/>
    <s v="Marketplace"/>
    <s v="PayPal"/>
    <s v="Southeast"/>
    <n v="1"/>
    <x v="0"/>
    <n v="68.98"/>
    <n v="15"/>
    <n v="10.35"/>
    <n v="14.54"/>
    <n v="25.39"/>
    <n v="8.7899999999999991"/>
    <n v="2"/>
    <s v="No"/>
    <n v="0"/>
    <n v="58.63"/>
    <n v="50.72"/>
    <n v="7.91"/>
    <n v="0"/>
  </r>
  <r>
    <s v="ORD-001895"/>
    <s v="C-0318"/>
    <d v="2025-09-12T00:00:00"/>
    <s v="Marketplace"/>
    <s v="Buy Now Pay Later"/>
    <s v="Northeast"/>
    <n v="2"/>
    <x v="6"/>
    <n v="32.35"/>
    <n v="15"/>
    <n v="4.8499999999999996"/>
    <n v="39.299999999999997"/>
    <n v="12.84"/>
    <n v="4.12"/>
    <n v="1.1000000000000001"/>
    <s v="No"/>
    <n v="0"/>
    <n v="27.5"/>
    <n v="57.36"/>
    <n v="-29.86"/>
    <n v="0"/>
  </r>
  <r>
    <s v="ORD-001896"/>
    <s v="C-0210"/>
    <d v="2025-03-07T00:00:00"/>
    <s v="Marketplace"/>
    <s v="Credit Card"/>
    <s v="Northeast"/>
    <n v="1"/>
    <x v="5"/>
    <n v="38.82"/>
    <n v="0"/>
    <n v="0"/>
    <n v="25.4"/>
    <n v="16.940000000000001"/>
    <n v="5.82"/>
    <n v="1.43"/>
    <s v="No"/>
    <n v="0"/>
    <n v="38.82"/>
    <n v="49.59"/>
    <n v="-10.77"/>
    <n v="0"/>
  </r>
  <r>
    <s v="ORD-001897"/>
    <s v="C-0623"/>
    <d v="2024-11-14T00:00:00"/>
    <s v="Mobile App"/>
    <s v="Buy Now Pay Later"/>
    <s v="Midwest"/>
    <n v="3"/>
    <x v="7"/>
    <n v="170.2"/>
    <n v="10"/>
    <n v="17.02"/>
    <n v="24.1"/>
    <n v="63.26"/>
    <n v="0"/>
    <n v="4.74"/>
    <s v="No"/>
    <n v="0"/>
    <n v="153.18"/>
    <n v="92.1"/>
    <n v="61.08"/>
    <n v="0"/>
  </r>
  <r>
    <s v="ORD-001898"/>
    <s v="C-0566"/>
    <d v="2025-02-16T00:00:00"/>
    <s v="Mobile App"/>
    <s v="PayPal"/>
    <s v="Southeast"/>
    <n v="2"/>
    <x v="6"/>
    <n v="283.7"/>
    <n v="10"/>
    <n v="28.37"/>
    <n v="19.8"/>
    <n v="85.69"/>
    <n v="0"/>
    <n v="7.7"/>
    <s v="No"/>
    <n v="0"/>
    <n v="255.33"/>
    <n v="113.19"/>
    <n v="142.13999999999999"/>
    <n v="0"/>
  </r>
  <r>
    <s v="ORD-001899"/>
    <s v="C-0760"/>
    <d v="2024-12-15T00:00:00"/>
    <s v="Marketplace"/>
    <s v="PayPal"/>
    <s v="Midwest"/>
    <n v="2"/>
    <x v="0"/>
    <n v="155.03"/>
    <n v="20"/>
    <n v="31.01"/>
    <n v="18.440000000000001"/>
    <n v="59.68"/>
    <n v="18.600000000000001"/>
    <n v="3.9"/>
    <s v="No"/>
    <n v="0"/>
    <n v="124.02"/>
    <n v="100.62"/>
    <n v="23.4"/>
    <n v="0"/>
  </r>
  <r>
    <s v="ORD-001900"/>
    <s v="C-0735"/>
    <d v="2025-05-22T00:00:00"/>
    <s v="Mobile App"/>
    <s v="Credit Card"/>
    <s v="Midwest"/>
    <n v="1"/>
    <x v="6"/>
    <n v="36.54"/>
    <n v="20"/>
    <n v="7.31"/>
    <n v="18.52"/>
    <n v="22.9"/>
    <n v="0"/>
    <n v="1.1499999999999999"/>
    <s v="No"/>
    <n v="0"/>
    <n v="29.23"/>
    <n v="42.57"/>
    <n v="-13.34"/>
    <n v="0"/>
  </r>
  <r>
    <s v="ORD-001901"/>
    <s v="C-0621"/>
    <d v="2024-11-23T00:00:00"/>
    <s v="Social Commerce"/>
    <s v="Credit Card"/>
    <s v="Northeast"/>
    <n v="2"/>
    <x v="6"/>
    <n v="235.04"/>
    <n v="20"/>
    <n v="47.01"/>
    <n v="59.74"/>
    <n v="82.07"/>
    <n v="15.04"/>
    <n v="5.75"/>
    <s v="No"/>
    <n v="0"/>
    <n v="188.03"/>
    <n v="162.6"/>
    <n v="25.43"/>
    <n v="0"/>
  </r>
  <r>
    <s v="ORD-001902"/>
    <s v="C-0137"/>
    <d v="2024-09-12T00:00:00"/>
    <s v="Marketplace"/>
    <s v="Credit Card"/>
    <s v="Southwest"/>
    <n v="1"/>
    <x v="3"/>
    <n v="192.7"/>
    <n v="25"/>
    <n v="48.17"/>
    <n v="7.64"/>
    <n v="77.22"/>
    <n v="21.68"/>
    <n v="4.49"/>
    <s v="No"/>
    <n v="0"/>
    <n v="144.53"/>
    <n v="111.03"/>
    <n v="33.5"/>
    <n v="0"/>
  </r>
  <r>
    <s v="ORD-001903"/>
    <s v="C-0250"/>
    <d v="2025-07-28T00:00:00"/>
    <s v="Mobile App"/>
    <s v="Credit Card"/>
    <s v="West Coast"/>
    <n v="1"/>
    <x v="5"/>
    <n v="27.84"/>
    <n v="5"/>
    <n v="1.39"/>
    <n v="7.42"/>
    <n v="8.24"/>
    <n v="0"/>
    <n v="1.07"/>
    <s v="No"/>
    <n v="0"/>
    <n v="26.45"/>
    <n v="16.73"/>
    <n v="9.7200000000000006"/>
    <n v="0"/>
  </r>
  <r>
    <s v="ORD-001904"/>
    <s v="C-0379"/>
    <d v="2025-08-30T00:00:00"/>
    <s v="Website"/>
    <s v="PayPal"/>
    <s v="Midwest"/>
    <n v="2"/>
    <x v="7"/>
    <n v="36.299999999999997"/>
    <n v="15"/>
    <n v="5.45"/>
    <n v="16.36"/>
    <n v="17.690000000000001"/>
    <n v="0"/>
    <n v="1.19"/>
    <s v="No"/>
    <n v="0"/>
    <n v="30.85"/>
    <n v="35.24"/>
    <n v="-4.3899999999999997"/>
    <n v="0"/>
  </r>
  <r>
    <s v="ORD-001905"/>
    <s v="C-0758"/>
    <d v="2024-11-02T00:00:00"/>
    <s v="Mobile App"/>
    <s v="Buy Now Pay Later"/>
    <s v="West Coast"/>
    <n v="2"/>
    <x v="3"/>
    <n v="65.67"/>
    <n v="15"/>
    <n v="9.85"/>
    <n v="21.24"/>
    <n v="43.84"/>
    <n v="0"/>
    <n v="1.92"/>
    <s v="No"/>
    <n v="0"/>
    <n v="55.82"/>
    <n v="67"/>
    <n v="-11.18"/>
    <n v="0"/>
  </r>
  <r>
    <s v="ORD-001906"/>
    <s v="C-0293"/>
    <d v="2025-09-11T00:00:00"/>
    <s v="Website"/>
    <s v="Credit Card"/>
    <s v="Northeast"/>
    <n v="1"/>
    <x v="2"/>
    <n v="52.54"/>
    <n v="10"/>
    <n v="5.25"/>
    <n v="5.82"/>
    <n v="30.58"/>
    <n v="0"/>
    <n v="1.67"/>
    <s v="No"/>
    <n v="0"/>
    <n v="47.29"/>
    <n v="38.07"/>
    <n v="9.2200000000000006"/>
    <n v="0"/>
  </r>
  <r>
    <s v="ORD-001907"/>
    <s v="C-0573"/>
    <d v="2024-10-17T00:00:00"/>
    <s v="Mobile App"/>
    <s v="Credit Card"/>
    <s v="Northeast"/>
    <n v="1"/>
    <x v="4"/>
    <n v="20.57"/>
    <n v="15"/>
    <n v="3.09"/>
    <n v="7.02"/>
    <n v="7.36"/>
    <n v="0"/>
    <n v="0.81"/>
    <s v="No"/>
    <n v="0"/>
    <n v="17.48"/>
    <n v="15.19"/>
    <n v="2.29"/>
    <n v="0"/>
  </r>
  <r>
    <s v="ORD-001908"/>
    <s v="C-0393"/>
    <d v="2025-04-03T00:00:00"/>
    <s v="Website"/>
    <s v="Gift Card"/>
    <s v="Southeast"/>
    <n v="1"/>
    <x v="4"/>
    <n v="62.7"/>
    <n v="0"/>
    <n v="0"/>
    <n v="7.5"/>
    <n v="20.79"/>
    <n v="0"/>
    <n v="2.12"/>
    <s v="No"/>
    <n v="0"/>
    <n v="62.7"/>
    <n v="30.41"/>
    <n v="32.29"/>
    <n v="0"/>
  </r>
  <r>
    <s v="ORD-001909"/>
    <s v="C-0138"/>
    <d v="2025-05-26T00:00:00"/>
    <s v="Mobile App"/>
    <s v="Credit Card"/>
    <s v="Southeast"/>
    <n v="1"/>
    <x v="6"/>
    <n v="30.61"/>
    <n v="0"/>
    <n v="0"/>
    <n v="9.9"/>
    <n v="9.18"/>
    <n v="0"/>
    <n v="1.19"/>
    <s v="No"/>
    <n v="0"/>
    <n v="30.61"/>
    <n v="20.27"/>
    <n v="10.34"/>
    <n v="0"/>
  </r>
  <r>
    <s v="ORD-001910"/>
    <s v="C-0794"/>
    <d v="2025-01-24T00:00:00"/>
    <s v="Marketplace"/>
    <s v="Debit Card"/>
    <s v="Northeast"/>
    <n v="1"/>
    <x v="5"/>
    <n v="220.72"/>
    <n v="15"/>
    <n v="33.11"/>
    <n v="10.199999999999999"/>
    <n v="75.7"/>
    <n v="28.14"/>
    <n v="5.74"/>
    <s v="No"/>
    <n v="0"/>
    <n v="187.61"/>
    <n v="119.78"/>
    <n v="67.83"/>
    <n v="0"/>
  </r>
  <r>
    <s v="ORD-001911"/>
    <s v="C-0235"/>
    <d v="2024-12-08T00:00:00"/>
    <s v="Website"/>
    <s v="PayPal"/>
    <s v="Southeast"/>
    <n v="2"/>
    <x v="6"/>
    <n v="79.040000000000006"/>
    <n v="10"/>
    <n v="7.9"/>
    <n v="57.68"/>
    <n v="43.34"/>
    <n v="0"/>
    <n v="2.36"/>
    <s v="No"/>
    <n v="0"/>
    <n v="71.14"/>
    <n v="103.38"/>
    <n v="-32.24"/>
    <n v="0"/>
  </r>
  <r>
    <s v="ORD-001912"/>
    <s v="C-0266"/>
    <d v="2024-12-30T00:00:00"/>
    <s v="Marketplace"/>
    <s v="Credit Card"/>
    <s v="Northeast"/>
    <n v="1"/>
    <x v="0"/>
    <n v="29.99"/>
    <n v="15"/>
    <n v="4.5"/>
    <n v="9.26"/>
    <n v="13.51"/>
    <n v="3.82"/>
    <n v="1.04"/>
    <s v="No"/>
    <n v="0"/>
    <n v="25.49"/>
    <n v="27.63"/>
    <n v="-2.14"/>
    <n v="0"/>
  </r>
  <r>
    <s v="ORD-001913"/>
    <s v="C-0752"/>
    <d v="2025-02-22T00:00:00"/>
    <s v="Website"/>
    <s v="PayPal"/>
    <s v="Southwest"/>
    <n v="1"/>
    <x v="1"/>
    <n v="29.59"/>
    <n v="0"/>
    <n v="0"/>
    <n v="11.66"/>
    <n v="10.28"/>
    <n v="0"/>
    <n v="1.1599999999999999"/>
    <s v="No"/>
    <n v="0"/>
    <n v="29.59"/>
    <n v="23.1"/>
    <n v="6.49"/>
    <n v="0"/>
  </r>
  <r>
    <s v="ORD-001914"/>
    <s v="C-0660"/>
    <d v="2025-08-30T00:00:00"/>
    <s v="Marketplace"/>
    <s v="Credit Card"/>
    <s v="West Coast"/>
    <n v="1"/>
    <x v="7"/>
    <n v="104.73"/>
    <n v="20"/>
    <n v="20.95"/>
    <n v="14.94"/>
    <n v="34.15"/>
    <n v="12.57"/>
    <n v="2.73"/>
    <s v="No"/>
    <n v="0"/>
    <n v="83.78"/>
    <n v="64.39"/>
    <n v="19.39"/>
    <n v="0"/>
  </r>
  <r>
    <s v="ORD-001915"/>
    <s v="C-0732"/>
    <d v="2024-11-07T00:00:00"/>
    <s v="Website"/>
    <s v="Credit Card"/>
    <s v="Midwest"/>
    <n v="2"/>
    <x v="2"/>
    <n v="102.06"/>
    <n v="15"/>
    <n v="15.31"/>
    <n v="20.440000000000001"/>
    <n v="52.43"/>
    <n v="0"/>
    <n v="2.82"/>
    <s v="No"/>
    <n v="0"/>
    <n v="86.75"/>
    <n v="75.69"/>
    <n v="11.06"/>
    <n v="0"/>
  </r>
  <r>
    <s v="ORD-001916"/>
    <s v="C-0557"/>
    <d v="2025-05-10T00:00:00"/>
    <s v="Mobile App"/>
    <s v="PayPal"/>
    <s v="Midwest"/>
    <n v="1"/>
    <x v="0"/>
    <n v="192.38"/>
    <n v="5"/>
    <n v="9.6199999999999992"/>
    <n v="10.06"/>
    <n v="72.59"/>
    <n v="0"/>
    <n v="5.6"/>
    <s v="No"/>
    <n v="0"/>
    <n v="182.76"/>
    <n v="88.25"/>
    <n v="94.51"/>
    <n v="0"/>
  </r>
  <r>
    <s v="ORD-001917"/>
    <s v="C-0198"/>
    <d v="2025-07-31T00:00:00"/>
    <s v="Mobile App"/>
    <s v="Buy Now Pay Later"/>
    <s v="Southwest"/>
    <n v="1"/>
    <x v="6"/>
    <n v="38.619999999999997"/>
    <n v="0"/>
    <n v="0"/>
    <n v="11.8"/>
    <n v="12.46"/>
    <n v="0"/>
    <n v="1.42"/>
    <s v="No"/>
    <n v="0"/>
    <n v="38.619999999999997"/>
    <n v="25.68"/>
    <n v="12.94"/>
    <n v="0"/>
  </r>
  <r>
    <s v="ORD-001918"/>
    <s v="C-0769"/>
    <d v="2024-10-29T00:00:00"/>
    <s v="Mobile App"/>
    <s v="Credit Card"/>
    <s v="Northeast"/>
    <n v="1"/>
    <x v="3"/>
    <n v="45.69"/>
    <n v="5"/>
    <n v="2.2799999999999998"/>
    <n v="11.58"/>
    <n v="28.21"/>
    <n v="0"/>
    <n v="1.56"/>
    <s v="Yes"/>
    <n v="43.41"/>
    <n v="0"/>
    <n v="41.35"/>
    <n v="-41.35"/>
    <n v="0"/>
  </r>
  <r>
    <s v="ORD-001919"/>
    <s v="C-0123"/>
    <d v="2025-10-15T00:00:00"/>
    <s v="Website"/>
    <s v="Gift Card"/>
    <s v="Midwest"/>
    <n v="1"/>
    <x v="4"/>
    <n v="89.1"/>
    <n v="20"/>
    <n v="17.82"/>
    <n v="6.78"/>
    <n v="32.549999999999997"/>
    <n v="0"/>
    <n v="2.37"/>
    <s v="No"/>
    <n v="0"/>
    <n v="71.28"/>
    <n v="41.7"/>
    <n v="29.58"/>
    <n v="0"/>
  </r>
  <r>
    <s v="ORD-001920"/>
    <s v="C-0028"/>
    <d v="2025-08-03T00:00:00"/>
    <s v="Social Commerce"/>
    <s v="Debit Card"/>
    <s v="Southwest"/>
    <n v="1"/>
    <x v="2"/>
    <n v="11.84"/>
    <n v="0"/>
    <n v="0"/>
    <n v="11.5"/>
    <n v="5.71"/>
    <n v="0.95"/>
    <n v="0.64"/>
    <s v="No"/>
    <n v="0"/>
    <n v="11.84"/>
    <n v="18.8"/>
    <n v="-6.96"/>
    <n v="1"/>
  </r>
  <r>
    <s v="ORD-001921"/>
    <s v="C-0242"/>
    <d v="2024-11-26T00:00:00"/>
    <s v="Website"/>
    <s v="Buy Now Pay Later"/>
    <s v="Southeast"/>
    <n v="2"/>
    <x v="4"/>
    <n v="175.78"/>
    <n v="5"/>
    <n v="8.7899999999999991"/>
    <n v="29.62"/>
    <n v="63.15"/>
    <n v="0"/>
    <n v="5.14"/>
    <s v="No"/>
    <n v="0"/>
    <n v="166.99"/>
    <n v="97.91"/>
    <n v="69.08"/>
    <n v="0"/>
  </r>
  <r>
    <s v="ORD-001922"/>
    <s v="C-0165"/>
    <d v="2024-07-10T00:00:00"/>
    <s v="Mobile App"/>
    <s v="PayPal"/>
    <s v="West Coast"/>
    <n v="2"/>
    <x v="3"/>
    <n v="143.94999999999999"/>
    <n v="15"/>
    <n v="21.59"/>
    <n v="32.26"/>
    <n v="75.81"/>
    <n v="0"/>
    <n v="3.85"/>
    <s v="No"/>
    <n v="0"/>
    <n v="122.36"/>
    <n v="111.92"/>
    <n v="10.44"/>
    <n v="0"/>
  </r>
  <r>
    <s v="ORD-001923"/>
    <s v="C-0189"/>
    <d v="2025-05-04T00:00:00"/>
    <s v="Mobile App"/>
    <s v="PayPal"/>
    <s v="West Coast"/>
    <n v="4"/>
    <x v="1"/>
    <n v="138.13999999999999"/>
    <n v="0"/>
    <n v="0"/>
    <n v="57.56"/>
    <n v="55.06"/>
    <n v="0"/>
    <n v="4.3099999999999996"/>
    <s v="No"/>
    <n v="0"/>
    <n v="138.13999999999999"/>
    <n v="116.93"/>
    <n v="21.21"/>
    <n v="0"/>
  </r>
  <r>
    <s v="ORD-001924"/>
    <s v="C-0435"/>
    <d v="2025-03-27T00:00:00"/>
    <s v="Social Commerce"/>
    <s v="Credit Card"/>
    <s v="West Coast"/>
    <n v="1"/>
    <x v="2"/>
    <n v="176.91"/>
    <n v="5"/>
    <n v="8.85"/>
    <n v="18.66"/>
    <n v="70.53"/>
    <n v="13.44"/>
    <n v="5.17"/>
    <s v="No"/>
    <n v="0"/>
    <n v="168.06"/>
    <n v="107.8"/>
    <n v="60.26"/>
    <n v="0"/>
  </r>
  <r>
    <s v="ORD-001925"/>
    <s v="C-0143"/>
    <d v="2024-10-25T00:00:00"/>
    <s v="Website"/>
    <s v="Debit Card"/>
    <s v="Midwest"/>
    <n v="3"/>
    <x v="4"/>
    <n v="232.04"/>
    <n v="0"/>
    <n v="0"/>
    <n v="40.479999999999997"/>
    <n v="92.58"/>
    <n v="0"/>
    <n v="7.03"/>
    <s v="Yes"/>
    <n v="232.04"/>
    <n v="0"/>
    <n v="140.09"/>
    <n v="-140.09"/>
    <n v="0"/>
  </r>
  <r>
    <s v="ORD-001926"/>
    <s v="C-0492"/>
    <d v="2024-12-14T00:00:00"/>
    <s v="Marketplace"/>
    <s v="Debit Card"/>
    <s v="Southeast"/>
    <n v="1"/>
    <x v="2"/>
    <n v="217.68"/>
    <n v="25"/>
    <n v="54.42"/>
    <n v="26.1"/>
    <n v="107.43"/>
    <n v="24.49"/>
    <n v="5.03"/>
    <s v="No"/>
    <n v="0"/>
    <n v="163.26"/>
    <n v="163.05000000000001"/>
    <n v="0.21"/>
    <n v="0"/>
  </r>
  <r>
    <s v="ORD-001927"/>
    <s v="C-0142"/>
    <d v="2025-07-12T00:00:00"/>
    <s v="Website"/>
    <s v="PayPal"/>
    <s v="West Coast"/>
    <n v="2"/>
    <x v="1"/>
    <n v="146"/>
    <n v="0"/>
    <n v="0"/>
    <n v="12.42"/>
    <n v="52.66"/>
    <n v="0"/>
    <n v="4.53"/>
    <s v="No"/>
    <n v="0"/>
    <n v="146"/>
    <n v="69.61"/>
    <n v="76.39"/>
    <n v="1"/>
  </r>
  <r>
    <s v="ORD-001928"/>
    <s v="C-0279"/>
    <d v="2024-12-19T00:00:00"/>
    <s v="Mobile App"/>
    <s v="Buy Now Pay Later"/>
    <s v="Southeast"/>
    <n v="1"/>
    <x v="5"/>
    <n v="115.09"/>
    <n v="0"/>
    <n v="0"/>
    <n v="8.2200000000000006"/>
    <n v="33.950000000000003"/>
    <n v="0"/>
    <n v="3.64"/>
    <s v="No"/>
    <n v="0"/>
    <n v="115.09"/>
    <n v="45.81"/>
    <n v="69.28"/>
    <n v="0"/>
  </r>
  <r>
    <s v="ORD-001929"/>
    <s v="C-0459"/>
    <d v="2025-08-19T00:00:00"/>
    <s v="Marketplace"/>
    <s v="Gift Card"/>
    <s v="Northeast"/>
    <n v="1"/>
    <x v="0"/>
    <n v="37.71"/>
    <n v="20"/>
    <n v="7.54"/>
    <n v="14.46"/>
    <n v="11.89"/>
    <n v="4.53"/>
    <n v="1.17"/>
    <s v="No"/>
    <n v="0"/>
    <n v="30.17"/>
    <n v="32.049999999999997"/>
    <n v="-1.88"/>
    <n v="0"/>
  </r>
  <r>
    <s v="ORD-001930"/>
    <s v="C-0517"/>
    <d v="2025-02-14T00:00:00"/>
    <s v="Website"/>
    <s v="Debit Card"/>
    <s v="Midwest"/>
    <n v="3"/>
    <x v="4"/>
    <n v="123.62"/>
    <n v="15"/>
    <n v="18.54"/>
    <n v="29.22"/>
    <n v="56.97"/>
    <n v="0"/>
    <n v="3.35"/>
    <s v="No"/>
    <n v="0"/>
    <n v="105.08"/>
    <n v="89.54"/>
    <n v="15.54"/>
    <n v="0"/>
  </r>
  <r>
    <s v="ORD-001931"/>
    <s v="C-0608"/>
    <d v="2025-06-02T00:00:00"/>
    <s v="Marketplace"/>
    <s v="Credit Card"/>
    <s v="Northeast"/>
    <n v="1"/>
    <x v="7"/>
    <n v="164.85"/>
    <n v="10"/>
    <n v="16.48"/>
    <n v="4.7"/>
    <n v="49.88"/>
    <n v="22.26"/>
    <n v="4.5999999999999996"/>
    <s v="No"/>
    <n v="0"/>
    <n v="148.37"/>
    <n v="81.44"/>
    <n v="66.930000000000007"/>
    <n v="0"/>
  </r>
  <r>
    <s v="ORD-001932"/>
    <s v="C-0126"/>
    <d v="2025-07-02T00:00:00"/>
    <s v="Mobile App"/>
    <s v="PayPal"/>
    <s v="Midwest"/>
    <n v="2"/>
    <x v="4"/>
    <n v="179.64"/>
    <n v="10"/>
    <n v="17.96"/>
    <n v="32.340000000000003"/>
    <n v="80.53"/>
    <n v="0"/>
    <n v="4.99"/>
    <s v="No"/>
    <n v="0"/>
    <n v="161.68"/>
    <n v="117.86"/>
    <n v="43.82"/>
    <n v="0"/>
  </r>
  <r>
    <s v="ORD-001933"/>
    <s v="C-0463"/>
    <d v="2025-01-31T00:00:00"/>
    <s v="Mobile App"/>
    <s v="Credit Card"/>
    <s v="Southwest"/>
    <n v="1"/>
    <x v="6"/>
    <n v="46.4"/>
    <n v="0"/>
    <n v="0"/>
    <n v="15.96"/>
    <n v="13.54"/>
    <n v="0"/>
    <n v="1.65"/>
    <s v="No"/>
    <n v="0"/>
    <n v="46.4"/>
    <n v="31.15"/>
    <n v="15.25"/>
    <n v="0"/>
  </r>
  <r>
    <s v="ORD-001934"/>
    <s v="C-0211"/>
    <d v="2025-04-28T00:00:00"/>
    <s v="Social Commerce"/>
    <s v="Credit Card"/>
    <s v="Southwest"/>
    <n v="1"/>
    <x v="3"/>
    <n v="13.9"/>
    <n v="15"/>
    <n v="2.08"/>
    <n v="15.96"/>
    <n v="9.6999999999999993"/>
    <n v="0.95"/>
    <n v="0.64"/>
    <s v="Yes"/>
    <n v="11.82"/>
    <n v="0"/>
    <n v="27.25"/>
    <n v="-27.25"/>
    <n v="0"/>
  </r>
  <r>
    <s v="ORD-001935"/>
    <s v="C-0514"/>
    <d v="2025-10-21T00:00:00"/>
    <s v="Mobile App"/>
    <s v="Credit Card"/>
    <s v="Southwest"/>
    <n v="1"/>
    <x v="2"/>
    <n v="93.6"/>
    <n v="5"/>
    <n v="4.68"/>
    <n v="19.8"/>
    <n v="38.42"/>
    <n v="0"/>
    <n v="2.88"/>
    <s v="No"/>
    <n v="0"/>
    <n v="88.92"/>
    <n v="61.1"/>
    <n v="27.82"/>
    <n v="0"/>
  </r>
  <r>
    <s v="ORD-001936"/>
    <s v="C-0187"/>
    <d v="2025-09-19T00:00:00"/>
    <s v="Mobile App"/>
    <s v="Gift Card"/>
    <s v="Southwest"/>
    <n v="1"/>
    <x v="5"/>
    <n v="27.16"/>
    <n v="0"/>
    <n v="0"/>
    <n v="11.34"/>
    <n v="13.64"/>
    <n v="0"/>
    <n v="1.0900000000000001"/>
    <s v="No"/>
    <n v="0"/>
    <n v="27.16"/>
    <n v="26.07"/>
    <n v="1.0900000000000001"/>
    <n v="1"/>
  </r>
  <r>
    <s v="ORD-001937"/>
    <s v="C-0783"/>
    <d v="2025-02-11T00:00:00"/>
    <s v="Social Commerce"/>
    <s v="Debit Card"/>
    <s v="Northeast"/>
    <n v="1"/>
    <x v="0"/>
    <n v="68.98"/>
    <n v="0"/>
    <n v="0"/>
    <n v="14.54"/>
    <n v="25.39"/>
    <n v="5.52"/>
    <n v="2.2999999999999998"/>
    <s v="No"/>
    <n v="0"/>
    <n v="68.98"/>
    <n v="47.75"/>
    <n v="21.23"/>
    <n v="0"/>
  </r>
  <r>
    <s v="ORD-001938"/>
    <s v="C-0545"/>
    <d v="2025-10-23T00:00:00"/>
    <s v="Website"/>
    <s v="Debit Card"/>
    <s v="Southwest"/>
    <n v="1"/>
    <x v="5"/>
    <n v="255.18"/>
    <n v="0"/>
    <n v="0"/>
    <n v="35.46"/>
    <n v="110.16"/>
    <n v="0"/>
    <n v="7.7"/>
    <s v="No"/>
    <n v="0"/>
    <n v="255.18"/>
    <n v="153.32"/>
    <n v="101.86"/>
    <n v="0"/>
  </r>
  <r>
    <s v="ORD-001939"/>
    <s v="C-0005"/>
    <d v="2025-05-05T00:00:00"/>
    <s v="Mobile App"/>
    <s v="PayPal"/>
    <s v="Southeast"/>
    <n v="1"/>
    <x v="6"/>
    <n v="17.64"/>
    <n v="0"/>
    <n v="0"/>
    <n v="15.42"/>
    <n v="10.55"/>
    <n v="0"/>
    <n v="0.81"/>
    <s v="No"/>
    <n v="0"/>
    <n v="17.64"/>
    <n v="26.78"/>
    <n v="-9.14"/>
    <n v="0"/>
  </r>
  <r>
    <s v="ORD-001940"/>
    <s v="C-0630"/>
    <d v="2025-08-17T00:00:00"/>
    <s v="Mobile App"/>
    <s v="Gift Card"/>
    <s v="Midwest"/>
    <n v="2"/>
    <x v="4"/>
    <n v="140.22999999999999"/>
    <n v="0"/>
    <n v="0"/>
    <n v="34.020000000000003"/>
    <n v="54.08"/>
    <n v="0"/>
    <n v="4.37"/>
    <s v="No"/>
    <n v="0"/>
    <n v="140.22999999999999"/>
    <n v="92.47"/>
    <n v="47.76"/>
    <n v="0"/>
  </r>
  <r>
    <s v="ORD-001941"/>
    <s v="C-0171"/>
    <d v="2024-08-10T00:00:00"/>
    <s v="Website"/>
    <s v="PayPal"/>
    <s v="Southwest"/>
    <n v="3"/>
    <x v="4"/>
    <n v="327.51"/>
    <n v="10"/>
    <n v="32.75"/>
    <n v="42.14"/>
    <n v="115.5"/>
    <n v="0"/>
    <n v="8.85"/>
    <s v="No"/>
    <n v="0"/>
    <n v="294.76"/>
    <n v="166.49"/>
    <n v="128.27000000000001"/>
    <n v="0"/>
  </r>
  <r>
    <s v="ORD-001942"/>
    <s v="C-0165"/>
    <d v="2025-01-24T00:00:00"/>
    <s v="Marketplace"/>
    <s v="Gift Card"/>
    <s v="Midwest"/>
    <n v="4"/>
    <x v="0"/>
    <n v="343.46"/>
    <n v="5"/>
    <n v="17.170000000000002"/>
    <n v="98.02"/>
    <n v="145.13"/>
    <n v="48.94"/>
    <n v="9.76"/>
    <s v="No"/>
    <n v="0"/>
    <n v="326.29000000000002"/>
    <n v="301.85000000000002"/>
    <n v="24.44"/>
    <n v="0"/>
  </r>
  <r>
    <s v="ORD-001943"/>
    <s v="C-0088"/>
    <d v="2024-11-12T00:00:00"/>
    <s v="Social Commerce"/>
    <s v="Debit Card"/>
    <s v="Southwest"/>
    <n v="3"/>
    <x v="1"/>
    <n v="313.12"/>
    <n v="15"/>
    <n v="46.97"/>
    <n v="72.7"/>
    <n v="101.78"/>
    <n v="21.29"/>
    <n v="8.02"/>
    <s v="No"/>
    <n v="0"/>
    <n v="266.14999999999998"/>
    <n v="203.79"/>
    <n v="62.36"/>
    <n v="0"/>
  </r>
  <r>
    <s v="ORD-001944"/>
    <s v="C-0555"/>
    <d v="2024-12-25T00:00:00"/>
    <s v="Mobile App"/>
    <s v="PayPal"/>
    <s v="Northeast"/>
    <n v="4"/>
    <x v="2"/>
    <n v="404.27"/>
    <n v="10"/>
    <n v="40.43"/>
    <n v="39.26"/>
    <n v="126.86"/>
    <n v="0"/>
    <n v="10.85"/>
    <s v="No"/>
    <n v="0"/>
    <n v="363.84"/>
    <n v="176.97"/>
    <n v="186.87"/>
    <n v="0"/>
  </r>
  <r>
    <s v="ORD-001945"/>
    <s v="C-0063"/>
    <d v="2025-08-12T00:00:00"/>
    <s v="Website"/>
    <s v="Credit Card"/>
    <s v="West Coast"/>
    <n v="1"/>
    <x v="7"/>
    <n v="28.43"/>
    <n v="0"/>
    <n v="0"/>
    <n v="3.74"/>
    <n v="16.12"/>
    <n v="0"/>
    <n v="1.1200000000000001"/>
    <s v="No"/>
    <n v="0"/>
    <n v="28.43"/>
    <n v="20.98"/>
    <n v="7.45"/>
    <n v="0"/>
  </r>
  <r>
    <s v="ORD-001946"/>
    <s v="C-0680"/>
    <d v="2024-12-22T00:00:00"/>
    <s v="Website"/>
    <s v="PayPal"/>
    <s v="Southeast"/>
    <n v="3"/>
    <x v="1"/>
    <n v="252.5"/>
    <n v="0"/>
    <n v="0"/>
    <n v="56.86"/>
    <n v="105.02"/>
    <n v="0"/>
    <n v="7.62"/>
    <s v="No"/>
    <n v="0"/>
    <n v="252.5"/>
    <n v="169.5"/>
    <n v="83"/>
    <n v="0"/>
  </r>
  <r>
    <s v="ORD-001947"/>
    <s v="C-0287"/>
    <d v="2025-07-17T00:00:00"/>
    <s v="Mobile App"/>
    <s v="Credit Card"/>
    <s v="Southeast"/>
    <n v="1"/>
    <x v="0"/>
    <n v="260.5"/>
    <n v="0"/>
    <n v="0"/>
    <n v="11.82"/>
    <n v="78.92"/>
    <n v="0"/>
    <n v="7.85"/>
    <s v="No"/>
    <n v="0"/>
    <n v="260.5"/>
    <n v="98.59"/>
    <n v="161.91"/>
    <n v="0"/>
  </r>
  <r>
    <s v="ORD-001948"/>
    <s v="C-0617"/>
    <d v="2025-01-17T00:00:00"/>
    <s v="Mobile App"/>
    <s v="PayPal"/>
    <s v="West Coast"/>
    <n v="3"/>
    <x v="2"/>
    <n v="129.9"/>
    <n v="0"/>
    <n v="0"/>
    <n v="27.86"/>
    <n v="60.67"/>
    <n v="0"/>
    <n v="4.07"/>
    <s v="Yes"/>
    <n v="129.9"/>
    <n v="0"/>
    <n v="92.6"/>
    <n v="-92.6"/>
    <n v="0"/>
  </r>
  <r>
    <s v="ORD-001949"/>
    <s v="C-0411"/>
    <d v="2024-09-20T00:00:00"/>
    <s v="Marketplace"/>
    <s v="Debit Card"/>
    <s v="Midwest"/>
    <n v="3"/>
    <x v="3"/>
    <n v="163.52000000000001"/>
    <n v="0"/>
    <n v="0"/>
    <n v="35.14"/>
    <n v="60.24"/>
    <n v="24.53"/>
    <n v="5.04"/>
    <s v="No"/>
    <n v="0"/>
    <n v="163.52000000000001"/>
    <n v="124.95"/>
    <n v="38.57"/>
    <n v="0"/>
  </r>
  <r>
    <s v="ORD-001950"/>
    <s v="C-0493"/>
    <d v="2025-02-06T00:00:00"/>
    <s v="Mobile App"/>
    <s v="Credit Card"/>
    <s v="Midwest"/>
    <n v="4"/>
    <x v="4"/>
    <n v="423.98"/>
    <n v="0"/>
    <n v="0"/>
    <n v="74.239999999999995"/>
    <n v="156.06"/>
    <n v="0"/>
    <n v="12.6"/>
    <s v="No"/>
    <n v="0"/>
    <n v="423.98"/>
    <n v="242.9"/>
    <n v="181.08"/>
    <n v="1"/>
  </r>
  <r>
    <s v="ORD-001951"/>
    <s v="C-0438"/>
    <d v="2024-12-14T00:00:00"/>
    <s v="Marketplace"/>
    <s v="Credit Card"/>
    <s v="Southwest"/>
    <n v="1"/>
    <x v="0"/>
    <n v="192.38"/>
    <n v="5"/>
    <n v="9.6199999999999992"/>
    <n v="10.06"/>
    <n v="72.59"/>
    <n v="27.41"/>
    <n v="5.6"/>
    <s v="No"/>
    <n v="0"/>
    <n v="182.76"/>
    <n v="115.66"/>
    <n v="67.099999999999994"/>
    <n v="0"/>
  </r>
  <r>
    <s v="ORD-001952"/>
    <s v="C-0048"/>
    <d v="2025-05-30T00:00:00"/>
    <s v="Website"/>
    <s v="PayPal"/>
    <s v="Southwest"/>
    <n v="3"/>
    <x v="0"/>
    <n v="145.81"/>
    <n v="5"/>
    <n v="7.29"/>
    <n v="28.42"/>
    <n v="63.27"/>
    <n v="0"/>
    <n v="4.32"/>
    <s v="No"/>
    <n v="0"/>
    <n v="138.52000000000001"/>
    <n v="96.01"/>
    <n v="42.51"/>
    <n v="0"/>
  </r>
  <r>
    <s v="ORD-001953"/>
    <s v="C-0165"/>
    <d v="2024-03-29T00:00:00"/>
    <s v="Mobile App"/>
    <s v="Buy Now Pay Later"/>
    <s v="West Coast"/>
    <n v="3"/>
    <x v="1"/>
    <n v="113.82"/>
    <n v="10"/>
    <n v="11.38"/>
    <n v="36.340000000000003"/>
    <n v="42.4"/>
    <n v="0"/>
    <n v="3.27"/>
    <s v="No"/>
    <n v="0"/>
    <n v="102.44"/>
    <n v="82.01"/>
    <n v="20.43"/>
    <n v="0"/>
  </r>
  <r>
    <s v="ORD-001954"/>
    <s v="C-0571"/>
    <d v="2025-01-16T00:00:00"/>
    <s v="Mobile App"/>
    <s v="PayPal"/>
    <s v="Southwest"/>
    <n v="1"/>
    <x v="2"/>
    <n v="135.47999999999999"/>
    <n v="0"/>
    <n v="0"/>
    <n v="29.7"/>
    <n v="65.58"/>
    <n v="0"/>
    <n v="4.2300000000000004"/>
    <s v="No"/>
    <n v="0"/>
    <n v="135.47999999999999"/>
    <n v="99.51"/>
    <n v="35.97"/>
    <n v="0"/>
  </r>
  <r>
    <s v="ORD-001955"/>
    <s v="C-0189"/>
    <d v="2025-03-29T00:00:00"/>
    <s v="Mobile App"/>
    <s v="Credit Card"/>
    <s v="Midwest"/>
    <n v="2"/>
    <x v="4"/>
    <n v="132.51"/>
    <n v="15"/>
    <n v="19.88"/>
    <n v="17.940000000000001"/>
    <n v="45.27"/>
    <n v="0"/>
    <n v="3.57"/>
    <s v="No"/>
    <n v="0"/>
    <n v="112.63"/>
    <n v="66.78"/>
    <n v="45.85"/>
    <n v="0"/>
  </r>
  <r>
    <s v="ORD-001956"/>
    <s v="C-0068"/>
    <d v="2025-10-30T00:00:00"/>
    <s v="Website"/>
    <s v="Buy Now Pay Later"/>
    <s v="Southwest"/>
    <n v="3"/>
    <x v="4"/>
    <n v="316.13"/>
    <n v="25"/>
    <n v="79.03"/>
    <n v="49.74"/>
    <n v="102.05"/>
    <n v="0"/>
    <n v="7.18"/>
    <s v="No"/>
    <n v="0"/>
    <n v="237.1"/>
    <n v="158.97"/>
    <n v="78.13"/>
    <n v="0"/>
  </r>
  <r>
    <s v="ORD-001957"/>
    <s v="C-0276"/>
    <d v="2024-09-08T00:00:00"/>
    <s v="Website"/>
    <s v="Credit Card"/>
    <s v="West Coast"/>
    <n v="1"/>
    <x v="6"/>
    <n v="23.18"/>
    <n v="10"/>
    <n v="2.3199999999999998"/>
    <n v="9.26"/>
    <n v="9.5500000000000007"/>
    <n v="0"/>
    <n v="0.9"/>
    <s v="No"/>
    <n v="0"/>
    <n v="20.86"/>
    <n v="19.71"/>
    <n v="1.1499999999999999"/>
    <n v="0"/>
  </r>
  <r>
    <s v="ORD-001958"/>
    <s v="C-0638"/>
    <d v="2025-08-18T00:00:00"/>
    <s v="Website"/>
    <s v="PayPal"/>
    <s v="Southeast"/>
    <n v="1"/>
    <x v="4"/>
    <n v="81.78"/>
    <n v="0"/>
    <n v="0"/>
    <n v="30.2"/>
    <n v="32.42"/>
    <n v="0"/>
    <n v="2.67"/>
    <s v="No"/>
    <n v="0"/>
    <n v="81.78"/>
    <n v="65.290000000000006"/>
    <n v="16.489999999999998"/>
    <n v="0"/>
  </r>
  <r>
    <s v="ORD-001959"/>
    <s v="C-0633"/>
    <d v="2025-11-14T00:00:00"/>
    <s v="Website"/>
    <s v="Credit Card"/>
    <s v="Southwest"/>
    <n v="3"/>
    <x v="3"/>
    <n v="115.78"/>
    <n v="25"/>
    <n v="28.95"/>
    <n v="68.2"/>
    <n v="44.36"/>
    <n v="0"/>
    <n v="2.82"/>
    <s v="No"/>
    <n v="0"/>
    <n v="86.83"/>
    <n v="115.38"/>
    <n v="-28.55"/>
    <n v="0"/>
  </r>
  <r>
    <s v="ORD-001960"/>
    <s v="C-0779"/>
    <d v="2024-07-29T00:00:00"/>
    <s v="Social Commerce"/>
    <s v="PayPal"/>
    <s v="Northeast"/>
    <n v="5"/>
    <x v="2"/>
    <n v="420.17"/>
    <n v="0"/>
    <n v="0"/>
    <n v="66.959999999999994"/>
    <n v="142.07"/>
    <n v="33.61"/>
    <n v="12.48"/>
    <s v="No"/>
    <n v="0"/>
    <n v="420.17"/>
    <n v="255.12"/>
    <n v="165.05"/>
    <n v="0"/>
  </r>
  <r>
    <s v="ORD-001961"/>
    <s v="C-0563"/>
    <d v="2025-08-30T00:00:00"/>
    <s v="Marketplace"/>
    <s v="Buy Now Pay Later"/>
    <s v="West Coast"/>
    <n v="2"/>
    <x v="1"/>
    <n v="40.56"/>
    <n v="10"/>
    <n v="4.0599999999999996"/>
    <n v="26.52"/>
    <n v="14.42"/>
    <n v="5.47"/>
    <n v="1.36"/>
    <s v="No"/>
    <n v="0"/>
    <n v="36.5"/>
    <n v="47.77"/>
    <n v="-11.27"/>
    <n v="0"/>
  </r>
  <r>
    <s v="ORD-001962"/>
    <s v="C-0262"/>
    <d v="2024-07-15T00:00:00"/>
    <s v="Website"/>
    <s v="Credit Card"/>
    <s v="Northeast"/>
    <n v="4"/>
    <x v="0"/>
    <n v="776.74"/>
    <n v="10"/>
    <n v="77.67"/>
    <n v="94.46"/>
    <n v="251.49"/>
    <n v="0"/>
    <n v="20.57"/>
    <s v="No"/>
    <n v="0"/>
    <n v="699.07"/>
    <n v="366.52"/>
    <n v="332.55"/>
    <n v="0"/>
  </r>
  <r>
    <s v="ORD-001963"/>
    <s v="C-0354"/>
    <d v="2025-11-17T00:00:00"/>
    <s v="Website"/>
    <s v="Credit Card"/>
    <s v="West Coast"/>
    <n v="1"/>
    <x v="2"/>
    <n v="45.27"/>
    <n v="10"/>
    <n v="4.53"/>
    <n v="12.78"/>
    <n v="23.99"/>
    <n v="0"/>
    <n v="1.48"/>
    <s v="No"/>
    <n v="0"/>
    <n v="40.74"/>
    <n v="38.25"/>
    <n v="2.4900000000000002"/>
    <n v="0"/>
  </r>
  <r>
    <s v="ORD-001964"/>
    <s v="C-0449"/>
    <d v="2025-09-09T00:00:00"/>
    <s v="Social Commerce"/>
    <s v="Buy Now Pay Later"/>
    <s v="Southeast"/>
    <n v="1"/>
    <x v="4"/>
    <n v="63.94"/>
    <n v="0"/>
    <n v="0"/>
    <n v="8.4600000000000009"/>
    <n v="20.51"/>
    <n v="5.12"/>
    <n v="2.15"/>
    <s v="Yes"/>
    <n v="63.94"/>
    <n v="0"/>
    <n v="36.24"/>
    <n v="-36.24"/>
    <n v="0"/>
  </r>
  <r>
    <s v="ORD-001965"/>
    <s v="C-0345"/>
    <d v="2025-03-06T00:00:00"/>
    <s v="Website"/>
    <s v="Buy Now Pay Later"/>
    <s v="Southeast"/>
    <n v="3"/>
    <x v="7"/>
    <n v="336.13"/>
    <n v="0"/>
    <n v="0"/>
    <n v="46.46"/>
    <n v="202.14"/>
    <n v="0"/>
    <n v="10.050000000000001"/>
    <s v="Yes"/>
    <n v="336.13"/>
    <n v="0"/>
    <n v="258.64999999999998"/>
    <n v="-258.64999999999998"/>
    <n v="0"/>
  </r>
  <r>
    <s v="ORD-001966"/>
    <s v="C-0064"/>
    <d v="2024-09-02T00:00:00"/>
    <s v="Mobile App"/>
    <s v="Buy Now Pay Later"/>
    <s v="Northeast"/>
    <n v="2"/>
    <x v="0"/>
    <n v="61.33"/>
    <n v="0"/>
    <n v="0"/>
    <n v="21.56"/>
    <n v="28.35"/>
    <n v="0"/>
    <n v="2.08"/>
    <s v="No"/>
    <n v="0"/>
    <n v="61.33"/>
    <n v="51.99"/>
    <n v="9.34"/>
    <n v="1"/>
  </r>
  <r>
    <s v="ORD-001967"/>
    <s v="C-0229"/>
    <d v="2025-07-15T00:00:00"/>
    <s v="Website"/>
    <s v="Buy Now Pay Later"/>
    <s v="West Coast"/>
    <n v="1"/>
    <x v="2"/>
    <n v="52.54"/>
    <n v="15"/>
    <n v="7.88"/>
    <n v="5.82"/>
    <n v="30.58"/>
    <n v="0"/>
    <n v="1.6"/>
    <s v="No"/>
    <n v="0"/>
    <n v="44.66"/>
    <n v="38"/>
    <n v="6.66"/>
    <n v="1"/>
  </r>
  <r>
    <s v="ORD-001968"/>
    <s v="C-0257"/>
    <d v="2024-08-28T00:00:00"/>
    <s v="Mobile App"/>
    <s v="PayPal"/>
    <s v="West Coast"/>
    <n v="1"/>
    <x v="6"/>
    <n v="9.77"/>
    <n v="10"/>
    <n v="0.98"/>
    <n v="11.74"/>
    <n v="4.49"/>
    <n v="0"/>
    <n v="0.55000000000000004"/>
    <s v="No"/>
    <n v="0"/>
    <n v="8.7899999999999991"/>
    <n v="16.78"/>
    <n v="-7.99"/>
    <n v="0"/>
  </r>
  <r>
    <s v="ORD-001969"/>
    <s v="C-0589"/>
    <d v="2024-05-29T00:00:00"/>
    <s v="Website"/>
    <s v="Credit Card"/>
    <s v="Southeast"/>
    <n v="3"/>
    <x v="3"/>
    <n v="70.650000000000006"/>
    <n v="5"/>
    <n v="3.53"/>
    <n v="29.54"/>
    <n v="29"/>
    <n v="0"/>
    <n v="2.25"/>
    <s v="No"/>
    <n v="0"/>
    <n v="67.12"/>
    <n v="60.79"/>
    <n v="6.33"/>
    <n v="0"/>
  </r>
  <r>
    <s v="ORD-001970"/>
    <s v="C-0438"/>
    <d v="2025-07-09T00:00:00"/>
    <s v="Mobile App"/>
    <s v="PayPal"/>
    <s v="Southeast"/>
    <n v="1"/>
    <x v="1"/>
    <n v="11.82"/>
    <n v="10"/>
    <n v="1.18"/>
    <n v="11.9"/>
    <n v="5.81"/>
    <n v="0"/>
    <n v="0.61"/>
    <s v="No"/>
    <n v="0"/>
    <n v="10.64"/>
    <n v="18.32"/>
    <n v="-7.68"/>
    <n v="0"/>
  </r>
  <r>
    <s v="ORD-001971"/>
    <s v="C-0767"/>
    <d v="2024-12-05T00:00:00"/>
    <s v="Social Commerce"/>
    <s v="PayPal"/>
    <s v="West Coast"/>
    <n v="1"/>
    <x v="5"/>
    <n v="50.95"/>
    <n v="20"/>
    <n v="10.19"/>
    <n v="14.38"/>
    <n v="18.739999999999998"/>
    <n v="3.26"/>
    <n v="1.48"/>
    <s v="No"/>
    <n v="0"/>
    <n v="40.76"/>
    <n v="37.86"/>
    <n v="2.9"/>
    <n v="0"/>
  </r>
  <r>
    <s v="ORD-001972"/>
    <s v="C-0088"/>
    <d v="2025-02-09T00:00:00"/>
    <s v="Mobile App"/>
    <s v="Gift Card"/>
    <s v="Southeast"/>
    <n v="3"/>
    <x v="7"/>
    <n v="127.47"/>
    <n v="0"/>
    <n v="0"/>
    <n v="32.72"/>
    <n v="51.05"/>
    <n v="0"/>
    <n v="4"/>
    <s v="No"/>
    <n v="0"/>
    <n v="127.47"/>
    <n v="87.77"/>
    <n v="39.700000000000003"/>
    <n v="0"/>
  </r>
  <r>
    <s v="ORD-001973"/>
    <s v="C-0403"/>
    <d v="2024-12-26T00:00:00"/>
    <s v="Social Commerce"/>
    <s v="Debit Card"/>
    <s v="Southeast"/>
    <n v="2"/>
    <x v="2"/>
    <n v="240.64"/>
    <n v="15"/>
    <n v="36.1"/>
    <n v="17.14"/>
    <n v="87.75"/>
    <n v="16.36"/>
    <n v="6.23"/>
    <s v="Yes"/>
    <n v="204.54"/>
    <n v="0"/>
    <n v="127.48"/>
    <n v="-127.48"/>
    <n v="0"/>
  </r>
  <r>
    <s v="ORD-001974"/>
    <s v="C-0744"/>
    <d v="2025-11-25T00:00:00"/>
    <s v="Marketplace"/>
    <s v="Debit Card"/>
    <s v="Southeast"/>
    <n v="5"/>
    <x v="1"/>
    <n v="419.08"/>
    <n v="10"/>
    <n v="41.91"/>
    <n v="67.06"/>
    <n v="141.41"/>
    <n v="56.58"/>
    <n v="11.24"/>
    <s v="No"/>
    <n v="0"/>
    <n v="377.17"/>
    <n v="276.29000000000002"/>
    <n v="100.88"/>
    <n v="0"/>
  </r>
  <r>
    <s v="ORD-001975"/>
    <s v="C-0709"/>
    <d v="2025-11-12T00:00:00"/>
    <s v="Website"/>
    <s v="Debit Card"/>
    <s v="Northeast"/>
    <n v="1"/>
    <x v="4"/>
    <n v="93.89"/>
    <n v="10"/>
    <n v="9.39"/>
    <n v="6.14"/>
    <n v="32.81"/>
    <n v="0"/>
    <n v="2.75"/>
    <s v="No"/>
    <n v="0"/>
    <n v="84.5"/>
    <n v="41.7"/>
    <n v="42.8"/>
    <n v="1"/>
  </r>
  <r>
    <s v="ORD-001976"/>
    <s v="C-0414"/>
    <d v="2025-07-01T00:00:00"/>
    <s v="Mobile App"/>
    <s v="Credit Card"/>
    <s v="Midwest"/>
    <n v="1"/>
    <x v="4"/>
    <n v="13.66"/>
    <n v="0"/>
    <n v="0"/>
    <n v="10.62"/>
    <n v="4.6900000000000004"/>
    <n v="0"/>
    <n v="0.7"/>
    <s v="No"/>
    <n v="0"/>
    <n v="13.66"/>
    <n v="16.010000000000002"/>
    <n v="-2.35"/>
    <n v="0"/>
  </r>
  <r>
    <s v="ORD-001977"/>
    <s v="C-0627"/>
    <d v="2025-07-17T00:00:00"/>
    <s v="Mobile App"/>
    <s v="Credit Card"/>
    <s v="Midwest"/>
    <n v="1"/>
    <x v="2"/>
    <n v="69.12"/>
    <n v="20"/>
    <n v="13.82"/>
    <n v="9.1"/>
    <n v="20.88"/>
    <n v="0"/>
    <n v="1.9"/>
    <s v="No"/>
    <n v="0"/>
    <n v="55.3"/>
    <n v="31.88"/>
    <n v="23.42"/>
    <n v="0"/>
  </r>
  <r>
    <s v="ORD-001978"/>
    <s v="C-0664"/>
    <d v="2024-06-21T00:00:00"/>
    <s v="Website"/>
    <s v="PayPal"/>
    <s v="Southwest"/>
    <n v="2"/>
    <x v="6"/>
    <n v="94.67"/>
    <n v="5"/>
    <n v="4.7300000000000004"/>
    <n v="29.46"/>
    <n v="37.97"/>
    <n v="0"/>
    <n v="2.91"/>
    <s v="No"/>
    <n v="0"/>
    <n v="89.94"/>
    <n v="70.34"/>
    <n v="19.600000000000001"/>
    <n v="0"/>
  </r>
  <r>
    <s v="ORD-001979"/>
    <s v="C-0444"/>
    <d v="2025-04-06T00:00:00"/>
    <s v="Website"/>
    <s v="Credit Card"/>
    <s v="West Coast"/>
    <n v="1"/>
    <x v="5"/>
    <n v="32.04"/>
    <n v="10"/>
    <n v="3.2"/>
    <n v="14.22"/>
    <n v="19.989999999999998"/>
    <n v="0"/>
    <n v="1.1399999999999999"/>
    <s v="No"/>
    <n v="0"/>
    <n v="28.84"/>
    <n v="35.35"/>
    <n v="-6.51"/>
    <n v="0"/>
  </r>
  <r>
    <s v="ORD-001980"/>
    <s v="C-0555"/>
    <d v="2025-01-01T00:00:00"/>
    <s v="Marketplace"/>
    <s v="Gift Card"/>
    <s v="Midwest"/>
    <n v="2"/>
    <x v="4"/>
    <n v="110.74"/>
    <n v="0"/>
    <n v="0"/>
    <n v="37.979999999999997"/>
    <n v="35.03"/>
    <n v="16.61"/>
    <n v="3.51"/>
    <s v="No"/>
    <n v="0"/>
    <n v="110.74"/>
    <n v="93.13"/>
    <n v="17.61"/>
    <n v="0"/>
  </r>
  <r>
    <s v="ORD-001981"/>
    <s v="C-0385"/>
    <d v="2024-10-06T00:00:00"/>
    <s v="Social Commerce"/>
    <s v="Credit Card"/>
    <s v="Southwest"/>
    <n v="1"/>
    <x v="4"/>
    <n v="7.77"/>
    <n v="0"/>
    <n v="0"/>
    <n v="4.7"/>
    <n v="4.58"/>
    <n v="0.62"/>
    <n v="0.53"/>
    <s v="Yes"/>
    <n v="7.77"/>
    <n v="0"/>
    <n v="10.43"/>
    <n v="-10.43"/>
    <n v="0"/>
  </r>
  <r>
    <s v="ORD-001982"/>
    <s v="C-0509"/>
    <d v="2025-05-19T00:00:00"/>
    <s v="Website"/>
    <s v="PayPal"/>
    <s v="Northeast"/>
    <n v="1"/>
    <x v="4"/>
    <n v="62.28"/>
    <n v="10"/>
    <n v="6.23"/>
    <n v="10.54"/>
    <n v="23.32"/>
    <n v="0"/>
    <n v="1.93"/>
    <s v="No"/>
    <n v="0"/>
    <n v="56.05"/>
    <n v="35.79"/>
    <n v="20.260000000000002"/>
    <n v="0"/>
  </r>
  <r>
    <s v="ORD-001983"/>
    <s v="C-0683"/>
    <d v="2024-12-03T00:00:00"/>
    <s v="Marketplace"/>
    <s v="PayPal"/>
    <s v="Southeast"/>
    <n v="3"/>
    <x v="1"/>
    <n v="245.52"/>
    <n v="5"/>
    <n v="12.28"/>
    <n v="44.82"/>
    <n v="96.89"/>
    <n v="34.99"/>
    <n v="7.06"/>
    <s v="No"/>
    <n v="0"/>
    <n v="233.24"/>
    <n v="183.76"/>
    <n v="49.48"/>
    <n v="1"/>
  </r>
  <r>
    <s v="ORD-001984"/>
    <s v="C-0366"/>
    <d v="2024-07-21T00:00:00"/>
    <s v="Website"/>
    <s v="Credit Card"/>
    <s v="Southeast"/>
    <n v="2"/>
    <x v="4"/>
    <n v="119.58"/>
    <n v="0"/>
    <n v="0"/>
    <n v="35.46"/>
    <n v="55.23"/>
    <n v="0"/>
    <n v="3.77"/>
    <s v="No"/>
    <n v="0"/>
    <n v="119.58"/>
    <n v="94.46"/>
    <n v="25.12"/>
    <n v="0"/>
  </r>
  <r>
    <s v="ORD-001985"/>
    <s v="C-0530"/>
    <d v="2025-05-17T00:00:00"/>
    <s v="Mobile App"/>
    <s v="Credit Card"/>
    <s v="Southwest"/>
    <n v="1"/>
    <x v="7"/>
    <n v="83.78"/>
    <n v="0"/>
    <n v="0"/>
    <n v="14.22"/>
    <n v="25.22"/>
    <n v="0"/>
    <n v="2.73"/>
    <s v="No"/>
    <n v="0"/>
    <n v="83.78"/>
    <n v="42.17"/>
    <n v="41.61"/>
    <n v="0"/>
  </r>
  <r>
    <s v="ORD-001986"/>
    <s v="C-0354"/>
    <d v="2025-08-03T00:00:00"/>
    <s v="Mobile App"/>
    <s v="Buy Now Pay Later"/>
    <s v="West Coast"/>
    <n v="3"/>
    <x v="6"/>
    <n v="141.74"/>
    <n v="10"/>
    <n v="14.17"/>
    <n v="42.48"/>
    <n v="76.83"/>
    <n v="0"/>
    <n v="4"/>
    <s v="No"/>
    <n v="0"/>
    <n v="127.57"/>
    <n v="123.31"/>
    <n v="4.26"/>
    <n v="0"/>
  </r>
  <r>
    <s v="ORD-001987"/>
    <s v="C-0620"/>
    <d v="2025-08-31T00:00:00"/>
    <s v="Mobile App"/>
    <s v="Credit Card"/>
    <s v="West Coast"/>
    <n v="1"/>
    <x v="3"/>
    <n v="48.46"/>
    <n v="0"/>
    <n v="0"/>
    <n v="13.4"/>
    <n v="25.94"/>
    <n v="0"/>
    <n v="1.71"/>
    <s v="Yes"/>
    <n v="48.46"/>
    <n v="0"/>
    <n v="41.05"/>
    <n v="-41.05"/>
    <n v="0"/>
  </r>
  <r>
    <s v="ORD-001988"/>
    <s v="C-0261"/>
    <d v="2025-04-09T00:00:00"/>
    <s v="Mobile App"/>
    <s v="PayPal"/>
    <s v="West Coast"/>
    <n v="1"/>
    <x v="3"/>
    <n v="77.62"/>
    <n v="10"/>
    <n v="7.76"/>
    <n v="22.84"/>
    <n v="33.1"/>
    <n v="0"/>
    <n v="2.33"/>
    <s v="No"/>
    <n v="0"/>
    <n v="69.86"/>
    <n v="58.27"/>
    <n v="11.59"/>
    <n v="0"/>
  </r>
  <r>
    <s v="ORD-001989"/>
    <s v="C-0467"/>
    <d v="2024-02-20T00:00:00"/>
    <s v="Website"/>
    <s v="PayPal"/>
    <s v="West Coast"/>
    <n v="2"/>
    <x v="6"/>
    <n v="187.72"/>
    <n v="10"/>
    <n v="18.77"/>
    <n v="34.42"/>
    <n v="57.52"/>
    <n v="0"/>
    <n v="5.2"/>
    <s v="No"/>
    <n v="0"/>
    <n v="168.95"/>
    <n v="97.14"/>
    <n v="71.81"/>
    <n v="1"/>
  </r>
  <r>
    <s v="ORD-001990"/>
    <s v="C-0473"/>
    <d v="2025-05-08T00:00:00"/>
    <s v="Mobile App"/>
    <s v="Credit Card"/>
    <s v="Northeast"/>
    <n v="1"/>
    <x v="1"/>
    <n v="116.46"/>
    <n v="10"/>
    <n v="11.65"/>
    <n v="26.84"/>
    <n v="44.84"/>
    <n v="0"/>
    <n v="3.34"/>
    <s v="Yes"/>
    <n v="104.81"/>
    <n v="0"/>
    <n v="75.02"/>
    <n v="-75.02"/>
    <n v="0"/>
  </r>
  <r>
    <s v="ORD-001991"/>
    <s v="C-0215"/>
    <d v="2025-02-01T00:00:00"/>
    <s v="Mobile App"/>
    <s v="Credit Card"/>
    <s v="Southwest"/>
    <n v="2"/>
    <x v="3"/>
    <n v="176.77"/>
    <n v="0"/>
    <n v="0"/>
    <n v="40.5"/>
    <n v="67.33"/>
    <n v="0"/>
    <n v="5.43"/>
    <s v="No"/>
    <n v="0"/>
    <n v="176.77"/>
    <n v="113.26"/>
    <n v="63.51"/>
    <n v="0"/>
  </r>
  <r>
    <s v="ORD-001992"/>
    <s v="C-0603"/>
    <d v="2024-07-16T00:00:00"/>
    <s v="Social Commerce"/>
    <s v="Buy Now Pay Later"/>
    <s v="Southeast"/>
    <n v="1"/>
    <x v="5"/>
    <n v="111.64"/>
    <n v="0"/>
    <n v="0"/>
    <n v="14.22"/>
    <n v="37.840000000000003"/>
    <n v="8.93"/>
    <n v="3.54"/>
    <s v="Yes"/>
    <n v="111.64"/>
    <n v="0"/>
    <n v="64.53"/>
    <n v="-64.53"/>
    <n v="1"/>
  </r>
  <r>
    <s v="ORD-001993"/>
    <s v="C-0586"/>
    <d v="2025-08-25T00:00:00"/>
    <s v="Website"/>
    <s v="Gift Card"/>
    <s v="Southeast"/>
    <n v="1"/>
    <x v="4"/>
    <n v="90.19"/>
    <n v="5"/>
    <n v="4.51"/>
    <n v="13.42"/>
    <n v="33.04"/>
    <n v="0"/>
    <n v="2.78"/>
    <s v="No"/>
    <n v="0"/>
    <n v="85.68"/>
    <n v="49.24"/>
    <n v="36.44"/>
    <n v="0"/>
  </r>
  <r>
    <s v="ORD-001994"/>
    <s v="C-0007"/>
    <d v="2024-12-10T00:00:00"/>
    <s v="Website"/>
    <s v="Credit Card"/>
    <s v="Midwest"/>
    <n v="4"/>
    <x v="4"/>
    <n v="368.42"/>
    <n v="15"/>
    <n v="55.26"/>
    <n v="37.119999999999997"/>
    <n v="121.25"/>
    <n v="0"/>
    <n v="9.3800000000000008"/>
    <s v="No"/>
    <n v="0"/>
    <n v="313.16000000000003"/>
    <n v="167.75"/>
    <n v="145.41"/>
    <n v="1"/>
  </r>
  <r>
    <s v="ORD-001995"/>
    <s v="C-0025"/>
    <d v="2025-02-05T00:00:00"/>
    <s v="Mobile App"/>
    <s v="Credit Card"/>
    <s v="Southeast"/>
    <n v="1"/>
    <x v="6"/>
    <n v="26.5"/>
    <n v="15"/>
    <n v="3.98"/>
    <n v="5.5"/>
    <n v="8.06"/>
    <n v="0"/>
    <n v="0.95"/>
    <s v="No"/>
    <n v="0"/>
    <n v="22.52"/>
    <n v="14.51"/>
    <n v="8.01"/>
    <n v="0"/>
  </r>
  <r>
    <s v="ORD-001996"/>
    <s v="C-0250"/>
    <d v="2025-09-06T00:00:00"/>
    <s v="Mobile App"/>
    <s v="Debit Card"/>
    <s v="Midwest"/>
    <n v="2"/>
    <x v="0"/>
    <n v="178.22"/>
    <n v="0"/>
    <n v="0"/>
    <n v="51.04"/>
    <n v="80.510000000000005"/>
    <n v="0"/>
    <n v="5.47"/>
    <s v="No"/>
    <n v="0"/>
    <n v="178.22"/>
    <n v="137.02000000000001"/>
    <n v="41.2"/>
    <n v="0"/>
  </r>
  <r>
    <s v="ORD-001997"/>
    <s v="C-0652"/>
    <d v="2025-06-27T00:00:00"/>
    <s v="Mobile App"/>
    <s v="Buy Now Pay Later"/>
    <s v="Midwest"/>
    <n v="3"/>
    <x v="1"/>
    <n v="201.02"/>
    <n v="0"/>
    <n v="0"/>
    <n v="42.54"/>
    <n v="75.39"/>
    <n v="0"/>
    <n v="6.13"/>
    <s v="No"/>
    <n v="0"/>
    <n v="201.02"/>
    <n v="124.06"/>
    <n v="76.959999999999994"/>
    <n v="0"/>
  </r>
  <r>
    <s v="ORD-001998"/>
    <s v="C-0473"/>
    <d v="2025-01-20T00:00:00"/>
    <s v="Marketplace"/>
    <s v="Credit Card"/>
    <s v="Southeast"/>
    <n v="1"/>
    <x v="1"/>
    <n v="35.409999999999997"/>
    <n v="0"/>
    <n v="0"/>
    <n v="12.14"/>
    <n v="18.89"/>
    <n v="5.31"/>
    <n v="1.33"/>
    <s v="Yes"/>
    <n v="35.409999999999997"/>
    <n v="0"/>
    <n v="37.67"/>
    <n v="-37.67"/>
    <n v="0"/>
  </r>
  <r>
    <s v="ORD-001999"/>
    <s v="C-0784"/>
    <d v="2025-08-14T00:00:00"/>
    <s v="Website"/>
    <s v="Credit Card"/>
    <s v="Northeast"/>
    <n v="2"/>
    <x v="2"/>
    <n v="81.67"/>
    <n v="10"/>
    <n v="8.17"/>
    <n v="27.08"/>
    <n v="36.909999999999997"/>
    <n v="0"/>
    <n v="2.4300000000000002"/>
    <s v="No"/>
    <n v="0"/>
    <n v="73.5"/>
    <n v="66.42"/>
    <n v="7.08"/>
    <n v="0"/>
  </r>
  <r>
    <s v="ORD-002000"/>
    <s v="C-0377"/>
    <d v="2025-11-21T00:00:00"/>
    <s v="Website"/>
    <s v="Credit Card"/>
    <s v="Southwest"/>
    <n v="1"/>
    <x v="0"/>
    <n v="260.5"/>
    <n v="20"/>
    <n v="52.1"/>
    <n v="11.82"/>
    <n v="78.92"/>
    <n v="0"/>
    <n v="6.34"/>
    <s v="Yes"/>
    <n v="208.4"/>
    <n v="0"/>
    <n v="97.08"/>
    <n v="-97.08"/>
    <n v="1"/>
  </r>
  <r>
    <m/>
    <m/>
    <m/>
    <m/>
    <m/>
    <m/>
    <m/>
    <x v="8"/>
    <m/>
    <m/>
    <m/>
    <m/>
    <m/>
    <m/>
    <m/>
    <m/>
    <m/>
    <m/>
    <m/>
    <m/>
    <m/>
  </r>
  <r>
    <m/>
    <m/>
    <m/>
    <m/>
    <m/>
    <m/>
    <m/>
    <x v="8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ACA1C-8539-4B58-8612-EC234191F173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3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6"/>
        <item x="4"/>
        <item x="0"/>
        <item x="5"/>
        <item x="7"/>
        <item x="3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_revenue" fld="17" baseField="0" baseItem="0"/>
    <dataField name="Sum of profit" fld="19" baseField="0" baseItem="0"/>
    <dataField name="Sum of Margin_Pct" fld="21" baseField="0" baseItem="0"/>
  </dataFields>
  <formats count="1">
    <format dxfId="2">
      <pivotArea dataOnly="0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2DA8E30-8B32-44D1-8616-7BBD1E2BF2E8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unit_cost" tableColumnId="5"/>
      <queryTableField id="6" name="selling_price" tableColumnId="6"/>
      <queryTableField id="7" name="shipping_cost_per_unit" tableColumnId="7"/>
      <queryTableField id="8" name="weight_lbs" tableColumnId="8"/>
      <queryTableField id="9" name="supplie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0C21A5F-F0E5-4D0F-B99A-1B71598920BA}" autoFormatId="16" applyNumberFormats="0" applyBorderFormats="0" applyFontFormats="0" applyPatternFormats="0" applyAlignmentFormats="0" applyWidthHeightFormats="0">
  <queryTableRefresh nextId="22" unboundColumnsRight="1">
    <queryTableFields count="21">
      <queryTableField id="1" name="order_id" tableColumnId="1"/>
      <queryTableField id="2" name="customer_id" tableColumnId="2"/>
      <queryTableField id="3" name="order_date" tableColumnId="3"/>
      <queryTableField id="4" name="channel" tableColumnId="4"/>
      <queryTableField id="5" name="payment_method" tableColumnId="5"/>
      <queryTableField id="6" name="region" tableColumnId="6"/>
      <queryTableField id="7" name="items_ordered" tableColumnId="7"/>
      <queryTableField id="8" name="primary_category" tableColumnId="8"/>
      <queryTableField id="9" name="gross_revenue" tableColumnId="9"/>
      <queryTableField id="10" name="discount_pct" tableColumnId="10"/>
      <queryTableField id="11" name="discount_amount" tableColumnId="11"/>
      <queryTableField id="12" name="shipping_cost" tableColumnId="12"/>
      <queryTableField id="13" name="product_cost" tableColumnId="13"/>
      <queryTableField id="14" name="platform_fee" tableColumnId="14"/>
      <queryTableField id="15" name="transaction_fee" tableColumnId="15"/>
      <queryTableField id="16" name="returned" tableColumnId="16"/>
      <queryTableField id="17" name="refund_amount" tableColumnId="17"/>
      <queryTableField id="18" name="net_revenue" tableColumnId="18"/>
      <queryTableField id="19" name="total_costs" tableColumnId="19"/>
      <queryTableField id="20" name="profit" tableColumnId="20"/>
      <queryTableField id="21" dataBound="0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6A327A-82C0-41D7-93E1-EB7E727D7299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month" tableColumnId="1"/>
      <queryTableField id="2" name="platform" tableColumnId="2"/>
      <queryTableField id="3" name="spend" tableColumnId="3"/>
      <queryTableField id="4" name="impressions" tableColumnId="4"/>
      <queryTableField id="5" name="clicks" tableColumnId="5"/>
      <queryTableField id="6" name="conversions" tableColumnId="6"/>
      <queryTableField id="7" name="revenue_attributed" tableColumnId="7"/>
      <queryTableField id="8" name="cpc" tableColumnId="8"/>
      <queryTableField id="9" name="cpa" tableColumnId="9"/>
      <queryTableField id="10" name="roas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BC7FB6-172B-4504-96D5-DB479A9F2FFE}" name="products" displayName="products" ref="A1:I208" tableType="queryTable" totalsRowShown="0">
  <autoFilter ref="A1:I208" xr:uid="{B9BC7FB6-172B-4504-96D5-DB479A9F2FFE}"/>
  <tableColumns count="9">
    <tableColumn id="1" xr3:uid="{F093D199-B105-4DC6-AA1D-452A26FF9D37}" uniqueName="1" name="product_id" queryTableFieldId="1" dataDxfId="8"/>
    <tableColumn id="2" xr3:uid="{E0965877-133C-451E-9599-E092E8B0018C}" uniqueName="2" name="product_name" queryTableFieldId="2" dataDxfId="7"/>
    <tableColumn id="3" xr3:uid="{D4FE5C2C-26A6-4FC3-9827-425CC3235FAF}" uniqueName="3" name="category" queryTableFieldId="3" dataDxfId="6"/>
    <tableColumn id="4" xr3:uid="{84C0C782-437D-48BC-B527-920C7A0FDCAB}" uniqueName="4" name="sub_category" queryTableFieldId="4" dataDxfId="5"/>
    <tableColumn id="5" xr3:uid="{D585359B-6E62-4FAB-B80A-1F68AAABD537}" uniqueName="5" name="unit_cost" queryTableFieldId="5"/>
    <tableColumn id="6" xr3:uid="{A33C0372-FA7B-49DF-AC45-2EF76DA67D03}" uniqueName="6" name="selling_price" queryTableFieldId="6"/>
    <tableColumn id="7" xr3:uid="{4E808D24-EAD4-4BB0-9D05-B0F4A4A3CC44}" uniqueName="7" name="shipping_cost_per_unit" queryTableFieldId="7"/>
    <tableColumn id="8" xr3:uid="{C975ED3A-A59B-49B1-978D-DC3E43DF978D}" uniqueName="8" name="weight_lbs" queryTableFieldId="8"/>
    <tableColumn id="9" xr3:uid="{2609D1C2-109A-46D3-A3B2-6FC5060D4323}" uniqueName="9" name="supplier" queryTableFieldId="9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190E96-B4FC-4072-94F3-7078F56D4C9F}" name="orders" displayName="orders" ref="A1:U2003" tableType="queryTable" totalsRowShown="0">
  <autoFilter ref="A1:U2003" xr:uid="{7F190E96-B4FC-4072-94F3-7078F56D4C9F}"/>
  <tableColumns count="21">
    <tableColumn id="1" xr3:uid="{32BE120A-99AF-4734-B5D8-461A8AC02DBD}" uniqueName="1" name="order_id" queryTableFieldId="1" dataDxfId="16"/>
    <tableColumn id="2" xr3:uid="{7EC8A4E8-3DF4-4C14-80AA-E142297F98B3}" uniqueName="2" name="customer_id" queryTableFieldId="2" dataDxfId="15"/>
    <tableColumn id="3" xr3:uid="{ECEADFA4-61B9-4498-BEAB-CE21B4CC7952}" uniqueName="3" name="order_date" queryTableFieldId="3" dataDxfId="14"/>
    <tableColumn id="4" xr3:uid="{4A893013-F36B-41D5-A169-ACE3A3DFBE79}" uniqueName="4" name="channel" queryTableFieldId="4" dataDxfId="13"/>
    <tableColumn id="5" xr3:uid="{64EA2144-5AAF-467C-A37A-CDCF1AF275EC}" uniqueName="5" name="payment_method" queryTableFieldId="5" dataDxfId="12"/>
    <tableColumn id="6" xr3:uid="{5C8DBE38-B48A-4EC2-81C4-E75A70A3FE99}" uniqueName="6" name="region" queryTableFieldId="6" dataDxfId="11"/>
    <tableColumn id="7" xr3:uid="{07EDB072-723D-4AB8-803A-320A312A2A25}" uniqueName="7" name="items_ordered" queryTableFieldId="7"/>
    <tableColumn id="8" xr3:uid="{B4106CA6-FBAD-4105-9B2B-637561457C75}" uniqueName="8" name="primary_category" queryTableFieldId="8" dataDxfId="10"/>
    <tableColumn id="9" xr3:uid="{2395745D-2EEB-4309-91AB-DCBD6A7DF09E}" uniqueName="9" name="gross_revenue" queryTableFieldId="9"/>
    <tableColumn id="10" xr3:uid="{D574F8EB-BC9C-404E-8C2A-B4B9B0FF34E0}" uniqueName="10" name="discount_pct" queryTableFieldId="10"/>
    <tableColumn id="11" xr3:uid="{42BFD537-ADAB-40E7-A681-85B7574E247A}" uniqueName="11" name="discount_amount" queryTableFieldId="11"/>
    <tableColumn id="12" xr3:uid="{BCC60DCF-3EAA-4DDF-94E4-0AF882552452}" uniqueName="12" name="shipping_cost" queryTableFieldId="12"/>
    <tableColumn id="13" xr3:uid="{750FF7E6-7E02-49EC-96A5-3D4916DD2314}" uniqueName="13" name="product_cost" queryTableFieldId="13"/>
    <tableColumn id="14" xr3:uid="{F02DD359-4612-41C6-9BA0-01BA995E72B9}" uniqueName="14" name="platform_fee" queryTableFieldId="14"/>
    <tableColumn id="15" xr3:uid="{80F4B829-61BA-4011-91C2-B281DDA2D72D}" uniqueName="15" name="transaction_fee" queryTableFieldId="15"/>
    <tableColumn id="16" xr3:uid="{12D62762-3215-451F-B360-1D31A9FD72DD}" uniqueName="16" name="returned" queryTableFieldId="16" dataDxfId="9"/>
    <tableColumn id="17" xr3:uid="{B0CA55EF-7D5D-4801-8559-D48871547160}" uniqueName="17" name="refund_amount" queryTableFieldId="17"/>
    <tableColumn id="18" xr3:uid="{83B3ADFB-852A-48F3-9B0B-A6AFBCD2793C}" uniqueName="18" name="net_revenue" queryTableFieldId="18"/>
    <tableColumn id="19" xr3:uid="{FEE18FFF-84C1-47CB-8F9A-F17A32789E04}" uniqueName="19" name="total_costs" queryTableFieldId="19"/>
    <tableColumn id="20" xr3:uid="{58DCFB46-5BB9-4E83-B956-6B63525105CE}" uniqueName="20" name="profit" queryTableFieldId="20"/>
    <tableColumn id="21" xr3:uid="{76726DF0-58B3-4663-AB7D-5BBD6DABC52E}" uniqueName="21" name="Return_flag" queryTableFieldId="21" dataDxfId="3">
      <calculatedColumnFormula>VLOOKUP(B2, products!$A:$B, 2, FALSE)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677476-76B3-4D65-BC1E-D743A792B582}" name="marketing_spend" displayName="marketing_spend" ref="A1:K145" tableType="queryTable" totalsRowShown="0">
  <autoFilter ref="A1:K145" xr:uid="{55677476-76B3-4D65-BC1E-D743A792B582}"/>
  <tableColumns count="11">
    <tableColumn id="1" xr3:uid="{212BFE65-87ED-44B9-9F8C-2FA694E6CD9C}" uniqueName="1" name="month" queryTableFieldId="1" dataDxfId="18"/>
    <tableColumn id="2" xr3:uid="{E35A097E-F2F5-4472-ACE4-7709EDF12D13}" uniqueName="2" name="platform" queryTableFieldId="2" dataDxfId="17"/>
    <tableColumn id="3" xr3:uid="{A0F90AE2-C21F-412B-B670-8548997A3CCB}" uniqueName="3" name="spend" queryTableFieldId="3"/>
    <tableColumn id="4" xr3:uid="{FAD17C29-2CE6-46F6-87EC-539F355C4E81}" uniqueName="4" name="impressions" queryTableFieldId="4"/>
    <tableColumn id="5" xr3:uid="{767D810D-2F35-437D-B705-122A7EDE6EAA}" uniqueName="5" name="clicks" queryTableFieldId="5"/>
    <tableColumn id="6" xr3:uid="{920D673B-640F-43E5-A84A-FA66A8FBB726}" uniqueName="6" name="conversions" queryTableFieldId="6"/>
    <tableColumn id="7" xr3:uid="{87D6F92B-7E98-4DEC-80DF-21F100BBD179}" uniqueName="7" name="revenue_attributed" queryTableFieldId="7"/>
    <tableColumn id="8" xr3:uid="{16C80BC4-D423-45EE-9BB3-4B587B8EA3CC}" uniqueName="8" name="cpc" queryTableFieldId="8"/>
    <tableColumn id="9" xr3:uid="{A24DF093-D048-49C9-A448-09F391EC7162}" uniqueName="9" name="cpa" queryTableFieldId="9"/>
    <tableColumn id="10" xr3:uid="{99CCF2C9-E15D-4D72-8334-C3A48C30ECE1}" uniqueName="10" name="roas" queryTableFieldId="10"/>
    <tableColumn id="11" xr3:uid="{D7B7251A-5110-4B77-9ACB-835009BAEEF4}" uniqueName="11" name="Final_ROAS" queryTableFieldId="11" dataDxfId="1">
      <calculatedColumnFormula>G2 / C2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8076-D68A-4D90-BD89-51C2F368F7D2}">
  <dimension ref="A1:I208"/>
  <sheetViews>
    <sheetView workbookViewId="0">
      <selection activeCell="L189" sqref="L189"/>
    </sheetView>
  </sheetViews>
  <sheetFormatPr defaultRowHeight="15" x14ac:dyDescent="0.25"/>
  <cols>
    <col min="1" max="1" width="12.85546875" bestFit="1" customWidth="1"/>
    <col min="2" max="2" width="26.140625" bestFit="1" customWidth="1"/>
    <col min="3" max="3" width="16.140625" bestFit="1" customWidth="1"/>
    <col min="4" max="4" width="16.28515625" bestFit="1" customWidth="1"/>
    <col min="5" max="5" width="11.42578125" bestFit="1" customWidth="1"/>
    <col min="6" max="6" width="14.5703125" bestFit="1" customWidth="1"/>
    <col min="7" max="7" width="24.42578125" bestFit="1" customWidth="1"/>
    <col min="8" max="8" width="13" bestFit="1" customWidth="1"/>
    <col min="9" max="9" width="10.5703125" bestFit="1" customWidth="1"/>
  </cols>
  <sheetData>
    <row r="1" spans="1:9" x14ac:dyDescent="0.25">
      <c r="A1" t="s">
        <v>2794</v>
      </c>
      <c r="B1" t="s">
        <v>2795</v>
      </c>
      <c r="C1" t="s">
        <v>2796</v>
      </c>
      <c r="D1" t="s">
        <v>2797</v>
      </c>
      <c r="E1" t="s">
        <v>2798</v>
      </c>
      <c r="F1" t="s">
        <v>2799</v>
      </c>
      <c r="G1" t="s">
        <v>2800</v>
      </c>
      <c r="H1" t="s">
        <v>2801</v>
      </c>
      <c r="I1" t="s">
        <v>2802</v>
      </c>
    </row>
    <row r="2" spans="1:9" x14ac:dyDescent="0.25">
      <c r="A2" s="2" t="s">
        <v>2803</v>
      </c>
      <c r="B2" s="2" t="s">
        <v>2804</v>
      </c>
      <c r="C2" s="2" t="s">
        <v>41</v>
      </c>
      <c r="D2" s="2" t="s">
        <v>2805</v>
      </c>
      <c r="E2">
        <v>29.44</v>
      </c>
      <c r="F2">
        <v>56.08</v>
      </c>
      <c r="G2">
        <v>13.42</v>
      </c>
      <c r="H2">
        <v>12.4</v>
      </c>
      <c r="I2" s="2" t="s">
        <v>2806</v>
      </c>
    </row>
    <row r="3" spans="1:9" x14ac:dyDescent="0.25">
      <c r="A3" s="2" t="s">
        <v>2807</v>
      </c>
      <c r="B3" s="2" t="s">
        <v>2808</v>
      </c>
      <c r="C3" s="2" t="s">
        <v>41</v>
      </c>
      <c r="D3" s="2" t="s">
        <v>2805</v>
      </c>
      <c r="E3">
        <v>26.92</v>
      </c>
      <c r="F3">
        <v>91.57</v>
      </c>
      <c r="G3">
        <v>15.5</v>
      </c>
      <c r="H3">
        <v>15</v>
      </c>
      <c r="I3" s="2" t="s">
        <v>2809</v>
      </c>
    </row>
    <row r="4" spans="1:9" x14ac:dyDescent="0.25">
      <c r="A4" s="2" t="s">
        <v>2810</v>
      </c>
      <c r="B4" s="2" t="s">
        <v>2811</v>
      </c>
      <c r="C4" s="2" t="s">
        <v>41</v>
      </c>
      <c r="D4" s="2" t="s">
        <v>2805</v>
      </c>
      <c r="E4">
        <v>15.91</v>
      </c>
      <c r="F4">
        <v>43.34</v>
      </c>
      <c r="G4">
        <v>9.58</v>
      </c>
      <c r="H4">
        <v>7.6</v>
      </c>
      <c r="I4" s="2" t="s">
        <v>2812</v>
      </c>
    </row>
    <row r="5" spans="1:9" x14ac:dyDescent="0.25">
      <c r="A5" s="2" t="s">
        <v>2813</v>
      </c>
      <c r="B5" s="2" t="s">
        <v>2814</v>
      </c>
      <c r="C5" s="2" t="s">
        <v>41</v>
      </c>
      <c r="D5" s="2" t="s">
        <v>2805</v>
      </c>
      <c r="E5">
        <v>7.13</v>
      </c>
      <c r="F5">
        <v>24.31</v>
      </c>
      <c r="G5">
        <v>5.74</v>
      </c>
      <c r="H5">
        <v>2.8</v>
      </c>
      <c r="I5" s="2" t="s">
        <v>2809</v>
      </c>
    </row>
    <row r="6" spans="1:9" x14ac:dyDescent="0.25">
      <c r="A6" s="2" t="s">
        <v>2815</v>
      </c>
      <c r="B6" s="2" t="s">
        <v>2816</v>
      </c>
      <c r="C6" s="2" t="s">
        <v>41</v>
      </c>
      <c r="D6" s="2" t="s">
        <v>2805</v>
      </c>
      <c r="E6">
        <v>43.05</v>
      </c>
      <c r="F6">
        <v>135.82</v>
      </c>
      <c r="G6">
        <v>5.82</v>
      </c>
      <c r="H6">
        <v>2.9</v>
      </c>
      <c r="I6" s="2" t="s">
        <v>2812</v>
      </c>
    </row>
    <row r="7" spans="1:9" x14ac:dyDescent="0.25">
      <c r="A7" s="2" t="s">
        <v>2817</v>
      </c>
      <c r="B7" s="2" t="s">
        <v>2818</v>
      </c>
      <c r="C7" s="2" t="s">
        <v>41</v>
      </c>
      <c r="D7" s="2" t="s">
        <v>2819</v>
      </c>
      <c r="E7">
        <v>11.54</v>
      </c>
      <c r="F7">
        <v>35.03</v>
      </c>
      <c r="G7">
        <v>9.98</v>
      </c>
      <c r="H7">
        <v>8.1</v>
      </c>
      <c r="I7" s="2" t="s">
        <v>2809</v>
      </c>
    </row>
    <row r="8" spans="1:9" x14ac:dyDescent="0.25">
      <c r="A8" s="2" t="s">
        <v>2820</v>
      </c>
      <c r="B8" s="2" t="s">
        <v>2821</v>
      </c>
      <c r="C8" s="2" t="s">
        <v>41</v>
      </c>
      <c r="D8" s="2" t="s">
        <v>2819</v>
      </c>
      <c r="E8">
        <v>21.92</v>
      </c>
      <c r="F8">
        <v>34</v>
      </c>
      <c r="G8">
        <v>13.66</v>
      </c>
      <c r="H8">
        <v>12.7</v>
      </c>
      <c r="I8" s="2" t="s">
        <v>2822</v>
      </c>
    </row>
    <row r="9" spans="1:9" x14ac:dyDescent="0.25">
      <c r="A9" s="2" t="s">
        <v>2823</v>
      </c>
      <c r="B9" s="2" t="s">
        <v>2824</v>
      </c>
      <c r="C9" s="2" t="s">
        <v>41</v>
      </c>
      <c r="D9" s="2" t="s">
        <v>2819</v>
      </c>
      <c r="E9">
        <v>72.59</v>
      </c>
      <c r="F9">
        <v>192.38</v>
      </c>
      <c r="G9">
        <v>10.06</v>
      </c>
      <c r="H9">
        <v>8.1999999999999993</v>
      </c>
      <c r="I9" s="2" t="s">
        <v>2806</v>
      </c>
    </row>
    <row r="10" spans="1:9" x14ac:dyDescent="0.25">
      <c r="A10" s="2" t="s">
        <v>2825</v>
      </c>
      <c r="B10" s="2" t="s">
        <v>2826</v>
      </c>
      <c r="C10" s="2" t="s">
        <v>41</v>
      </c>
      <c r="D10" s="2" t="s">
        <v>2827</v>
      </c>
      <c r="E10">
        <v>60.74</v>
      </c>
      <c r="F10">
        <v>193.42</v>
      </c>
      <c r="G10">
        <v>4.78</v>
      </c>
      <c r="H10">
        <v>1.6</v>
      </c>
      <c r="I10" s="2" t="s">
        <v>2828</v>
      </c>
    </row>
    <row r="11" spans="1:9" x14ac:dyDescent="0.25">
      <c r="A11" s="2" t="s">
        <v>2829</v>
      </c>
      <c r="B11" s="2" t="s">
        <v>2830</v>
      </c>
      <c r="C11" s="2" t="s">
        <v>41</v>
      </c>
      <c r="D11" s="2" t="s">
        <v>2827</v>
      </c>
      <c r="E11">
        <v>67.05</v>
      </c>
      <c r="F11">
        <v>222.97</v>
      </c>
      <c r="G11">
        <v>12.94</v>
      </c>
      <c r="H11">
        <v>11.8</v>
      </c>
      <c r="I11" s="2" t="s">
        <v>2806</v>
      </c>
    </row>
    <row r="12" spans="1:9" x14ac:dyDescent="0.25">
      <c r="A12" s="2" t="s">
        <v>2831</v>
      </c>
      <c r="B12" s="2" t="s">
        <v>2832</v>
      </c>
      <c r="C12" s="2" t="s">
        <v>41</v>
      </c>
      <c r="D12" s="2" t="s">
        <v>2827</v>
      </c>
      <c r="E12">
        <v>25.39</v>
      </c>
      <c r="F12">
        <v>68.98</v>
      </c>
      <c r="G12">
        <v>14.54</v>
      </c>
      <c r="H12">
        <v>13.8</v>
      </c>
      <c r="I12" s="2" t="s">
        <v>2806</v>
      </c>
    </row>
    <row r="13" spans="1:9" x14ac:dyDescent="0.25">
      <c r="A13" s="2" t="s">
        <v>2833</v>
      </c>
      <c r="B13" s="2" t="s">
        <v>2834</v>
      </c>
      <c r="C13" s="2" t="s">
        <v>41</v>
      </c>
      <c r="D13" s="2" t="s">
        <v>2827</v>
      </c>
      <c r="E13">
        <v>31.36</v>
      </c>
      <c r="F13">
        <v>78.790000000000006</v>
      </c>
      <c r="G13">
        <v>13.5</v>
      </c>
      <c r="H13">
        <v>12.5</v>
      </c>
      <c r="I13" s="2" t="s">
        <v>2828</v>
      </c>
    </row>
    <row r="14" spans="1:9" x14ac:dyDescent="0.25">
      <c r="A14" s="2" t="s">
        <v>2835</v>
      </c>
      <c r="B14" s="2" t="s">
        <v>2836</v>
      </c>
      <c r="C14" s="2" t="s">
        <v>41</v>
      </c>
      <c r="D14" s="2" t="s">
        <v>2837</v>
      </c>
      <c r="E14">
        <v>21.44</v>
      </c>
      <c r="F14">
        <v>51.28</v>
      </c>
      <c r="G14">
        <v>12.38</v>
      </c>
      <c r="H14">
        <v>11.1</v>
      </c>
      <c r="I14" s="2" t="s">
        <v>2828</v>
      </c>
    </row>
    <row r="15" spans="1:9" x14ac:dyDescent="0.25">
      <c r="A15" s="2" t="s">
        <v>2838</v>
      </c>
      <c r="B15" s="2" t="s">
        <v>2839</v>
      </c>
      <c r="C15" s="2" t="s">
        <v>41</v>
      </c>
      <c r="D15" s="2" t="s">
        <v>2837</v>
      </c>
      <c r="E15">
        <v>5.96</v>
      </c>
      <c r="F15">
        <v>20.67</v>
      </c>
      <c r="G15">
        <v>4.3</v>
      </c>
      <c r="H15">
        <v>1</v>
      </c>
      <c r="I15" s="2" t="s">
        <v>2806</v>
      </c>
    </row>
    <row r="16" spans="1:9" x14ac:dyDescent="0.25">
      <c r="A16" s="2" t="s">
        <v>2840</v>
      </c>
      <c r="B16" s="2" t="s">
        <v>2841</v>
      </c>
      <c r="C16" s="2" t="s">
        <v>41</v>
      </c>
      <c r="D16" s="2" t="s">
        <v>2837</v>
      </c>
      <c r="E16">
        <v>60.94</v>
      </c>
      <c r="F16">
        <v>182.6</v>
      </c>
      <c r="G16">
        <v>8.7799999999999994</v>
      </c>
      <c r="H16">
        <v>6.6</v>
      </c>
      <c r="I16" s="2" t="s">
        <v>2812</v>
      </c>
    </row>
    <row r="17" spans="1:9" x14ac:dyDescent="0.25">
      <c r="A17" s="2" t="s">
        <v>2842</v>
      </c>
      <c r="B17" s="2" t="s">
        <v>2843</v>
      </c>
      <c r="C17" s="2" t="s">
        <v>41</v>
      </c>
      <c r="D17" s="2" t="s">
        <v>2837</v>
      </c>
      <c r="E17">
        <v>78.92</v>
      </c>
      <c r="F17">
        <v>260.5</v>
      </c>
      <c r="G17">
        <v>11.82</v>
      </c>
      <c r="H17">
        <v>10.4</v>
      </c>
      <c r="I17" s="2" t="s">
        <v>2806</v>
      </c>
    </row>
    <row r="18" spans="1:9" x14ac:dyDescent="0.25">
      <c r="A18" s="2" t="s">
        <v>2844</v>
      </c>
      <c r="B18" s="2" t="s">
        <v>2845</v>
      </c>
      <c r="C18" s="2" t="s">
        <v>41</v>
      </c>
      <c r="D18" s="2" t="s">
        <v>2846</v>
      </c>
      <c r="E18">
        <v>66.69</v>
      </c>
      <c r="F18">
        <v>185.03</v>
      </c>
      <c r="G18">
        <v>5.42</v>
      </c>
      <c r="H18">
        <v>2.4</v>
      </c>
      <c r="I18" s="2" t="s">
        <v>2822</v>
      </c>
    </row>
    <row r="19" spans="1:9" x14ac:dyDescent="0.25">
      <c r="A19" s="2" t="s">
        <v>2847</v>
      </c>
      <c r="B19" s="2" t="s">
        <v>2848</v>
      </c>
      <c r="C19" s="2" t="s">
        <v>41</v>
      </c>
      <c r="D19" s="2" t="s">
        <v>2846</v>
      </c>
      <c r="E19">
        <v>11.89</v>
      </c>
      <c r="F19">
        <v>37.71</v>
      </c>
      <c r="G19">
        <v>14.46</v>
      </c>
      <c r="H19">
        <v>13.7</v>
      </c>
      <c r="I19" s="2" t="s">
        <v>2828</v>
      </c>
    </row>
    <row r="20" spans="1:9" x14ac:dyDescent="0.25">
      <c r="A20" s="2" t="s">
        <v>2849</v>
      </c>
      <c r="B20" s="2" t="s">
        <v>2850</v>
      </c>
      <c r="C20" s="2" t="s">
        <v>41</v>
      </c>
      <c r="D20" s="2" t="s">
        <v>2846</v>
      </c>
      <c r="E20">
        <v>48.17</v>
      </c>
      <c r="F20">
        <v>73.73</v>
      </c>
      <c r="G20">
        <v>9.34</v>
      </c>
      <c r="H20">
        <v>7.3</v>
      </c>
      <c r="I20" s="2" t="s">
        <v>2806</v>
      </c>
    </row>
    <row r="21" spans="1:9" x14ac:dyDescent="0.25">
      <c r="A21" s="2" t="s">
        <v>2851</v>
      </c>
      <c r="B21" s="2" t="s">
        <v>2852</v>
      </c>
      <c r="C21" s="2" t="s">
        <v>41</v>
      </c>
      <c r="D21" s="2" t="s">
        <v>2846</v>
      </c>
      <c r="E21">
        <v>57.57</v>
      </c>
      <c r="F21">
        <v>109.6</v>
      </c>
      <c r="G21">
        <v>11.58</v>
      </c>
      <c r="H21">
        <v>10.1</v>
      </c>
      <c r="I21" s="2" t="s">
        <v>2828</v>
      </c>
    </row>
    <row r="22" spans="1:9" x14ac:dyDescent="0.25">
      <c r="A22" s="2" t="s">
        <v>2853</v>
      </c>
      <c r="B22" s="2" t="s">
        <v>2854</v>
      </c>
      <c r="C22" s="2" t="s">
        <v>41</v>
      </c>
      <c r="D22" s="2" t="s">
        <v>2846</v>
      </c>
      <c r="E22">
        <v>13.51</v>
      </c>
      <c r="F22">
        <v>29.99</v>
      </c>
      <c r="G22">
        <v>9.26</v>
      </c>
      <c r="H22">
        <v>7.2</v>
      </c>
      <c r="I22" s="2" t="s">
        <v>2809</v>
      </c>
    </row>
    <row r="23" spans="1:9" x14ac:dyDescent="0.25">
      <c r="A23" s="2" t="s">
        <v>2855</v>
      </c>
      <c r="B23" s="2" t="s">
        <v>2856</v>
      </c>
      <c r="C23" s="2" t="s">
        <v>41</v>
      </c>
      <c r="D23" s="2" t="s">
        <v>2846</v>
      </c>
      <c r="E23">
        <v>22.95</v>
      </c>
      <c r="F23">
        <v>42.25</v>
      </c>
      <c r="G23">
        <v>13.58</v>
      </c>
      <c r="H23">
        <v>12.6</v>
      </c>
      <c r="I23" s="2" t="s">
        <v>2809</v>
      </c>
    </row>
    <row r="24" spans="1:9" x14ac:dyDescent="0.25">
      <c r="A24" s="2" t="s">
        <v>2857</v>
      </c>
      <c r="B24" s="2" t="s">
        <v>2858</v>
      </c>
      <c r="C24" s="2" t="s">
        <v>41</v>
      </c>
      <c r="D24" s="2" t="s">
        <v>2859</v>
      </c>
      <c r="E24">
        <v>16.190000000000001</v>
      </c>
      <c r="F24">
        <v>24.38</v>
      </c>
      <c r="G24">
        <v>13.9</v>
      </c>
      <c r="H24">
        <v>13</v>
      </c>
      <c r="I24" s="2" t="s">
        <v>2822</v>
      </c>
    </row>
    <row r="25" spans="1:9" x14ac:dyDescent="0.25">
      <c r="A25" s="2" t="s">
        <v>2860</v>
      </c>
      <c r="B25" s="2" t="s">
        <v>2861</v>
      </c>
      <c r="C25" s="2" t="s">
        <v>41</v>
      </c>
      <c r="D25" s="2" t="s">
        <v>2859</v>
      </c>
      <c r="E25">
        <v>62.72</v>
      </c>
      <c r="F25">
        <v>215.16</v>
      </c>
      <c r="G25">
        <v>10.46</v>
      </c>
      <c r="H25">
        <v>8.6999999999999993</v>
      </c>
      <c r="I25" s="2" t="s">
        <v>2822</v>
      </c>
    </row>
    <row r="26" spans="1:9" x14ac:dyDescent="0.25">
      <c r="A26" s="2" t="s">
        <v>2862</v>
      </c>
      <c r="B26" s="2" t="s">
        <v>2863</v>
      </c>
      <c r="C26" s="2" t="s">
        <v>41</v>
      </c>
      <c r="D26" s="2" t="s">
        <v>2859</v>
      </c>
      <c r="E26">
        <v>36.299999999999997</v>
      </c>
      <c r="F26">
        <v>89.42</v>
      </c>
      <c r="G26">
        <v>10.78</v>
      </c>
      <c r="H26">
        <v>9.1</v>
      </c>
      <c r="I26" s="2" t="s">
        <v>2806</v>
      </c>
    </row>
    <row r="27" spans="1:9" x14ac:dyDescent="0.25">
      <c r="A27" s="2" t="s">
        <v>2864</v>
      </c>
      <c r="B27" s="2" t="s">
        <v>2865</v>
      </c>
      <c r="C27" s="2" t="s">
        <v>41</v>
      </c>
      <c r="D27" s="2" t="s">
        <v>2859</v>
      </c>
      <c r="E27">
        <v>40.36</v>
      </c>
      <c r="F27">
        <v>91.68</v>
      </c>
      <c r="G27">
        <v>10.06</v>
      </c>
      <c r="H27">
        <v>8.1999999999999993</v>
      </c>
      <c r="I27" s="2" t="s">
        <v>2812</v>
      </c>
    </row>
    <row r="28" spans="1:9" x14ac:dyDescent="0.25">
      <c r="A28" s="2" t="s">
        <v>2866</v>
      </c>
      <c r="B28" s="2" t="s">
        <v>2867</v>
      </c>
      <c r="C28" s="2" t="s">
        <v>64</v>
      </c>
      <c r="D28" s="2" t="s">
        <v>2868</v>
      </c>
      <c r="E28">
        <v>31.09</v>
      </c>
      <c r="F28">
        <v>44.72</v>
      </c>
      <c r="G28">
        <v>9.42</v>
      </c>
      <c r="H28">
        <v>7.4</v>
      </c>
      <c r="I28" s="2" t="s">
        <v>2806</v>
      </c>
    </row>
    <row r="29" spans="1:9" x14ac:dyDescent="0.25">
      <c r="A29" s="2" t="s">
        <v>2869</v>
      </c>
      <c r="B29" s="2" t="s">
        <v>2870</v>
      </c>
      <c r="C29" s="2" t="s">
        <v>64</v>
      </c>
      <c r="D29" s="2" t="s">
        <v>2868</v>
      </c>
      <c r="E29">
        <v>4.58</v>
      </c>
      <c r="F29">
        <v>7.77</v>
      </c>
      <c r="G29">
        <v>4.7</v>
      </c>
      <c r="H29">
        <v>1.5</v>
      </c>
      <c r="I29" s="2" t="s">
        <v>2806</v>
      </c>
    </row>
    <row r="30" spans="1:9" x14ac:dyDescent="0.25">
      <c r="A30" s="2" t="s">
        <v>2871</v>
      </c>
      <c r="B30" s="2" t="s">
        <v>2872</v>
      </c>
      <c r="C30" s="2" t="s">
        <v>64</v>
      </c>
      <c r="D30" s="2" t="s">
        <v>2868</v>
      </c>
      <c r="E30">
        <v>19.82</v>
      </c>
      <c r="F30">
        <v>56</v>
      </c>
      <c r="G30">
        <v>12.86</v>
      </c>
      <c r="H30">
        <v>11.7</v>
      </c>
      <c r="I30" s="2" t="s">
        <v>2809</v>
      </c>
    </row>
    <row r="31" spans="1:9" x14ac:dyDescent="0.25">
      <c r="A31" s="2" t="s">
        <v>2873</v>
      </c>
      <c r="B31" s="2" t="s">
        <v>2874</v>
      </c>
      <c r="C31" s="2" t="s">
        <v>64</v>
      </c>
      <c r="D31" s="2" t="s">
        <v>2868</v>
      </c>
      <c r="E31">
        <v>7.36</v>
      </c>
      <c r="F31">
        <v>20.57</v>
      </c>
      <c r="G31">
        <v>7.02</v>
      </c>
      <c r="H31">
        <v>4.4000000000000004</v>
      </c>
      <c r="I31" s="2" t="s">
        <v>2828</v>
      </c>
    </row>
    <row r="32" spans="1:9" x14ac:dyDescent="0.25">
      <c r="A32" s="2" t="s">
        <v>2875</v>
      </c>
      <c r="B32" s="2" t="s">
        <v>2876</v>
      </c>
      <c r="C32" s="2" t="s">
        <v>64</v>
      </c>
      <c r="D32" s="2" t="s">
        <v>2868</v>
      </c>
      <c r="E32">
        <v>20.51</v>
      </c>
      <c r="F32">
        <v>63.94</v>
      </c>
      <c r="G32">
        <v>8.4600000000000009</v>
      </c>
      <c r="H32">
        <v>6.2</v>
      </c>
      <c r="I32" s="2" t="s">
        <v>2828</v>
      </c>
    </row>
    <row r="33" spans="1:9" x14ac:dyDescent="0.25">
      <c r="A33" s="2" t="s">
        <v>2877</v>
      </c>
      <c r="B33" s="2" t="s">
        <v>2878</v>
      </c>
      <c r="C33" s="2" t="s">
        <v>64</v>
      </c>
      <c r="D33" s="2" t="s">
        <v>2868</v>
      </c>
      <c r="E33">
        <v>30.21</v>
      </c>
      <c r="F33">
        <v>60.28</v>
      </c>
      <c r="G33">
        <v>14.3</v>
      </c>
      <c r="H33">
        <v>13.5</v>
      </c>
      <c r="I33" s="2" t="s">
        <v>2806</v>
      </c>
    </row>
    <row r="34" spans="1:9" x14ac:dyDescent="0.25">
      <c r="A34" s="2" t="s">
        <v>2879</v>
      </c>
      <c r="B34" s="2" t="s">
        <v>2880</v>
      </c>
      <c r="C34" s="2" t="s">
        <v>64</v>
      </c>
      <c r="D34" s="2" t="s">
        <v>2881</v>
      </c>
      <c r="E34">
        <v>13.77</v>
      </c>
      <c r="F34">
        <v>24.88</v>
      </c>
      <c r="G34">
        <v>7.02</v>
      </c>
      <c r="H34">
        <v>4.4000000000000004</v>
      </c>
      <c r="I34" s="2" t="s">
        <v>2812</v>
      </c>
    </row>
    <row r="35" spans="1:9" x14ac:dyDescent="0.25">
      <c r="A35" s="2" t="s">
        <v>2882</v>
      </c>
      <c r="B35" s="2" t="s">
        <v>2883</v>
      </c>
      <c r="C35" s="2" t="s">
        <v>64</v>
      </c>
      <c r="D35" s="2" t="s">
        <v>2881</v>
      </c>
      <c r="E35">
        <v>27.4</v>
      </c>
      <c r="F35">
        <v>95.89</v>
      </c>
      <c r="G35">
        <v>9.34</v>
      </c>
      <c r="H35">
        <v>7.3</v>
      </c>
      <c r="I35" s="2" t="s">
        <v>2822</v>
      </c>
    </row>
    <row r="36" spans="1:9" x14ac:dyDescent="0.25">
      <c r="A36" s="2" t="s">
        <v>2884</v>
      </c>
      <c r="B36" s="2" t="s">
        <v>2885</v>
      </c>
      <c r="C36" s="2" t="s">
        <v>64</v>
      </c>
      <c r="D36" s="2" t="s">
        <v>2881</v>
      </c>
      <c r="E36">
        <v>16.21</v>
      </c>
      <c r="F36">
        <v>40.89</v>
      </c>
      <c r="G36">
        <v>15.1</v>
      </c>
      <c r="H36">
        <v>14.5</v>
      </c>
      <c r="I36" s="2" t="s">
        <v>2812</v>
      </c>
    </row>
    <row r="37" spans="1:9" x14ac:dyDescent="0.25">
      <c r="A37" s="2" t="s">
        <v>2886</v>
      </c>
      <c r="B37" s="2" t="s">
        <v>2887</v>
      </c>
      <c r="C37" s="2" t="s">
        <v>64</v>
      </c>
      <c r="D37" s="2" t="s">
        <v>2881</v>
      </c>
      <c r="E37">
        <v>15.73</v>
      </c>
      <c r="F37">
        <v>46.68</v>
      </c>
      <c r="G37">
        <v>10.3</v>
      </c>
      <c r="H37">
        <v>8.5</v>
      </c>
      <c r="I37" s="2" t="s">
        <v>2812</v>
      </c>
    </row>
    <row r="38" spans="1:9" x14ac:dyDescent="0.25">
      <c r="A38" s="2" t="s">
        <v>2888</v>
      </c>
      <c r="B38" s="2" t="s">
        <v>2889</v>
      </c>
      <c r="C38" s="2" t="s">
        <v>64</v>
      </c>
      <c r="D38" s="2" t="s">
        <v>2881</v>
      </c>
      <c r="E38">
        <v>32.67</v>
      </c>
      <c r="F38">
        <v>64.56</v>
      </c>
      <c r="G38">
        <v>4.8600000000000003</v>
      </c>
      <c r="H38">
        <v>1.7</v>
      </c>
      <c r="I38" s="2" t="s">
        <v>2809</v>
      </c>
    </row>
    <row r="39" spans="1:9" x14ac:dyDescent="0.25">
      <c r="A39" s="2" t="s">
        <v>2890</v>
      </c>
      <c r="B39" s="2" t="s">
        <v>2891</v>
      </c>
      <c r="C39" s="2" t="s">
        <v>64</v>
      </c>
      <c r="D39" s="2" t="s">
        <v>2892</v>
      </c>
      <c r="E39">
        <v>32.81</v>
      </c>
      <c r="F39">
        <v>93.89</v>
      </c>
      <c r="G39">
        <v>6.14</v>
      </c>
      <c r="H39">
        <v>3.3</v>
      </c>
      <c r="I39" s="2" t="s">
        <v>2822</v>
      </c>
    </row>
    <row r="40" spans="1:9" x14ac:dyDescent="0.25">
      <c r="A40" s="2" t="s">
        <v>2893</v>
      </c>
      <c r="B40" s="2" t="s">
        <v>2894</v>
      </c>
      <c r="C40" s="2" t="s">
        <v>64</v>
      </c>
      <c r="D40" s="2" t="s">
        <v>2892</v>
      </c>
      <c r="E40">
        <v>23.32</v>
      </c>
      <c r="F40">
        <v>62.28</v>
      </c>
      <c r="G40">
        <v>10.54</v>
      </c>
      <c r="H40">
        <v>8.8000000000000007</v>
      </c>
      <c r="I40" s="2" t="s">
        <v>2822</v>
      </c>
    </row>
    <row r="41" spans="1:9" x14ac:dyDescent="0.25">
      <c r="A41" s="2" t="s">
        <v>2895</v>
      </c>
      <c r="B41" s="2" t="s">
        <v>2896</v>
      </c>
      <c r="C41" s="2" t="s">
        <v>64</v>
      </c>
      <c r="D41" s="2" t="s">
        <v>2892</v>
      </c>
      <c r="E41">
        <v>4.6900000000000004</v>
      </c>
      <c r="F41">
        <v>13.66</v>
      </c>
      <c r="G41">
        <v>10.62</v>
      </c>
      <c r="H41">
        <v>8.9</v>
      </c>
      <c r="I41" s="2" t="s">
        <v>2809</v>
      </c>
    </row>
    <row r="42" spans="1:9" x14ac:dyDescent="0.25">
      <c r="A42" s="2" t="s">
        <v>2897</v>
      </c>
      <c r="B42" s="2" t="s">
        <v>2898</v>
      </c>
      <c r="C42" s="2" t="s">
        <v>64</v>
      </c>
      <c r="D42" s="2" t="s">
        <v>2892</v>
      </c>
      <c r="E42">
        <v>12.4</v>
      </c>
      <c r="F42">
        <v>21.55</v>
      </c>
      <c r="G42">
        <v>15.1</v>
      </c>
      <c r="H42">
        <v>14.5</v>
      </c>
      <c r="I42" s="2" t="s">
        <v>2806</v>
      </c>
    </row>
    <row r="43" spans="1:9" x14ac:dyDescent="0.25">
      <c r="A43" s="2" t="s">
        <v>2899</v>
      </c>
      <c r="B43" s="2" t="s">
        <v>2900</v>
      </c>
      <c r="C43" s="2" t="s">
        <v>64</v>
      </c>
      <c r="D43" s="2" t="s">
        <v>2892</v>
      </c>
      <c r="E43">
        <v>25.02</v>
      </c>
      <c r="F43">
        <v>73.510000000000005</v>
      </c>
      <c r="G43">
        <v>10.54</v>
      </c>
      <c r="H43">
        <v>8.8000000000000007</v>
      </c>
      <c r="I43" s="2" t="s">
        <v>2828</v>
      </c>
    </row>
    <row r="44" spans="1:9" x14ac:dyDescent="0.25">
      <c r="A44" s="2" t="s">
        <v>2901</v>
      </c>
      <c r="B44" s="2" t="s">
        <v>2902</v>
      </c>
      <c r="C44" s="2" t="s">
        <v>64</v>
      </c>
      <c r="D44" s="2" t="s">
        <v>2903</v>
      </c>
      <c r="E44">
        <v>31.27</v>
      </c>
      <c r="F44">
        <v>63.51</v>
      </c>
      <c r="G44">
        <v>7.9</v>
      </c>
      <c r="H44">
        <v>5.5</v>
      </c>
      <c r="I44" s="2" t="s">
        <v>2822</v>
      </c>
    </row>
    <row r="45" spans="1:9" x14ac:dyDescent="0.25">
      <c r="A45" s="2" t="s">
        <v>2904</v>
      </c>
      <c r="B45" s="2" t="s">
        <v>2905</v>
      </c>
      <c r="C45" s="2" t="s">
        <v>64</v>
      </c>
      <c r="D45" s="2" t="s">
        <v>2903</v>
      </c>
      <c r="E45">
        <v>26.84</v>
      </c>
      <c r="F45">
        <v>37.86</v>
      </c>
      <c r="G45">
        <v>9.02</v>
      </c>
      <c r="H45">
        <v>6.9</v>
      </c>
      <c r="I45" s="2" t="s">
        <v>2809</v>
      </c>
    </row>
    <row r="46" spans="1:9" x14ac:dyDescent="0.25">
      <c r="A46" s="2" t="s">
        <v>2906</v>
      </c>
      <c r="B46" s="2" t="s">
        <v>2907</v>
      </c>
      <c r="C46" s="2" t="s">
        <v>64</v>
      </c>
      <c r="D46" s="2" t="s">
        <v>2903</v>
      </c>
      <c r="E46">
        <v>19.36</v>
      </c>
      <c r="F46">
        <v>59.15</v>
      </c>
      <c r="G46">
        <v>9.98</v>
      </c>
      <c r="H46">
        <v>8.1</v>
      </c>
      <c r="I46" s="2" t="s">
        <v>2806</v>
      </c>
    </row>
    <row r="47" spans="1:9" x14ac:dyDescent="0.25">
      <c r="A47" s="2" t="s">
        <v>2908</v>
      </c>
      <c r="B47" s="2" t="s">
        <v>2909</v>
      </c>
      <c r="C47" s="2" t="s">
        <v>64</v>
      </c>
      <c r="D47" s="2" t="s">
        <v>2910</v>
      </c>
      <c r="E47">
        <v>4.1399999999999997</v>
      </c>
      <c r="F47">
        <v>6.07</v>
      </c>
      <c r="G47">
        <v>12.94</v>
      </c>
      <c r="H47">
        <v>11.8</v>
      </c>
      <c r="I47" s="2" t="s">
        <v>2806</v>
      </c>
    </row>
    <row r="48" spans="1:9" x14ac:dyDescent="0.25">
      <c r="A48" s="2" t="s">
        <v>2911</v>
      </c>
      <c r="B48" s="2" t="s">
        <v>2912</v>
      </c>
      <c r="C48" s="2" t="s">
        <v>64</v>
      </c>
      <c r="D48" s="2" t="s">
        <v>2910</v>
      </c>
      <c r="E48">
        <v>32.549999999999997</v>
      </c>
      <c r="F48">
        <v>89.1</v>
      </c>
      <c r="G48">
        <v>6.78</v>
      </c>
      <c r="H48">
        <v>4.0999999999999996</v>
      </c>
      <c r="I48" s="2" t="s">
        <v>2822</v>
      </c>
    </row>
    <row r="49" spans="1:9" x14ac:dyDescent="0.25">
      <c r="A49" s="2" t="s">
        <v>2913</v>
      </c>
      <c r="B49" s="2" t="s">
        <v>2914</v>
      </c>
      <c r="C49" s="2" t="s">
        <v>64</v>
      </c>
      <c r="D49" s="2" t="s">
        <v>2910</v>
      </c>
      <c r="E49">
        <v>33.04</v>
      </c>
      <c r="F49">
        <v>90.19</v>
      </c>
      <c r="G49">
        <v>13.42</v>
      </c>
      <c r="H49">
        <v>12.4</v>
      </c>
      <c r="I49" s="2" t="s">
        <v>2822</v>
      </c>
    </row>
    <row r="50" spans="1:9" x14ac:dyDescent="0.25">
      <c r="A50" s="2" t="s">
        <v>2915</v>
      </c>
      <c r="B50" s="2" t="s">
        <v>2916</v>
      </c>
      <c r="C50" s="2" t="s">
        <v>64</v>
      </c>
      <c r="D50" s="2" t="s">
        <v>2910</v>
      </c>
      <c r="E50">
        <v>31.64</v>
      </c>
      <c r="F50">
        <v>50.13</v>
      </c>
      <c r="G50">
        <v>4.22</v>
      </c>
      <c r="H50">
        <v>0.9</v>
      </c>
      <c r="I50" s="2" t="s">
        <v>2828</v>
      </c>
    </row>
    <row r="51" spans="1:9" x14ac:dyDescent="0.25">
      <c r="A51" s="2" t="s">
        <v>2917</v>
      </c>
      <c r="B51" s="2" t="s">
        <v>2918</v>
      </c>
      <c r="C51" s="2" t="s">
        <v>64</v>
      </c>
      <c r="D51" s="2" t="s">
        <v>2910</v>
      </c>
      <c r="E51">
        <v>19.86</v>
      </c>
      <c r="F51">
        <v>30.79</v>
      </c>
      <c r="G51">
        <v>12.38</v>
      </c>
      <c r="H51">
        <v>11.1</v>
      </c>
      <c r="I51" s="2" t="s">
        <v>2809</v>
      </c>
    </row>
    <row r="52" spans="1:9" x14ac:dyDescent="0.25">
      <c r="A52" s="2" t="s">
        <v>2919</v>
      </c>
      <c r="B52" s="2" t="s">
        <v>2920</v>
      </c>
      <c r="C52" s="2" t="s">
        <v>64</v>
      </c>
      <c r="D52" s="2" t="s">
        <v>2910</v>
      </c>
      <c r="E52">
        <v>20.79</v>
      </c>
      <c r="F52">
        <v>62.7</v>
      </c>
      <c r="G52">
        <v>7.5</v>
      </c>
      <c r="H52">
        <v>5</v>
      </c>
      <c r="I52" s="2" t="s">
        <v>2828</v>
      </c>
    </row>
    <row r="53" spans="1:9" x14ac:dyDescent="0.25">
      <c r="A53" s="2" t="s">
        <v>2921</v>
      </c>
      <c r="B53" s="2" t="s">
        <v>2922</v>
      </c>
      <c r="C53" s="2" t="s">
        <v>64</v>
      </c>
      <c r="D53" s="2" t="s">
        <v>2923</v>
      </c>
      <c r="E53">
        <v>9.89</v>
      </c>
      <c r="F53">
        <v>25.84</v>
      </c>
      <c r="G53">
        <v>14.78</v>
      </c>
      <c r="H53">
        <v>14.1</v>
      </c>
      <c r="I53" s="2" t="s">
        <v>2828</v>
      </c>
    </row>
    <row r="54" spans="1:9" x14ac:dyDescent="0.25">
      <c r="A54" s="2" t="s">
        <v>2924</v>
      </c>
      <c r="B54" s="2" t="s">
        <v>2925</v>
      </c>
      <c r="C54" s="2" t="s">
        <v>64</v>
      </c>
      <c r="D54" s="2" t="s">
        <v>2923</v>
      </c>
      <c r="E54">
        <v>26.86</v>
      </c>
      <c r="F54">
        <v>86.75</v>
      </c>
      <c r="G54">
        <v>12.94</v>
      </c>
      <c r="H54">
        <v>11.8</v>
      </c>
      <c r="I54" s="2" t="s">
        <v>2828</v>
      </c>
    </row>
    <row r="55" spans="1:9" x14ac:dyDescent="0.25">
      <c r="A55" s="2" t="s">
        <v>2926</v>
      </c>
      <c r="B55" s="2" t="s">
        <v>2927</v>
      </c>
      <c r="C55" s="2" t="s">
        <v>64</v>
      </c>
      <c r="D55" s="2" t="s">
        <v>2923</v>
      </c>
      <c r="E55">
        <v>25.59</v>
      </c>
      <c r="F55">
        <v>47.2</v>
      </c>
      <c r="G55">
        <v>10.94</v>
      </c>
      <c r="H55">
        <v>9.3000000000000007</v>
      </c>
      <c r="I55" s="2" t="s">
        <v>2812</v>
      </c>
    </row>
    <row r="56" spans="1:9" x14ac:dyDescent="0.25">
      <c r="A56" s="2" t="s">
        <v>2928</v>
      </c>
      <c r="B56" s="2" t="s">
        <v>2929</v>
      </c>
      <c r="C56" s="2" t="s">
        <v>64</v>
      </c>
      <c r="D56" s="2" t="s">
        <v>2923</v>
      </c>
      <c r="E56">
        <v>23.95</v>
      </c>
      <c r="F56">
        <v>50.16</v>
      </c>
      <c r="G56">
        <v>15.1</v>
      </c>
      <c r="H56">
        <v>14.5</v>
      </c>
      <c r="I56" s="2" t="s">
        <v>2828</v>
      </c>
    </row>
    <row r="57" spans="1:9" x14ac:dyDescent="0.25">
      <c r="A57" s="2" t="s">
        <v>2930</v>
      </c>
      <c r="B57" s="2" t="s">
        <v>2931</v>
      </c>
      <c r="C57" s="2" t="s">
        <v>111</v>
      </c>
      <c r="D57" s="2" t="s">
        <v>2932</v>
      </c>
      <c r="E57">
        <v>26.65</v>
      </c>
      <c r="F57">
        <v>57.08</v>
      </c>
      <c r="G57">
        <v>11.26</v>
      </c>
      <c r="H57">
        <v>9.6999999999999993</v>
      </c>
      <c r="I57" s="2" t="s">
        <v>2812</v>
      </c>
    </row>
    <row r="58" spans="1:9" x14ac:dyDescent="0.25">
      <c r="A58" s="2" t="s">
        <v>2933</v>
      </c>
      <c r="B58" s="2" t="s">
        <v>2934</v>
      </c>
      <c r="C58" s="2" t="s">
        <v>111</v>
      </c>
      <c r="D58" s="2" t="s">
        <v>2932</v>
      </c>
      <c r="E58">
        <v>19.670000000000002</v>
      </c>
      <c r="F58">
        <v>36.86</v>
      </c>
      <c r="G58">
        <v>5.5</v>
      </c>
      <c r="H58">
        <v>2.5</v>
      </c>
      <c r="I58" s="2" t="s">
        <v>2809</v>
      </c>
    </row>
    <row r="59" spans="1:9" x14ac:dyDescent="0.25">
      <c r="A59" s="2" t="s">
        <v>2935</v>
      </c>
      <c r="B59" s="2" t="s">
        <v>2936</v>
      </c>
      <c r="C59" s="2" t="s">
        <v>111</v>
      </c>
      <c r="D59" s="2" t="s">
        <v>2932</v>
      </c>
      <c r="E59">
        <v>42.07</v>
      </c>
      <c r="F59">
        <v>105.44</v>
      </c>
      <c r="G59">
        <v>8.94</v>
      </c>
      <c r="H59">
        <v>6.8</v>
      </c>
      <c r="I59" s="2" t="s">
        <v>2812</v>
      </c>
    </row>
    <row r="60" spans="1:9" x14ac:dyDescent="0.25">
      <c r="A60" s="2" t="s">
        <v>2937</v>
      </c>
      <c r="B60" s="2" t="s">
        <v>2938</v>
      </c>
      <c r="C60" s="2" t="s">
        <v>111</v>
      </c>
      <c r="D60" s="2" t="s">
        <v>2932</v>
      </c>
      <c r="E60">
        <v>26.15</v>
      </c>
      <c r="F60">
        <v>74.83</v>
      </c>
      <c r="G60">
        <v>4.78</v>
      </c>
      <c r="H60">
        <v>1.6</v>
      </c>
      <c r="I60" s="2" t="s">
        <v>2822</v>
      </c>
    </row>
    <row r="61" spans="1:9" x14ac:dyDescent="0.25">
      <c r="A61" s="2" t="s">
        <v>2939</v>
      </c>
      <c r="B61" s="2" t="s">
        <v>2940</v>
      </c>
      <c r="C61" s="2" t="s">
        <v>111</v>
      </c>
      <c r="D61" s="2" t="s">
        <v>2941</v>
      </c>
      <c r="E61">
        <v>16.12</v>
      </c>
      <c r="F61">
        <v>28.43</v>
      </c>
      <c r="G61">
        <v>3.74</v>
      </c>
      <c r="H61">
        <v>0.3</v>
      </c>
      <c r="I61" s="2" t="s">
        <v>2812</v>
      </c>
    </row>
    <row r="62" spans="1:9" x14ac:dyDescent="0.25">
      <c r="A62" s="2" t="s">
        <v>2942</v>
      </c>
      <c r="B62" s="2" t="s">
        <v>2943</v>
      </c>
      <c r="C62" s="2" t="s">
        <v>111</v>
      </c>
      <c r="D62" s="2" t="s">
        <v>2941</v>
      </c>
      <c r="E62">
        <v>30.37</v>
      </c>
      <c r="F62">
        <v>70.069999999999993</v>
      </c>
      <c r="G62">
        <v>9.9</v>
      </c>
      <c r="H62">
        <v>8</v>
      </c>
      <c r="I62" s="2" t="s">
        <v>2828</v>
      </c>
    </row>
    <row r="63" spans="1:9" x14ac:dyDescent="0.25">
      <c r="A63" s="2" t="s">
        <v>2944</v>
      </c>
      <c r="B63" s="2" t="s">
        <v>2945</v>
      </c>
      <c r="C63" s="2" t="s">
        <v>111</v>
      </c>
      <c r="D63" s="2" t="s">
        <v>2941</v>
      </c>
      <c r="E63">
        <v>35.49</v>
      </c>
      <c r="F63">
        <v>115.01</v>
      </c>
      <c r="G63">
        <v>13.18</v>
      </c>
      <c r="H63">
        <v>12.1</v>
      </c>
      <c r="I63" s="2" t="s">
        <v>2828</v>
      </c>
    </row>
    <row r="64" spans="1:9" x14ac:dyDescent="0.25">
      <c r="A64" s="2" t="s">
        <v>2946</v>
      </c>
      <c r="B64" s="2" t="s">
        <v>2947</v>
      </c>
      <c r="C64" s="2" t="s">
        <v>111</v>
      </c>
      <c r="D64" s="2" t="s">
        <v>2948</v>
      </c>
      <c r="E64">
        <v>25.22</v>
      </c>
      <c r="F64">
        <v>83.78</v>
      </c>
      <c r="G64">
        <v>14.22</v>
      </c>
      <c r="H64">
        <v>13.4</v>
      </c>
      <c r="I64" s="2" t="s">
        <v>2828</v>
      </c>
    </row>
    <row r="65" spans="1:9" x14ac:dyDescent="0.25">
      <c r="A65" s="2" t="s">
        <v>2949</v>
      </c>
      <c r="B65" s="2" t="s">
        <v>2950</v>
      </c>
      <c r="C65" s="2" t="s">
        <v>111</v>
      </c>
      <c r="D65" s="2" t="s">
        <v>2948</v>
      </c>
      <c r="E65">
        <v>21.25</v>
      </c>
      <c r="F65">
        <v>54.48</v>
      </c>
      <c r="G65">
        <v>10.94</v>
      </c>
      <c r="H65">
        <v>9.3000000000000007</v>
      </c>
      <c r="I65" s="2" t="s">
        <v>2812</v>
      </c>
    </row>
    <row r="66" spans="1:9" x14ac:dyDescent="0.25">
      <c r="A66" s="2" t="s">
        <v>2951</v>
      </c>
      <c r="B66" s="2" t="s">
        <v>2952</v>
      </c>
      <c r="C66" s="2" t="s">
        <v>111</v>
      </c>
      <c r="D66" s="2" t="s">
        <v>2948</v>
      </c>
      <c r="E66">
        <v>4.1399999999999997</v>
      </c>
      <c r="F66">
        <v>10.97</v>
      </c>
      <c r="G66">
        <v>14.86</v>
      </c>
      <c r="H66">
        <v>14.2</v>
      </c>
      <c r="I66" s="2" t="s">
        <v>2828</v>
      </c>
    </row>
    <row r="67" spans="1:9" x14ac:dyDescent="0.25">
      <c r="A67" s="2" t="s">
        <v>2953</v>
      </c>
      <c r="B67" s="2" t="s">
        <v>2954</v>
      </c>
      <c r="C67" s="2" t="s">
        <v>111</v>
      </c>
      <c r="D67" s="2" t="s">
        <v>2948</v>
      </c>
      <c r="E67">
        <v>27.03</v>
      </c>
      <c r="F67">
        <v>62.92</v>
      </c>
      <c r="G67">
        <v>10.38</v>
      </c>
      <c r="H67">
        <v>8.6</v>
      </c>
      <c r="I67" s="2" t="s">
        <v>2822</v>
      </c>
    </row>
    <row r="68" spans="1:9" x14ac:dyDescent="0.25">
      <c r="A68" s="2" t="s">
        <v>2955</v>
      </c>
      <c r="B68" s="2" t="s">
        <v>2956</v>
      </c>
      <c r="C68" s="2" t="s">
        <v>111</v>
      </c>
      <c r="D68" s="2" t="s">
        <v>2948</v>
      </c>
      <c r="E68">
        <v>6.6</v>
      </c>
      <c r="F68">
        <v>13.82</v>
      </c>
      <c r="G68">
        <v>15.18</v>
      </c>
      <c r="H68">
        <v>14.6</v>
      </c>
      <c r="I68" s="2" t="s">
        <v>2812</v>
      </c>
    </row>
    <row r="69" spans="1:9" x14ac:dyDescent="0.25">
      <c r="A69" s="2" t="s">
        <v>2957</v>
      </c>
      <c r="B69" s="2" t="s">
        <v>2958</v>
      </c>
      <c r="C69" s="2" t="s">
        <v>111</v>
      </c>
      <c r="D69" s="2" t="s">
        <v>2959</v>
      </c>
      <c r="E69">
        <v>19.46</v>
      </c>
      <c r="F69">
        <v>33.22</v>
      </c>
      <c r="G69">
        <v>8.94</v>
      </c>
      <c r="H69">
        <v>6.8</v>
      </c>
      <c r="I69" s="2" t="s">
        <v>2809</v>
      </c>
    </row>
    <row r="70" spans="1:9" x14ac:dyDescent="0.25">
      <c r="A70" s="2" t="s">
        <v>2960</v>
      </c>
      <c r="B70" s="2" t="s">
        <v>2961</v>
      </c>
      <c r="C70" s="2" t="s">
        <v>111</v>
      </c>
      <c r="D70" s="2" t="s">
        <v>2959</v>
      </c>
      <c r="E70">
        <v>10.78</v>
      </c>
      <c r="F70">
        <v>26.25</v>
      </c>
      <c r="G70">
        <v>7.18</v>
      </c>
      <c r="H70">
        <v>4.5999999999999996</v>
      </c>
      <c r="I70" s="2" t="s">
        <v>2812</v>
      </c>
    </row>
    <row r="71" spans="1:9" x14ac:dyDescent="0.25">
      <c r="A71" s="2" t="s">
        <v>2962</v>
      </c>
      <c r="B71" s="2" t="s">
        <v>2963</v>
      </c>
      <c r="C71" s="2" t="s">
        <v>111</v>
      </c>
      <c r="D71" s="2" t="s">
        <v>2959</v>
      </c>
      <c r="E71">
        <v>47.55</v>
      </c>
      <c r="F71">
        <v>154.72</v>
      </c>
      <c r="G71">
        <v>11.5</v>
      </c>
      <c r="H71">
        <v>10</v>
      </c>
      <c r="I71" s="2" t="s">
        <v>2809</v>
      </c>
    </row>
    <row r="72" spans="1:9" x14ac:dyDescent="0.25">
      <c r="A72" s="2" t="s">
        <v>2964</v>
      </c>
      <c r="B72" s="2" t="s">
        <v>2965</v>
      </c>
      <c r="C72" s="2" t="s">
        <v>111</v>
      </c>
      <c r="D72" s="2" t="s">
        <v>2966</v>
      </c>
      <c r="E72">
        <v>18.47</v>
      </c>
      <c r="F72">
        <v>52.9</v>
      </c>
      <c r="G72">
        <v>9.26</v>
      </c>
      <c r="H72">
        <v>7.2</v>
      </c>
      <c r="I72" s="2" t="s">
        <v>2806</v>
      </c>
    </row>
    <row r="73" spans="1:9" x14ac:dyDescent="0.25">
      <c r="A73" s="2" t="s">
        <v>2967</v>
      </c>
      <c r="B73" s="2" t="s">
        <v>2968</v>
      </c>
      <c r="C73" s="2" t="s">
        <v>111</v>
      </c>
      <c r="D73" s="2" t="s">
        <v>2966</v>
      </c>
      <c r="E73">
        <v>26.96</v>
      </c>
      <c r="F73">
        <v>62.18</v>
      </c>
      <c r="G73">
        <v>6.06</v>
      </c>
      <c r="H73">
        <v>3.2</v>
      </c>
      <c r="I73" s="2" t="s">
        <v>2822</v>
      </c>
    </row>
    <row r="74" spans="1:9" x14ac:dyDescent="0.25">
      <c r="A74" s="2" t="s">
        <v>2969</v>
      </c>
      <c r="B74" s="2" t="s">
        <v>2970</v>
      </c>
      <c r="C74" s="2" t="s">
        <v>111</v>
      </c>
      <c r="D74" s="2" t="s">
        <v>2966</v>
      </c>
      <c r="E74">
        <v>4.67</v>
      </c>
      <c r="F74">
        <v>15.69</v>
      </c>
      <c r="G74">
        <v>9.34</v>
      </c>
      <c r="H74">
        <v>7.3</v>
      </c>
      <c r="I74" s="2" t="s">
        <v>2822</v>
      </c>
    </row>
    <row r="75" spans="1:9" x14ac:dyDescent="0.25">
      <c r="A75" s="2" t="s">
        <v>2971</v>
      </c>
      <c r="B75" s="2" t="s">
        <v>2972</v>
      </c>
      <c r="C75" s="2" t="s">
        <v>111</v>
      </c>
      <c r="D75" s="2" t="s">
        <v>2966</v>
      </c>
      <c r="E75">
        <v>49.88</v>
      </c>
      <c r="F75">
        <v>164.85</v>
      </c>
      <c r="G75">
        <v>4.7</v>
      </c>
      <c r="H75">
        <v>1.5</v>
      </c>
      <c r="I75" s="2" t="s">
        <v>2806</v>
      </c>
    </row>
    <row r="76" spans="1:9" x14ac:dyDescent="0.25">
      <c r="A76" s="2" t="s">
        <v>2973</v>
      </c>
      <c r="B76" s="2" t="s">
        <v>2974</v>
      </c>
      <c r="C76" s="2" t="s">
        <v>111</v>
      </c>
      <c r="D76" s="2" t="s">
        <v>2975</v>
      </c>
      <c r="E76">
        <v>25.87</v>
      </c>
      <c r="F76">
        <v>51.31</v>
      </c>
      <c r="G76">
        <v>10.06</v>
      </c>
      <c r="H76">
        <v>8.1999999999999993</v>
      </c>
      <c r="I76" s="2" t="s">
        <v>2809</v>
      </c>
    </row>
    <row r="77" spans="1:9" x14ac:dyDescent="0.25">
      <c r="A77" s="2" t="s">
        <v>2976</v>
      </c>
      <c r="B77" s="2" t="s">
        <v>2977</v>
      </c>
      <c r="C77" s="2" t="s">
        <v>111</v>
      </c>
      <c r="D77" s="2" t="s">
        <v>2975</v>
      </c>
      <c r="E77">
        <v>26.96</v>
      </c>
      <c r="F77">
        <v>67.09</v>
      </c>
      <c r="G77">
        <v>10.54</v>
      </c>
      <c r="H77">
        <v>8.8000000000000007</v>
      </c>
      <c r="I77" s="2" t="s">
        <v>2806</v>
      </c>
    </row>
    <row r="78" spans="1:9" x14ac:dyDescent="0.25">
      <c r="A78" s="2" t="s">
        <v>2978</v>
      </c>
      <c r="B78" s="2" t="s">
        <v>2979</v>
      </c>
      <c r="C78" s="2" t="s">
        <v>111</v>
      </c>
      <c r="D78" s="2" t="s">
        <v>2975</v>
      </c>
      <c r="E78">
        <v>34.15</v>
      </c>
      <c r="F78">
        <v>104.73</v>
      </c>
      <c r="G78">
        <v>14.94</v>
      </c>
      <c r="H78">
        <v>14.3</v>
      </c>
      <c r="I78" s="2" t="s">
        <v>2809</v>
      </c>
    </row>
    <row r="79" spans="1:9" x14ac:dyDescent="0.25">
      <c r="A79" s="2" t="s">
        <v>2980</v>
      </c>
      <c r="B79" s="2" t="s">
        <v>2981</v>
      </c>
      <c r="C79" s="2" t="s">
        <v>111</v>
      </c>
      <c r="D79" s="2" t="s">
        <v>2975</v>
      </c>
      <c r="E79">
        <v>11.41</v>
      </c>
      <c r="F79">
        <v>29.4</v>
      </c>
      <c r="G79">
        <v>6.22</v>
      </c>
      <c r="H79">
        <v>3.4</v>
      </c>
      <c r="I79" s="2" t="s">
        <v>2812</v>
      </c>
    </row>
    <row r="80" spans="1:9" x14ac:dyDescent="0.25">
      <c r="A80" s="2" t="s">
        <v>2982</v>
      </c>
      <c r="B80" s="2" t="s">
        <v>2983</v>
      </c>
      <c r="C80" s="2" t="s">
        <v>111</v>
      </c>
      <c r="D80" s="2" t="s">
        <v>2975</v>
      </c>
      <c r="E80">
        <v>47.56</v>
      </c>
      <c r="F80">
        <v>71.83</v>
      </c>
      <c r="G80">
        <v>10.14</v>
      </c>
      <c r="H80">
        <v>8.3000000000000007</v>
      </c>
      <c r="I80" s="2" t="s">
        <v>2806</v>
      </c>
    </row>
    <row r="81" spans="1:9" x14ac:dyDescent="0.25">
      <c r="A81" s="2" t="s">
        <v>2984</v>
      </c>
      <c r="B81" s="2" t="s">
        <v>2985</v>
      </c>
      <c r="C81" s="2" t="s">
        <v>56</v>
      </c>
      <c r="D81" s="2" t="s">
        <v>2986</v>
      </c>
      <c r="E81">
        <v>16.55</v>
      </c>
      <c r="F81">
        <v>38.81</v>
      </c>
      <c r="G81">
        <v>11.42</v>
      </c>
      <c r="H81">
        <v>9.9</v>
      </c>
      <c r="I81" s="2" t="s">
        <v>2809</v>
      </c>
    </row>
    <row r="82" spans="1:9" x14ac:dyDescent="0.25">
      <c r="A82" s="2" t="s">
        <v>2987</v>
      </c>
      <c r="B82" s="2" t="s">
        <v>2988</v>
      </c>
      <c r="C82" s="2" t="s">
        <v>56</v>
      </c>
      <c r="D82" s="2" t="s">
        <v>2986</v>
      </c>
      <c r="E82">
        <v>7.23</v>
      </c>
      <c r="F82">
        <v>17.399999999999999</v>
      </c>
      <c r="G82">
        <v>12.3</v>
      </c>
      <c r="H82">
        <v>11</v>
      </c>
      <c r="I82" s="2" t="s">
        <v>2828</v>
      </c>
    </row>
    <row r="83" spans="1:9" x14ac:dyDescent="0.25">
      <c r="A83" s="2" t="s">
        <v>2989</v>
      </c>
      <c r="B83" s="2" t="s">
        <v>2990</v>
      </c>
      <c r="C83" s="2" t="s">
        <v>56</v>
      </c>
      <c r="D83" s="2" t="s">
        <v>2986</v>
      </c>
      <c r="E83">
        <v>24.86</v>
      </c>
      <c r="F83">
        <v>39.82</v>
      </c>
      <c r="G83">
        <v>5.66</v>
      </c>
      <c r="H83">
        <v>2.7</v>
      </c>
      <c r="I83" s="2" t="s">
        <v>2828</v>
      </c>
    </row>
    <row r="84" spans="1:9" x14ac:dyDescent="0.25">
      <c r="A84" s="2" t="s">
        <v>2991</v>
      </c>
      <c r="B84" s="2" t="s">
        <v>2992</v>
      </c>
      <c r="C84" s="2" t="s">
        <v>56</v>
      </c>
      <c r="D84" s="2" t="s">
        <v>2986</v>
      </c>
      <c r="E84">
        <v>11.64</v>
      </c>
      <c r="F84">
        <v>36.01</v>
      </c>
      <c r="G84">
        <v>9.66</v>
      </c>
      <c r="H84">
        <v>7.7</v>
      </c>
      <c r="I84" s="2" t="s">
        <v>2812</v>
      </c>
    </row>
    <row r="85" spans="1:9" x14ac:dyDescent="0.25">
      <c r="A85" s="2" t="s">
        <v>2993</v>
      </c>
      <c r="B85" s="2" t="s">
        <v>2994</v>
      </c>
      <c r="C85" s="2" t="s">
        <v>56</v>
      </c>
      <c r="D85" s="2" t="s">
        <v>2995</v>
      </c>
      <c r="E85">
        <v>15.2</v>
      </c>
      <c r="F85">
        <v>36.49</v>
      </c>
      <c r="G85">
        <v>12.38</v>
      </c>
      <c r="H85">
        <v>11.1</v>
      </c>
      <c r="I85" s="2" t="s">
        <v>2809</v>
      </c>
    </row>
    <row r="86" spans="1:9" x14ac:dyDescent="0.25">
      <c r="A86" s="2" t="s">
        <v>2996</v>
      </c>
      <c r="B86" s="2" t="s">
        <v>2997</v>
      </c>
      <c r="C86" s="2" t="s">
        <v>56</v>
      </c>
      <c r="D86" s="2" t="s">
        <v>2995</v>
      </c>
      <c r="E86">
        <v>36.39</v>
      </c>
      <c r="F86">
        <v>53.21</v>
      </c>
      <c r="G86">
        <v>3.98</v>
      </c>
      <c r="H86">
        <v>0.6</v>
      </c>
      <c r="I86" s="2" t="s">
        <v>2822</v>
      </c>
    </row>
    <row r="87" spans="1:9" x14ac:dyDescent="0.25">
      <c r="A87" s="2" t="s">
        <v>2998</v>
      </c>
      <c r="B87" s="2" t="s">
        <v>2999</v>
      </c>
      <c r="C87" s="2" t="s">
        <v>56</v>
      </c>
      <c r="D87" s="2" t="s">
        <v>2995</v>
      </c>
      <c r="E87">
        <v>12.24</v>
      </c>
      <c r="F87">
        <v>41.97</v>
      </c>
      <c r="G87">
        <v>13.42</v>
      </c>
      <c r="H87">
        <v>12.4</v>
      </c>
      <c r="I87" s="2" t="s">
        <v>2806</v>
      </c>
    </row>
    <row r="88" spans="1:9" x14ac:dyDescent="0.25">
      <c r="A88" s="2" t="s">
        <v>3000</v>
      </c>
      <c r="B88" s="2" t="s">
        <v>3001</v>
      </c>
      <c r="C88" s="2" t="s">
        <v>56</v>
      </c>
      <c r="D88" s="2" t="s">
        <v>2995</v>
      </c>
      <c r="E88">
        <v>18.66</v>
      </c>
      <c r="F88">
        <v>29.69</v>
      </c>
      <c r="G88">
        <v>6.06</v>
      </c>
      <c r="H88">
        <v>3.2</v>
      </c>
      <c r="I88" s="2" t="s">
        <v>2828</v>
      </c>
    </row>
    <row r="89" spans="1:9" x14ac:dyDescent="0.25">
      <c r="A89" s="2" t="s">
        <v>3002</v>
      </c>
      <c r="B89" s="2" t="s">
        <v>3003</v>
      </c>
      <c r="C89" s="2" t="s">
        <v>56</v>
      </c>
      <c r="D89" s="2" t="s">
        <v>2995</v>
      </c>
      <c r="E89">
        <v>11.44</v>
      </c>
      <c r="F89">
        <v>27.71</v>
      </c>
      <c r="G89">
        <v>12.94</v>
      </c>
      <c r="H89">
        <v>11.8</v>
      </c>
      <c r="I89" s="2" t="s">
        <v>2812</v>
      </c>
    </row>
    <row r="90" spans="1:9" x14ac:dyDescent="0.25">
      <c r="A90" s="2" t="s">
        <v>3004</v>
      </c>
      <c r="B90" s="2" t="s">
        <v>3005</v>
      </c>
      <c r="C90" s="2" t="s">
        <v>56</v>
      </c>
      <c r="D90" s="2" t="s">
        <v>3006</v>
      </c>
      <c r="E90">
        <v>11.71</v>
      </c>
      <c r="F90">
        <v>35.19</v>
      </c>
      <c r="G90">
        <v>5.0199999999999996</v>
      </c>
      <c r="H90">
        <v>1.9</v>
      </c>
      <c r="I90" s="2" t="s">
        <v>2812</v>
      </c>
    </row>
    <row r="91" spans="1:9" x14ac:dyDescent="0.25">
      <c r="A91" s="2" t="s">
        <v>3007</v>
      </c>
      <c r="B91" s="2" t="s">
        <v>3008</v>
      </c>
      <c r="C91" s="2" t="s">
        <v>56</v>
      </c>
      <c r="D91" s="2" t="s">
        <v>3006</v>
      </c>
      <c r="E91">
        <v>21.08</v>
      </c>
      <c r="F91">
        <v>55.06</v>
      </c>
      <c r="G91">
        <v>5.82</v>
      </c>
      <c r="H91">
        <v>2.9</v>
      </c>
      <c r="I91" s="2" t="s">
        <v>2828</v>
      </c>
    </row>
    <row r="92" spans="1:9" x14ac:dyDescent="0.25">
      <c r="A92" s="2" t="s">
        <v>3009</v>
      </c>
      <c r="B92" s="2" t="s">
        <v>3010</v>
      </c>
      <c r="C92" s="2" t="s">
        <v>56</v>
      </c>
      <c r="D92" s="2" t="s">
        <v>3006</v>
      </c>
      <c r="E92">
        <v>20.9</v>
      </c>
      <c r="F92">
        <v>47.22</v>
      </c>
      <c r="G92">
        <v>5.9</v>
      </c>
      <c r="H92">
        <v>3</v>
      </c>
      <c r="I92" s="2" t="s">
        <v>2806</v>
      </c>
    </row>
    <row r="93" spans="1:9" x14ac:dyDescent="0.25">
      <c r="A93" s="2" t="s">
        <v>3011</v>
      </c>
      <c r="B93" s="2" t="s">
        <v>3012</v>
      </c>
      <c r="C93" s="2" t="s">
        <v>56</v>
      </c>
      <c r="D93" s="2" t="s">
        <v>3006</v>
      </c>
      <c r="E93">
        <v>4.8499999999999996</v>
      </c>
      <c r="F93">
        <v>6.95</v>
      </c>
      <c r="G93">
        <v>7.98</v>
      </c>
      <c r="H93">
        <v>5.6</v>
      </c>
      <c r="I93" s="2" t="s">
        <v>2828</v>
      </c>
    </row>
    <row r="94" spans="1:9" x14ac:dyDescent="0.25">
      <c r="A94" s="2" t="s">
        <v>3013</v>
      </c>
      <c r="B94" s="2" t="s">
        <v>3014</v>
      </c>
      <c r="C94" s="2" t="s">
        <v>56</v>
      </c>
      <c r="D94" s="2" t="s">
        <v>3006</v>
      </c>
      <c r="E94">
        <v>12.42</v>
      </c>
      <c r="F94">
        <v>29.59</v>
      </c>
      <c r="G94">
        <v>4.7</v>
      </c>
      <c r="H94">
        <v>1.5</v>
      </c>
      <c r="I94" s="2" t="s">
        <v>2812</v>
      </c>
    </row>
    <row r="95" spans="1:9" x14ac:dyDescent="0.25">
      <c r="A95" s="2" t="s">
        <v>3015</v>
      </c>
      <c r="B95" s="2" t="s">
        <v>3016</v>
      </c>
      <c r="C95" s="2" t="s">
        <v>56</v>
      </c>
      <c r="D95" s="2" t="s">
        <v>3017</v>
      </c>
      <c r="E95">
        <v>37.76</v>
      </c>
      <c r="F95">
        <v>121.03</v>
      </c>
      <c r="G95">
        <v>4.78</v>
      </c>
      <c r="H95">
        <v>1.6</v>
      </c>
      <c r="I95" s="2" t="s">
        <v>2828</v>
      </c>
    </row>
    <row r="96" spans="1:9" x14ac:dyDescent="0.25">
      <c r="A96" s="2" t="s">
        <v>3018</v>
      </c>
      <c r="B96" s="2" t="s">
        <v>3019</v>
      </c>
      <c r="C96" s="2" t="s">
        <v>56</v>
      </c>
      <c r="D96" s="2" t="s">
        <v>3017</v>
      </c>
      <c r="E96">
        <v>4.3600000000000003</v>
      </c>
      <c r="F96">
        <v>14.58</v>
      </c>
      <c r="G96">
        <v>9.1</v>
      </c>
      <c r="H96">
        <v>7</v>
      </c>
      <c r="I96" s="2" t="s">
        <v>2809</v>
      </c>
    </row>
    <row r="97" spans="1:9" x14ac:dyDescent="0.25">
      <c r="A97" s="2" t="s">
        <v>3020</v>
      </c>
      <c r="B97" s="2" t="s">
        <v>3021</v>
      </c>
      <c r="C97" s="2" t="s">
        <v>56</v>
      </c>
      <c r="D97" s="2" t="s">
        <v>3017</v>
      </c>
      <c r="E97">
        <v>6.88</v>
      </c>
      <c r="F97">
        <v>11.99</v>
      </c>
      <c r="G97">
        <v>10.3</v>
      </c>
      <c r="H97">
        <v>8.5</v>
      </c>
      <c r="I97" s="2" t="s">
        <v>2812</v>
      </c>
    </row>
    <row r="98" spans="1:9" x14ac:dyDescent="0.25">
      <c r="A98" s="2" t="s">
        <v>3022</v>
      </c>
      <c r="B98" s="2" t="s">
        <v>3023</v>
      </c>
      <c r="C98" s="2" t="s">
        <v>56</v>
      </c>
      <c r="D98" s="2" t="s">
        <v>3017</v>
      </c>
      <c r="E98">
        <v>30.95</v>
      </c>
      <c r="F98">
        <v>103.35</v>
      </c>
      <c r="G98">
        <v>5.0199999999999996</v>
      </c>
      <c r="H98">
        <v>1.9</v>
      </c>
      <c r="I98" s="2" t="s">
        <v>2812</v>
      </c>
    </row>
    <row r="99" spans="1:9" x14ac:dyDescent="0.25">
      <c r="A99" s="2" t="s">
        <v>3024</v>
      </c>
      <c r="B99" s="2" t="s">
        <v>3025</v>
      </c>
      <c r="C99" s="2" t="s">
        <v>56</v>
      </c>
      <c r="D99" s="2" t="s">
        <v>3017</v>
      </c>
      <c r="E99">
        <v>38.61</v>
      </c>
      <c r="F99">
        <v>96.35</v>
      </c>
      <c r="G99">
        <v>3.82</v>
      </c>
      <c r="H99">
        <v>0.4</v>
      </c>
      <c r="I99" s="2" t="s">
        <v>2812</v>
      </c>
    </row>
    <row r="100" spans="1:9" x14ac:dyDescent="0.25">
      <c r="A100" s="2" t="s">
        <v>3026</v>
      </c>
      <c r="B100" s="2" t="s">
        <v>3027</v>
      </c>
      <c r="C100" s="2" t="s">
        <v>56</v>
      </c>
      <c r="D100" s="2" t="s">
        <v>3017</v>
      </c>
      <c r="E100">
        <v>12.97</v>
      </c>
      <c r="F100">
        <v>24.23</v>
      </c>
      <c r="G100">
        <v>6.7</v>
      </c>
      <c r="H100">
        <v>4</v>
      </c>
      <c r="I100" s="2" t="s">
        <v>2812</v>
      </c>
    </row>
    <row r="101" spans="1:9" x14ac:dyDescent="0.25">
      <c r="A101" s="2" t="s">
        <v>3028</v>
      </c>
      <c r="B101" s="2" t="s">
        <v>3029</v>
      </c>
      <c r="C101" s="2" t="s">
        <v>56</v>
      </c>
      <c r="D101" s="2" t="s">
        <v>3030</v>
      </c>
      <c r="E101">
        <v>27.03</v>
      </c>
      <c r="F101">
        <v>69.38</v>
      </c>
      <c r="G101">
        <v>14.3</v>
      </c>
      <c r="H101">
        <v>13.5</v>
      </c>
      <c r="I101" s="2" t="s">
        <v>2828</v>
      </c>
    </row>
    <row r="102" spans="1:9" x14ac:dyDescent="0.25">
      <c r="A102" s="2" t="s">
        <v>3031</v>
      </c>
      <c r="B102" s="2" t="s">
        <v>3032</v>
      </c>
      <c r="C102" s="2" t="s">
        <v>56</v>
      </c>
      <c r="D102" s="2" t="s">
        <v>3030</v>
      </c>
      <c r="E102">
        <v>34.79</v>
      </c>
      <c r="F102">
        <v>62.32</v>
      </c>
      <c r="G102">
        <v>13.18</v>
      </c>
      <c r="H102">
        <v>12.1</v>
      </c>
      <c r="I102" s="2" t="s">
        <v>2806</v>
      </c>
    </row>
    <row r="103" spans="1:9" x14ac:dyDescent="0.25">
      <c r="A103" s="2" t="s">
        <v>3033</v>
      </c>
      <c r="B103" s="2" t="s">
        <v>3034</v>
      </c>
      <c r="C103" s="2" t="s">
        <v>56</v>
      </c>
      <c r="D103" s="2" t="s">
        <v>3030</v>
      </c>
      <c r="E103">
        <v>32.39</v>
      </c>
      <c r="F103">
        <v>47.4</v>
      </c>
      <c r="G103">
        <v>11.98</v>
      </c>
      <c r="H103">
        <v>10.6</v>
      </c>
      <c r="I103" s="2" t="s">
        <v>2828</v>
      </c>
    </row>
    <row r="104" spans="1:9" x14ac:dyDescent="0.25">
      <c r="A104" s="2" t="s">
        <v>3035</v>
      </c>
      <c r="B104" s="2" t="s">
        <v>3036</v>
      </c>
      <c r="C104" s="2" t="s">
        <v>56</v>
      </c>
      <c r="D104" s="2" t="s">
        <v>3030</v>
      </c>
      <c r="E104">
        <v>26.77</v>
      </c>
      <c r="F104">
        <v>49.35</v>
      </c>
      <c r="G104">
        <v>8.3800000000000008</v>
      </c>
      <c r="H104">
        <v>6.1</v>
      </c>
      <c r="I104" s="2" t="s">
        <v>2806</v>
      </c>
    </row>
    <row r="105" spans="1:9" x14ac:dyDescent="0.25">
      <c r="A105" s="2" t="s">
        <v>3037</v>
      </c>
      <c r="B105" s="2" t="s">
        <v>3038</v>
      </c>
      <c r="C105" s="2" t="s">
        <v>56</v>
      </c>
      <c r="D105" s="2" t="s">
        <v>3039</v>
      </c>
      <c r="E105">
        <v>33.04</v>
      </c>
      <c r="F105">
        <v>104.14</v>
      </c>
      <c r="G105">
        <v>14.54</v>
      </c>
      <c r="H105">
        <v>13.8</v>
      </c>
      <c r="I105" s="2" t="s">
        <v>2809</v>
      </c>
    </row>
    <row r="106" spans="1:9" x14ac:dyDescent="0.25">
      <c r="A106" s="2" t="s">
        <v>3040</v>
      </c>
      <c r="B106" s="2" t="s">
        <v>3041</v>
      </c>
      <c r="C106" s="2" t="s">
        <v>56</v>
      </c>
      <c r="D106" s="2" t="s">
        <v>3039</v>
      </c>
      <c r="E106">
        <v>26.48</v>
      </c>
      <c r="F106">
        <v>62.94</v>
      </c>
      <c r="G106">
        <v>6.62</v>
      </c>
      <c r="H106">
        <v>3.9</v>
      </c>
      <c r="I106" s="2" t="s">
        <v>2812</v>
      </c>
    </row>
    <row r="107" spans="1:9" x14ac:dyDescent="0.25">
      <c r="A107" s="2" t="s">
        <v>3042</v>
      </c>
      <c r="B107" s="2" t="s">
        <v>3043</v>
      </c>
      <c r="C107" s="2" t="s">
        <v>56</v>
      </c>
      <c r="D107" s="2" t="s">
        <v>3039</v>
      </c>
      <c r="E107">
        <v>28.21</v>
      </c>
      <c r="F107">
        <v>45.69</v>
      </c>
      <c r="G107">
        <v>11.58</v>
      </c>
      <c r="H107">
        <v>10.1</v>
      </c>
      <c r="I107" s="2" t="s">
        <v>2806</v>
      </c>
    </row>
    <row r="108" spans="1:9" x14ac:dyDescent="0.25">
      <c r="A108" s="2" t="s">
        <v>3044</v>
      </c>
      <c r="B108" s="2" t="s">
        <v>3045</v>
      </c>
      <c r="C108" s="2" t="s">
        <v>56</v>
      </c>
      <c r="D108" s="2" t="s">
        <v>3039</v>
      </c>
      <c r="E108">
        <v>7.33</v>
      </c>
      <c r="F108">
        <v>19.260000000000002</v>
      </c>
      <c r="G108">
        <v>5.26</v>
      </c>
      <c r="H108">
        <v>2.2000000000000002</v>
      </c>
      <c r="I108" s="2" t="s">
        <v>2828</v>
      </c>
    </row>
    <row r="109" spans="1:9" x14ac:dyDescent="0.25">
      <c r="A109" s="2" t="s">
        <v>3046</v>
      </c>
      <c r="B109" s="2" t="s">
        <v>3047</v>
      </c>
      <c r="C109" s="2" t="s">
        <v>56</v>
      </c>
      <c r="D109" s="2" t="s">
        <v>3039</v>
      </c>
      <c r="E109">
        <v>7.06</v>
      </c>
      <c r="F109">
        <v>13.96</v>
      </c>
      <c r="G109">
        <v>5.18</v>
      </c>
      <c r="H109">
        <v>2.1</v>
      </c>
      <c r="I109" s="2" t="s">
        <v>2822</v>
      </c>
    </row>
    <row r="110" spans="1:9" x14ac:dyDescent="0.25">
      <c r="A110" s="2" t="s">
        <v>3048</v>
      </c>
      <c r="B110" s="2" t="s">
        <v>3049</v>
      </c>
      <c r="C110" s="2" t="s">
        <v>48</v>
      </c>
      <c r="D110" s="2" t="s">
        <v>3050</v>
      </c>
      <c r="E110">
        <v>19.8</v>
      </c>
      <c r="F110">
        <v>61.44</v>
      </c>
      <c r="G110">
        <v>12.06</v>
      </c>
      <c r="H110">
        <v>10.7</v>
      </c>
      <c r="I110" s="2" t="s">
        <v>2822</v>
      </c>
    </row>
    <row r="111" spans="1:9" x14ac:dyDescent="0.25">
      <c r="A111" s="2" t="s">
        <v>3051</v>
      </c>
      <c r="B111" s="2" t="s">
        <v>3052</v>
      </c>
      <c r="C111" s="2" t="s">
        <v>48</v>
      </c>
      <c r="D111" s="2" t="s">
        <v>3050</v>
      </c>
      <c r="E111">
        <v>18.89</v>
      </c>
      <c r="F111">
        <v>35.409999999999997</v>
      </c>
      <c r="G111">
        <v>12.14</v>
      </c>
      <c r="H111">
        <v>10.8</v>
      </c>
      <c r="I111" s="2" t="s">
        <v>2828</v>
      </c>
    </row>
    <row r="112" spans="1:9" x14ac:dyDescent="0.25">
      <c r="A112" s="2" t="s">
        <v>3053</v>
      </c>
      <c r="B112" s="2" t="s">
        <v>3054</v>
      </c>
      <c r="C112" s="2" t="s">
        <v>48</v>
      </c>
      <c r="D112" s="2" t="s">
        <v>3050</v>
      </c>
      <c r="E112">
        <v>10.75</v>
      </c>
      <c r="F112">
        <v>24.02</v>
      </c>
      <c r="G112">
        <v>3.98</v>
      </c>
      <c r="H112">
        <v>0.6</v>
      </c>
      <c r="I112" s="2" t="s">
        <v>2809</v>
      </c>
    </row>
    <row r="113" spans="1:9" x14ac:dyDescent="0.25">
      <c r="A113" s="2" t="s">
        <v>3055</v>
      </c>
      <c r="B113" s="2" t="s">
        <v>3056</v>
      </c>
      <c r="C113" s="2" t="s">
        <v>48</v>
      </c>
      <c r="D113" s="2" t="s">
        <v>3050</v>
      </c>
      <c r="E113">
        <v>2.85</v>
      </c>
      <c r="F113">
        <v>5.22</v>
      </c>
      <c r="G113">
        <v>14.3</v>
      </c>
      <c r="H113">
        <v>13.5</v>
      </c>
      <c r="I113" s="2" t="s">
        <v>2806</v>
      </c>
    </row>
    <row r="114" spans="1:9" x14ac:dyDescent="0.25">
      <c r="A114" s="2" t="s">
        <v>3057</v>
      </c>
      <c r="B114" s="2" t="s">
        <v>3058</v>
      </c>
      <c r="C114" s="2" t="s">
        <v>48</v>
      </c>
      <c r="D114" s="2" t="s">
        <v>3059</v>
      </c>
      <c r="E114">
        <v>14.64</v>
      </c>
      <c r="F114">
        <v>36.6</v>
      </c>
      <c r="G114">
        <v>10.62</v>
      </c>
      <c r="H114">
        <v>8.9</v>
      </c>
      <c r="I114" s="2" t="s">
        <v>2812</v>
      </c>
    </row>
    <row r="115" spans="1:9" x14ac:dyDescent="0.25">
      <c r="A115" s="2" t="s">
        <v>3060</v>
      </c>
      <c r="B115" s="2" t="s">
        <v>3061</v>
      </c>
      <c r="C115" s="2" t="s">
        <v>48</v>
      </c>
      <c r="D115" s="2" t="s">
        <v>3059</v>
      </c>
      <c r="E115">
        <v>15.9</v>
      </c>
      <c r="F115">
        <v>39.11</v>
      </c>
      <c r="G115">
        <v>9.82</v>
      </c>
      <c r="H115">
        <v>7.9</v>
      </c>
      <c r="I115" s="2" t="s">
        <v>2809</v>
      </c>
    </row>
    <row r="116" spans="1:9" x14ac:dyDescent="0.25">
      <c r="A116" s="2" t="s">
        <v>3062</v>
      </c>
      <c r="B116" s="2" t="s">
        <v>3063</v>
      </c>
      <c r="C116" s="2" t="s">
        <v>48</v>
      </c>
      <c r="D116" s="2" t="s">
        <v>3059</v>
      </c>
      <c r="E116">
        <v>5.81</v>
      </c>
      <c r="F116">
        <v>11.82</v>
      </c>
      <c r="G116">
        <v>11.9</v>
      </c>
      <c r="H116">
        <v>10.5</v>
      </c>
      <c r="I116" s="2" t="s">
        <v>2806</v>
      </c>
    </row>
    <row r="117" spans="1:9" x14ac:dyDescent="0.25">
      <c r="A117" s="2" t="s">
        <v>3064</v>
      </c>
      <c r="B117" s="2" t="s">
        <v>3065</v>
      </c>
      <c r="C117" s="2" t="s">
        <v>48</v>
      </c>
      <c r="D117" s="2" t="s">
        <v>3066</v>
      </c>
      <c r="E117">
        <v>3.65</v>
      </c>
      <c r="F117">
        <v>8.3000000000000007</v>
      </c>
      <c r="G117">
        <v>13.18</v>
      </c>
      <c r="H117">
        <v>12.1</v>
      </c>
      <c r="I117" s="2" t="s">
        <v>2812</v>
      </c>
    </row>
    <row r="118" spans="1:9" x14ac:dyDescent="0.25">
      <c r="A118" s="2" t="s">
        <v>3067</v>
      </c>
      <c r="B118" s="2" t="s">
        <v>3068</v>
      </c>
      <c r="C118" s="2" t="s">
        <v>48</v>
      </c>
      <c r="D118" s="2" t="s">
        <v>3066</v>
      </c>
      <c r="E118">
        <v>11.04</v>
      </c>
      <c r="F118">
        <v>18.829999999999998</v>
      </c>
      <c r="G118">
        <v>9.9</v>
      </c>
      <c r="H118">
        <v>8</v>
      </c>
      <c r="I118" s="2" t="s">
        <v>2828</v>
      </c>
    </row>
    <row r="119" spans="1:9" x14ac:dyDescent="0.25">
      <c r="A119" s="2" t="s">
        <v>3069</v>
      </c>
      <c r="B119" s="2" t="s">
        <v>3070</v>
      </c>
      <c r="C119" s="2" t="s">
        <v>48</v>
      </c>
      <c r="D119" s="2" t="s">
        <v>3066</v>
      </c>
      <c r="E119">
        <v>20.94</v>
      </c>
      <c r="F119">
        <v>47.32</v>
      </c>
      <c r="G119">
        <v>9.1</v>
      </c>
      <c r="H119">
        <v>7</v>
      </c>
      <c r="I119" s="2" t="s">
        <v>2828</v>
      </c>
    </row>
    <row r="120" spans="1:9" x14ac:dyDescent="0.25">
      <c r="A120" s="2" t="s">
        <v>3071</v>
      </c>
      <c r="B120" s="2" t="s">
        <v>3072</v>
      </c>
      <c r="C120" s="2" t="s">
        <v>48</v>
      </c>
      <c r="D120" s="2" t="s">
        <v>3073</v>
      </c>
      <c r="E120">
        <v>10.28</v>
      </c>
      <c r="F120">
        <v>29.59</v>
      </c>
      <c r="G120">
        <v>11.66</v>
      </c>
      <c r="H120">
        <v>10.199999999999999</v>
      </c>
      <c r="I120" s="2" t="s">
        <v>2806</v>
      </c>
    </row>
    <row r="121" spans="1:9" x14ac:dyDescent="0.25">
      <c r="A121" s="2" t="s">
        <v>3074</v>
      </c>
      <c r="B121" s="2" t="s">
        <v>3075</v>
      </c>
      <c r="C121" s="2" t="s">
        <v>48</v>
      </c>
      <c r="D121" s="2" t="s">
        <v>3073</v>
      </c>
      <c r="E121">
        <v>7.31</v>
      </c>
      <c r="F121">
        <v>11.11</v>
      </c>
      <c r="G121">
        <v>10.94</v>
      </c>
      <c r="H121">
        <v>9.3000000000000007</v>
      </c>
      <c r="I121" s="2" t="s">
        <v>2806</v>
      </c>
    </row>
    <row r="122" spans="1:9" x14ac:dyDescent="0.25">
      <c r="A122" s="2" t="s">
        <v>3076</v>
      </c>
      <c r="B122" s="2" t="s">
        <v>3077</v>
      </c>
      <c r="C122" s="2" t="s">
        <v>48</v>
      </c>
      <c r="D122" s="2" t="s">
        <v>3073</v>
      </c>
      <c r="E122">
        <v>24.83</v>
      </c>
      <c r="F122">
        <v>77.53</v>
      </c>
      <c r="G122">
        <v>4.78</v>
      </c>
      <c r="H122">
        <v>1.6</v>
      </c>
      <c r="I122" s="2" t="s">
        <v>2828</v>
      </c>
    </row>
    <row r="123" spans="1:9" x14ac:dyDescent="0.25">
      <c r="A123" s="2" t="s">
        <v>3078</v>
      </c>
      <c r="B123" s="2" t="s">
        <v>3079</v>
      </c>
      <c r="C123" s="2" t="s">
        <v>48</v>
      </c>
      <c r="D123" s="2" t="s">
        <v>3073</v>
      </c>
      <c r="E123">
        <v>7.01</v>
      </c>
      <c r="F123">
        <v>16.16</v>
      </c>
      <c r="G123">
        <v>4.54</v>
      </c>
      <c r="H123">
        <v>1.3</v>
      </c>
      <c r="I123" s="2" t="s">
        <v>2806</v>
      </c>
    </row>
    <row r="124" spans="1:9" x14ac:dyDescent="0.25">
      <c r="A124" s="2" t="s">
        <v>3080</v>
      </c>
      <c r="B124" s="2" t="s">
        <v>3081</v>
      </c>
      <c r="C124" s="2" t="s">
        <v>48</v>
      </c>
      <c r="D124" s="2" t="s">
        <v>3073</v>
      </c>
      <c r="E124">
        <v>8.5299999999999994</v>
      </c>
      <c r="F124">
        <v>17.62</v>
      </c>
      <c r="G124">
        <v>11.66</v>
      </c>
      <c r="H124">
        <v>10.199999999999999</v>
      </c>
      <c r="I124" s="2" t="s">
        <v>2812</v>
      </c>
    </row>
    <row r="125" spans="1:9" x14ac:dyDescent="0.25">
      <c r="A125" s="2" t="s">
        <v>3082</v>
      </c>
      <c r="B125" s="2" t="s">
        <v>3083</v>
      </c>
      <c r="C125" s="2" t="s">
        <v>48</v>
      </c>
      <c r="D125" s="2" t="s">
        <v>3084</v>
      </c>
      <c r="E125">
        <v>9.01</v>
      </c>
      <c r="F125">
        <v>25.01</v>
      </c>
      <c r="G125">
        <v>7.9</v>
      </c>
      <c r="H125">
        <v>5.5</v>
      </c>
      <c r="I125" s="2" t="s">
        <v>2809</v>
      </c>
    </row>
    <row r="126" spans="1:9" x14ac:dyDescent="0.25">
      <c r="A126" s="2" t="s">
        <v>3085</v>
      </c>
      <c r="B126" s="2" t="s">
        <v>3086</v>
      </c>
      <c r="C126" s="2" t="s">
        <v>48</v>
      </c>
      <c r="D126" s="2" t="s">
        <v>3084</v>
      </c>
      <c r="E126">
        <v>23.51</v>
      </c>
      <c r="F126">
        <v>63.78</v>
      </c>
      <c r="G126">
        <v>3.9</v>
      </c>
      <c r="H126">
        <v>0.5</v>
      </c>
      <c r="I126" s="2" t="s">
        <v>2822</v>
      </c>
    </row>
    <row r="127" spans="1:9" x14ac:dyDescent="0.25">
      <c r="A127" s="2" t="s">
        <v>3087</v>
      </c>
      <c r="B127" s="2" t="s">
        <v>3088</v>
      </c>
      <c r="C127" s="2" t="s">
        <v>48</v>
      </c>
      <c r="D127" s="2" t="s">
        <v>3084</v>
      </c>
      <c r="E127">
        <v>12.95</v>
      </c>
      <c r="F127">
        <v>36.92</v>
      </c>
      <c r="G127">
        <v>7.74</v>
      </c>
      <c r="H127">
        <v>5.3</v>
      </c>
      <c r="I127" s="2" t="s">
        <v>2828</v>
      </c>
    </row>
    <row r="128" spans="1:9" x14ac:dyDescent="0.25">
      <c r="A128" s="2" t="s">
        <v>3089</v>
      </c>
      <c r="B128" s="2" t="s">
        <v>3090</v>
      </c>
      <c r="C128" s="2" t="s">
        <v>48</v>
      </c>
      <c r="D128" s="2" t="s">
        <v>3091</v>
      </c>
      <c r="E128">
        <v>22.42</v>
      </c>
      <c r="F128">
        <v>58.23</v>
      </c>
      <c r="G128">
        <v>13.42</v>
      </c>
      <c r="H128">
        <v>12.4</v>
      </c>
      <c r="I128" s="2" t="s">
        <v>2812</v>
      </c>
    </row>
    <row r="129" spans="1:9" x14ac:dyDescent="0.25">
      <c r="A129" s="2" t="s">
        <v>3092</v>
      </c>
      <c r="B129" s="2" t="s">
        <v>3093</v>
      </c>
      <c r="C129" s="2" t="s">
        <v>48</v>
      </c>
      <c r="D129" s="2" t="s">
        <v>3091</v>
      </c>
      <c r="E129">
        <v>7.45</v>
      </c>
      <c r="F129">
        <v>20.45</v>
      </c>
      <c r="G129">
        <v>10.220000000000001</v>
      </c>
      <c r="H129">
        <v>8.4</v>
      </c>
      <c r="I129" s="2" t="s">
        <v>2809</v>
      </c>
    </row>
    <row r="130" spans="1:9" x14ac:dyDescent="0.25">
      <c r="A130" s="2" t="s">
        <v>3094</v>
      </c>
      <c r="B130" s="2" t="s">
        <v>3095</v>
      </c>
      <c r="C130" s="2" t="s">
        <v>48</v>
      </c>
      <c r="D130" s="2" t="s">
        <v>3091</v>
      </c>
      <c r="E130">
        <v>15.36</v>
      </c>
      <c r="F130">
        <v>21.93</v>
      </c>
      <c r="G130">
        <v>14.06</v>
      </c>
      <c r="H130">
        <v>13.2</v>
      </c>
      <c r="I130" s="2" t="s">
        <v>2828</v>
      </c>
    </row>
    <row r="131" spans="1:9" x14ac:dyDescent="0.25">
      <c r="A131" s="2" t="s">
        <v>3096</v>
      </c>
      <c r="B131" s="2" t="s">
        <v>3097</v>
      </c>
      <c r="C131" s="2" t="s">
        <v>77</v>
      </c>
      <c r="D131" s="2" t="s">
        <v>3098</v>
      </c>
      <c r="E131">
        <v>6.31</v>
      </c>
      <c r="F131">
        <v>17.59</v>
      </c>
      <c r="G131">
        <v>14.78</v>
      </c>
      <c r="H131">
        <v>14.1</v>
      </c>
      <c r="I131" s="2" t="s">
        <v>2812</v>
      </c>
    </row>
    <row r="132" spans="1:9" x14ac:dyDescent="0.25">
      <c r="A132" s="2" t="s">
        <v>3099</v>
      </c>
      <c r="B132" s="2" t="s">
        <v>3100</v>
      </c>
      <c r="C132" s="2" t="s">
        <v>77</v>
      </c>
      <c r="D132" s="2" t="s">
        <v>3098</v>
      </c>
      <c r="E132">
        <v>8.25</v>
      </c>
      <c r="F132">
        <v>16.8</v>
      </c>
      <c r="G132">
        <v>4.1399999999999997</v>
      </c>
      <c r="H132">
        <v>0.8</v>
      </c>
      <c r="I132" s="2" t="s">
        <v>2806</v>
      </c>
    </row>
    <row r="133" spans="1:9" x14ac:dyDescent="0.25">
      <c r="A133" s="2" t="s">
        <v>3101</v>
      </c>
      <c r="B133" s="2" t="s">
        <v>3102</v>
      </c>
      <c r="C133" s="2" t="s">
        <v>77</v>
      </c>
      <c r="D133" s="2" t="s">
        <v>3098</v>
      </c>
      <c r="E133">
        <v>7.31</v>
      </c>
      <c r="F133">
        <v>23.61</v>
      </c>
      <c r="G133">
        <v>8.2200000000000006</v>
      </c>
      <c r="H133">
        <v>5.9</v>
      </c>
      <c r="I133" s="2" t="s">
        <v>2812</v>
      </c>
    </row>
    <row r="134" spans="1:9" x14ac:dyDescent="0.25">
      <c r="A134" s="2" t="s">
        <v>3103</v>
      </c>
      <c r="B134" s="2" t="s">
        <v>3104</v>
      </c>
      <c r="C134" s="2" t="s">
        <v>77</v>
      </c>
      <c r="D134" s="2" t="s">
        <v>3105</v>
      </c>
      <c r="E134">
        <v>4.49</v>
      </c>
      <c r="F134">
        <v>9.77</v>
      </c>
      <c r="G134">
        <v>11.74</v>
      </c>
      <c r="H134">
        <v>10.3</v>
      </c>
      <c r="I134" s="2" t="s">
        <v>2822</v>
      </c>
    </row>
    <row r="135" spans="1:9" x14ac:dyDescent="0.25">
      <c r="A135" s="2" t="s">
        <v>3106</v>
      </c>
      <c r="B135" s="2" t="s">
        <v>3107</v>
      </c>
      <c r="C135" s="2" t="s">
        <v>77</v>
      </c>
      <c r="D135" s="2" t="s">
        <v>3105</v>
      </c>
      <c r="E135">
        <v>5.42</v>
      </c>
      <c r="F135">
        <v>16.100000000000001</v>
      </c>
      <c r="G135">
        <v>12.62</v>
      </c>
      <c r="H135">
        <v>11.4</v>
      </c>
      <c r="I135" s="2" t="s">
        <v>2822</v>
      </c>
    </row>
    <row r="136" spans="1:9" x14ac:dyDescent="0.25">
      <c r="A136" s="2" t="s">
        <v>3108</v>
      </c>
      <c r="B136" s="2" t="s">
        <v>3109</v>
      </c>
      <c r="C136" s="2" t="s">
        <v>77</v>
      </c>
      <c r="D136" s="2" t="s">
        <v>3105</v>
      </c>
      <c r="E136">
        <v>7.88</v>
      </c>
      <c r="F136">
        <v>17.989999999999998</v>
      </c>
      <c r="G136">
        <v>11.74</v>
      </c>
      <c r="H136">
        <v>10.3</v>
      </c>
      <c r="I136" s="2" t="s">
        <v>2822</v>
      </c>
    </row>
    <row r="137" spans="1:9" x14ac:dyDescent="0.25">
      <c r="A137" s="2" t="s">
        <v>3110</v>
      </c>
      <c r="B137" s="2" t="s">
        <v>3111</v>
      </c>
      <c r="C137" s="2" t="s">
        <v>77</v>
      </c>
      <c r="D137" s="2" t="s">
        <v>3112</v>
      </c>
      <c r="E137">
        <v>6.37</v>
      </c>
      <c r="F137">
        <v>9.0299999999999994</v>
      </c>
      <c r="G137">
        <v>13.98</v>
      </c>
      <c r="H137">
        <v>13.1</v>
      </c>
      <c r="I137" s="2" t="s">
        <v>2806</v>
      </c>
    </row>
    <row r="138" spans="1:9" x14ac:dyDescent="0.25">
      <c r="A138" s="2" t="s">
        <v>3113</v>
      </c>
      <c r="B138" s="2" t="s">
        <v>3114</v>
      </c>
      <c r="C138" s="2" t="s">
        <v>77</v>
      </c>
      <c r="D138" s="2" t="s">
        <v>3112</v>
      </c>
      <c r="E138">
        <v>11.45</v>
      </c>
      <c r="F138">
        <v>18.27</v>
      </c>
      <c r="G138">
        <v>9.26</v>
      </c>
      <c r="H138">
        <v>7.2</v>
      </c>
      <c r="I138" s="2" t="s">
        <v>2809</v>
      </c>
    </row>
    <row r="139" spans="1:9" x14ac:dyDescent="0.25">
      <c r="A139" s="2" t="s">
        <v>3115</v>
      </c>
      <c r="B139" s="2" t="s">
        <v>3116</v>
      </c>
      <c r="C139" s="2" t="s">
        <v>77</v>
      </c>
      <c r="D139" s="2" t="s">
        <v>3112</v>
      </c>
      <c r="E139">
        <v>5.38</v>
      </c>
      <c r="F139">
        <v>10.62</v>
      </c>
      <c r="G139">
        <v>9.18</v>
      </c>
      <c r="H139">
        <v>7.1</v>
      </c>
      <c r="I139" s="2" t="s">
        <v>2809</v>
      </c>
    </row>
    <row r="140" spans="1:9" x14ac:dyDescent="0.25">
      <c r="A140" s="2" t="s">
        <v>3117</v>
      </c>
      <c r="B140" s="2" t="s">
        <v>3118</v>
      </c>
      <c r="C140" s="2" t="s">
        <v>77</v>
      </c>
      <c r="D140" s="2" t="s">
        <v>3112</v>
      </c>
      <c r="E140">
        <v>5.33</v>
      </c>
      <c r="F140">
        <v>8.92</v>
      </c>
      <c r="G140">
        <v>10.220000000000001</v>
      </c>
      <c r="H140">
        <v>8.4</v>
      </c>
      <c r="I140" s="2" t="s">
        <v>2812</v>
      </c>
    </row>
    <row r="141" spans="1:9" x14ac:dyDescent="0.25">
      <c r="A141" s="2" t="s">
        <v>3119</v>
      </c>
      <c r="B141" s="2" t="s">
        <v>3120</v>
      </c>
      <c r="C141" s="2" t="s">
        <v>77</v>
      </c>
      <c r="D141" s="2" t="s">
        <v>3112</v>
      </c>
      <c r="E141">
        <v>8.06</v>
      </c>
      <c r="F141">
        <v>26.5</v>
      </c>
      <c r="G141">
        <v>5.5</v>
      </c>
      <c r="H141">
        <v>2.5</v>
      </c>
      <c r="I141" s="2" t="s">
        <v>2809</v>
      </c>
    </row>
    <row r="142" spans="1:9" x14ac:dyDescent="0.25">
      <c r="A142" s="2" t="s">
        <v>3121</v>
      </c>
      <c r="B142" s="2" t="s">
        <v>3122</v>
      </c>
      <c r="C142" s="2" t="s">
        <v>77</v>
      </c>
      <c r="D142" s="2" t="s">
        <v>3112</v>
      </c>
      <c r="E142">
        <v>6.23</v>
      </c>
      <c r="F142">
        <v>19.309999999999999</v>
      </c>
      <c r="G142">
        <v>5.9</v>
      </c>
      <c r="H142">
        <v>3</v>
      </c>
      <c r="I142" s="2" t="s">
        <v>2822</v>
      </c>
    </row>
    <row r="143" spans="1:9" x14ac:dyDescent="0.25">
      <c r="A143" s="2" t="s">
        <v>3123</v>
      </c>
      <c r="B143" s="2" t="s">
        <v>3124</v>
      </c>
      <c r="C143" s="2" t="s">
        <v>77</v>
      </c>
      <c r="D143" s="2" t="s">
        <v>3125</v>
      </c>
      <c r="E143">
        <v>10.3</v>
      </c>
      <c r="F143">
        <v>31.87</v>
      </c>
      <c r="G143">
        <v>9.58</v>
      </c>
      <c r="H143">
        <v>7.6</v>
      </c>
      <c r="I143" s="2" t="s">
        <v>2828</v>
      </c>
    </row>
    <row r="144" spans="1:9" x14ac:dyDescent="0.25">
      <c r="A144" s="2" t="s">
        <v>3126</v>
      </c>
      <c r="B144" s="2" t="s">
        <v>3127</v>
      </c>
      <c r="C144" s="2" t="s">
        <v>77</v>
      </c>
      <c r="D144" s="2" t="s">
        <v>3125</v>
      </c>
      <c r="E144">
        <v>3.35</v>
      </c>
      <c r="F144">
        <v>10</v>
      </c>
      <c r="G144">
        <v>6.14</v>
      </c>
      <c r="H144">
        <v>3.3</v>
      </c>
      <c r="I144" s="2" t="s">
        <v>2822</v>
      </c>
    </row>
    <row r="145" spans="1:9" x14ac:dyDescent="0.25">
      <c r="A145" s="2" t="s">
        <v>3128</v>
      </c>
      <c r="B145" s="2" t="s">
        <v>3129</v>
      </c>
      <c r="C145" s="2" t="s">
        <v>77</v>
      </c>
      <c r="D145" s="2" t="s">
        <v>3125</v>
      </c>
      <c r="E145">
        <v>10.55</v>
      </c>
      <c r="F145">
        <v>17.64</v>
      </c>
      <c r="G145">
        <v>15.42</v>
      </c>
      <c r="H145">
        <v>14.9</v>
      </c>
      <c r="I145" s="2" t="s">
        <v>2806</v>
      </c>
    </row>
    <row r="146" spans="1:9" x14ac:dyDescent="0.25">
      <c r="A146" s="2" t="s">
        <v>3130</v>
      </c>
      <c r="B146" s="2" t="s">
        <v>3131</v>
      </c>
      <c r="C146" s="2" t="s">
        <v>77</v>
      </c>
      <c r="D146" s="2" t="s">
        <v>3132</v>
      </c>
      <c r="E146">
        <v>7.08</v>
      </c>
      <c r="F146">
        <v>20.16</v>
      </c>
      <c r="G146">
        <v>5.98</v>
      </c>
      <c r="H146">
        <v>3.1</v>
      </c>
      <c r="I146" s="2" t="s">
        <v>2809</v>
      </c>
    </row>
    <row r="147" spans="1:9" x14ac:dyDescent="0.25">
      <c r="A147" s="2" t="s">
        <v>3133</v>
      </c>
      <c r="B147" s="2" t="s">
        <v>3134</v>
      </c>
      <c r="C147" s="2" t="s">
        <v>77</v>
      </c>
      <c r="D147" s="2" t="s">
        <v>3132</v>
      </c>
      <c r="E147">
        <v>5.89</v>
      </c>
      <c r="F147">
        <v>16.190000000000001</v>
      </c>
      <c r="G147">
        <v>14.7</v>
      </c>
      <c r="H147">
        <v>14</v>
      </c>
      <c r="I147" s="2" t="s">
        <v>2822</v>
      </c>
    </row>
    <row r="148" spans="1:9" x14ac:dyDescent="0.25">
      <c r="A148" s="2" t="s">
        <v>3135</v>
      </c>
      <c r="B148" s="2" t="s">
        <v>3136</v>
      </c>
      <c r="C148" s="2" t="s">
        <v>77</v>
      </c>
      <c r="D148" s="2" t="s">
        <v>3132</v>
      </c>
      <c r="E148">
        <v>9.5500000000000007</v>
      </c>
      <c r="F148">
        <v>23.18</v>
      </c>
      <c r="G148">
        <v>9.26</v>
      </c>
      <c r="H148">
        <v>7.2</v>
      </c>
      <c r="I148" s="2" t="s">
        <v>2828</v>
      </c>
    </row>
    <row r="149" spans="1:9" x14ac:dyDescent="0.25">
      <c r="A149" s="2" t="s">
        <v>3137</v>
      </c>
      <c r="B149" s="2" t="s">
        <v>3138</v>
      </c>
      <c r="C149" s="2" t="s">
        <v>77</v>
      </c>
      <c r="D149" s="2" t="s">
        <v>3132</v>
      </c>
      <c r="E149">
        <v>6.71</v>
      </c>
      <c r="F149">
        <v>9.94</v>
      </c>
      <c r="G149">
        <v>7.34</v>
      </c>
      <c r="H149">
        <v>4.8</v>
      </c>
      <c r="I149" s="2" t="s">
        <v>2828</v>
      </c>
    </row>
    <row r="150" spans="1:9" x14ac:dyDescent="0.25">
      <c r="A150" s="2" t="s">
        <v>3139</v>
      </c>
      <c r="B150" s="2" t="s">
        <v>3140</v>
      </c>
      <c r="C150" s="2" t="s">
        <v>77</v>
      </c>
      <c r="D150" s="2" t="s">
        <v>3141</v>
      </c>
      <c r="E150">
        <v>2.17</v>
      </c>
      <c r="F150">
        <v>3.49</v>
      </c>
      <c r="G150">
        <v>10.38</v>
      </c>
      <c r="H150">
        <v>8.6</v>
      </c>
      <c r="I150" s="2" t="s">
        <v>2809</v>
      </c>
    </row>
    <row r="151" spans="1:9" x14ac:dyDescent="0.25">
      <c r="A151" s="2" t="s">
        <v>3142</v>
      </c>
      <c r="B151" s="2" t="s">
        <v>3143</v>
      </c>
      <c r="C151" s="2" t="s">
        <v>77</v>
      </c>
      <c r="D151" s="2" t="s">
        <v>3141</v>
      </c>
      <c r="E151">
        <v>6.77</v>
      </c>
      <c r="F151">
        <v>23.2</v>
      </c>
      <c r="G151">
        <v>7.98</v>
      </c>
      <c r="H151">
        <v>5.6</v>
      </c>
      <c r="I151" s="2" t="s">
        <v>2806</v>
      </c>
    </row>
    <row r="152" spans="1:9" x14ac:dyDescent="0.25">
      <c r="A152" s="2" t="s">
        <v>3144</v>
      </c>
      <c r="B152" s="2" t="s">
        <v>3145</v>
      </c>
      <c r="C152" s="2" t="s">
        <v>77</v>
      </c>
      <c r="D152" s="2" t="s">
        <v>3141</v>
      </c>
      <c r="E152">
        <v>9.18</v>
      </c>
      <c r="F152">
        <v>30.61</v>
      </c>
      <c r="G152">
        <v>9.9</v>
      </c>
      <c r="H152">
        <v>8</v>
      </c>
      <c r="I152" s="2" t="s">
        <v>2809</v>
      </c>
    </row>
    <row r="153" spans="1:9" x14ac:dyDescent="0.25">
      <c r="A153" s="2" t="s">
        <v>3146</v>
      </c>
      <c r="B153" s="2" t="s">
        <v>3147</v>
      </c>
      <c r="C153" s="2" t="s">
        <v>77</v>
      </c>
      <c r="D153" s="2" t="s">
        <v>3141</v>
      </c>
      <c r="E153">
        <v>3.38</v>
      </c>
      <c r="F153">
        <v>5.52</v>
      </c>
      <c r="G153">
        <v>7.82</v>
      </c>
      <c r="H153">
        <v>5.4</v>
      </c>
      <c r="I153" s="2" t="s">
        <v>2806</v>
      </c>
    </row>
    <row r="154" spans="1:9" x14ac:dyDescent="0.25">
      <c r="A154" s="2" t="s">
        <v>3148</v>
      </c>
      <c r="B154" s="2" t="s">
        <v>3149</v>
      </c>
      <c r="C154" s="2" t="s">
        <v>77</v>
      </c>
      <c r="D154" s="2" t="s">
        <v>3141</v>
      </c>
      <c r="E154">
        <v>4.5599999999999996</v>
      </c>
      <c r="F154">
        <v>10.41</v>
      </c>
      <c r="G154">
        <v>9.58</v>
      </c>
      <c r="H154">
        <v>7.6</v>
      </c>
      <c r="I154" s="2" t="s">
        <v>2812</v>
      </c>
    </row>
    <row r="155" spans="1:9" x14ac:dyDescent="0.25">
      <c r="A155" s="2" t="s">
        <v>3150</v>
      </c>
      <c r="B155" s="2" t="s">
        <v>3151</v>
      </c>
      <c r="C155" s="2" t="s">
        <v>52</v>
      </c>
      <c r="D155" s="2" t="s">
        <v>3152</v>
      </c>
      <c r="E155">
        <v>27.31</v>
      </c>
      <c r="F155">
        <v>76.83</v>
      </c>
      <c r="G155">
        <v>9.02</v>
      </c>
      <c r="H155">
        <v>6.9</v>
      </c>
      <c r="I155" s="2" t="s">
        <v>2828</v>
      </c>
    </row>
    <row r="156" spans="1:9" x14ac:dyDescent="0.25">
      <c r="A156" s="2" t="s">
        <v>3153</v>
      </c>
      <c r="B156" s="2" t="s">
        <v>3154</v>
      </c>
      <c r="C156" s="2" t="s">
        <v>52</v>
      </c>
      <c r="D156" s="2" t="s">
        <v>3152</v>
      </c>
      <c r="E156">
        <v>38.82</v>
      </c>
      <c r="F156">
        <v>63.62</v>
      </c>
      <c r="G156">
        <v>13.58</v>
      </c>
      <c r="H156">
        <v>12.6</v>
      </c>
      <c r="I156" s="2" t="s">
        <v>2812</v>
      </c>
    </row>
    <row r="157" spans="1:9" x14ac:dyDescent="0.25">
      <c r="A157" s="2" t="s">
        <v>3155</v>
      </c>
      <c r="B157" s="2" t="s">
        <v>3156</v>
      </c>
      <c r="C157" s="2" t="s">
        <v>52</v>
      </c>
      <c r="D157" s="2" t="s">
        <v>3152</v>
      </c>
      <c r="E157">
        <v>6.91</v>
      </c>
      <c r="F157">
        <v>10.050000000000001</v>
      </c>
      <c r="G157">
        <v>9.18</v>
      </c>
      <c r="H157">
        <v>7.1</v>
      </c>
      <c r="I157" s="2" t="s">
        <v>2806</v>
      </c>
    </row>
    <row r="158" spans="1:9" x14ac:dyDescent="0.25">
      <c r="A158" s="2" t="s">
        <v>3157</v>
      </c>
      <c r="B158" s="2" t="s">
        <v>3158</v>
      </c>
      <c r="C158" s="2" t="s">
        <v>52</v>
      </c>
      <c r="D158" s="2" t="s">
        <v>3159</v>
      </c>
      <c r="E158">
        <v>11.78</v>
      </c>
      <c r="F158">
        <v>40.89</v>
      </c>
      <c r="G158">
        <v>7.18</v>
      </c>
      <c r="H158">
        <v>4.5999999999999996</v>
      </c>
      <c r="I158" s="2" t="s">
        <v>2828</v>
      </c>
    </row>
    <row r="159" spans="1:9" x14ac:dyDescent="0.25">
      <c r="A159" s="2" t="s">
        <v>3160</v>
      </c>
      <c r="B159" s="2" t="s">
        <v>3161</v>
      </c>
      <c r="C159" s="2" t="s">
        <v>52</v>
      </c>
      <c r="D159" s="2" t="s">
        <v>3159</v>
      </c>
      <c r="E159">
        <v>21.86</v>
      </c>
      <c r="F159">
        <v>45.16</v>
      </c>
      <c r="G159">
        <v>9.9</v>
      </c>
      <c r="H159">
        <v>8</v>
      </c>
      <c r="I159" s="2" t="s">
        <v>2806</v>
      </c>
    </row>
    <row r="160" spans="1:9" x14ac:dyDescent="0.25">
      <c r="A160" s="2" t="s">
        <v>3162</v>
      </c>
      <c r="B160" s="2" t="s">
        <v>3163</v>
      </c>
      <c r="C160" s="2" t="s">
        <v>52</v>
      </c>
      <c r="D160" s="2" t="s">
        <v>3159</v>
      </c>
      <c r="E160">
        <v>30.58</v>
      </c>
      <c r="F160">
        <v>52.54</v>
      </c>
      <c r="G160">
        <v>5.82</v>
      </c>
      <c r="H160">
        <v>2.9</v>
      </c>
      <c r="I160" s="2" t="s">
        <v>2809</v>
      </c>
    </row>
    <row r="161" spans="1:9" x14ac:dyDescent="0.25">
      <c r="A161" s="2" t="s">
        <v>3164</v>
      </c>
      <c r="B161" s="2" t="s">
        <v>3165</v>
      </c>
      <c r="C161" s="2" t="s">
        <v>52</v>
      </c>
      <c r="D161" s="2" t="s">
        <v>3159</v>
      </c>
      <c r="E161">
        <v>23.51</v>
      </c>
      <c r="F161">
        <v>58.97</v>
      </c>
      <c r="G161">
        <v>6.22</v>
      </c>
      <c r="H161">
        <v>3.4</v>
      </c>
      <c r="I161" s="2" t="s">
        <v>2806</v>
      </c>
    </row>
    <row r="162" spans="1:9" x14ac:dyDescent="0.25">
      <c r="A162" s="2" t="s">
        <v>3166</v>
      </c>
      <c r="B162" s="2" t="s">
        <v>3167</v>
      </c>
      <c r="C162" s="2" t="s">
        <v>52</v>
      </c>
      <c r="D162" s="2" t="s">
        <v>3159</v>
      </c>
      <c r="E162">
        <v>38.53</v>
      </c>
      <c r="F162">
        <v>124.51</v>
      </c>
      <c r="G162">
        <v>5.98</v>
      </c>
      <c r="H162">
        <v>3.1</v>
      </c>
      <c r="I162" s="2" t="s">
        <v>2812</v>
      </c>
    </row>
    <row r="163" spans="1:9" x14ac:dyDescent="0.25">
      <c r="A163" s="2" t="s">
        <v>3168</v>
      </c>
      <c r="B163" s="2" t="s">
        <v>3169</v>
      </c>
      <c r="C163" s="2" t="s">
        <v>52</v>
      </c>
      <c r="D163" s="2" t="s">
        <v>3159</v>
      </c>
      <c r="E163">
        <v>35.81</v>
      </c>
      <c r="F163">
        <v>72.56</v>
      </c>
      <c r="G163">
        <v>8.6999999999999993</v>
      </c>
      <c r="H163">
        <v>6.5</v>
      </c>
      <c r="I163" s="2" t="s">
        <v>2828</v>
      </c>
    </row>
    <row r="164" spans="1:9" x14ac:dyDescent="0.25">
      <c r="A164" s="2" t="s">
        <v>3170</v>
      </c>
      <c r="B164" s="2" t="s">
        <v>3171</v>
      </c>
      <c r="C164" s="2" t="s">
        <v>52</v>
      </c>
      <c r="D164" s="2" t="s">
        <v>3172</v>
      </c>
      <c r="E164">
        <v>16.62</v>
      </c>
      <c r="F164">
        <v>29.5</v>
      </c>
      <c r="G164">
        <v>11.74</v>
      </c>
      <c r="H164">
        <v>10.3</v>
      </c>
      <c r="I164" s="2" t="s">
        <v>2822</v>
      </c>
    </row>
    <row r="165" spans="1:9" x14ac:dyDescent="0.25">
      <c r="A165" s="2" t="s">
        <v>3173</v>
      </c>
      <c r="B165" s="2" t="s">
        <v>3174</v>
      </c>
      <c r="C165" s="2" t="s">
        <v>52</v>
      </c>
      <c r="D165" s="2" t="s">
        <v>3172</v>
      </c>
      <c r="E165">
        <v>23.99</v>
      </c>
      <c r="F165">
        <v>45.27</v>
      </c>
      <c r="G165">
        <v>12.78</v>
      </c>
      <c r="H165">
        <v>11.6</v>
      </c>
      <c r="I165" s="2" t="s">
        <v>2806</v>
      </c>
    </row>
    <row r="166" spans="1:9" x14ac:dyDescent="0.25">
      <c r="A166" s="2" t="s">
        <v>3175</v>
      </c>
      <c r="B166" s="2" t="s">
        <v>3176</v>
      </c>
      <c r="C166" s="2" t="s">
        <v>52</v>
      </c>
      <c r="D166" s="2" t="s">
        <v>3172</v>
      </c>
      <c r="E166">
        <v>37.65</v>
      </c>
      <c r="F166">
        <v>82.29</v>
      </c>
      <c r="G166">
        <v>13.02</v>
      </c>
      <c r="H166">
        <v>11.9</v>
      </c>
      <c r="I166" s="2" t="s">
        <v>2812</v>
      </c>
    </row>
    <row r="167" spans="1:9" x14ac:dyDescent="0.25">
      <c r="A167" s="2" t="s">
        <v>3177</v>
      </c>
      <c r="B167" s="2" t="s">
        <v>3178</v>
      </c>
      <c r="C167" s="2" t="s">
        <v>52</v>
      </c>
      <c r="D167" s="2" t="s">
        <v>3172</v>
      </c>
      <c r="E167">
        <v>5.71</v>
      </c>
      <c r="F167">
        <v>11.84</v>
      </c>
      <c r="G167">
        <v>11.5</v>
      </c>
      <c r="H167">
        <v>10</v>
      </c>
      <c r="I167" s="2" t="s">
        <v>2806</v>
      </c>
    </row>
    <row r="168" spans="1:9" x14ac:dyDescent="0.25">
      <c r="A168" s="2" t="s">
        <v>3179</v>
      </c>
      <c r="B168" s="2" t="s">
        <v>3180</v>
      </c>
      <c r="C168" s="2" t="s">
        <v>52</v>
      </c>
      <c r="D168" s="2" t="s">
        <v>3172</v>
      </c>
      <c r="E168">
        <v>25.97</v>
      </c>
      <c r="F168">
        <v>84.04</v>
      </c>
      <c r="G168">
        <v>4.22</v>
      </c>
      <c r="H168">
        <v>0.9</v>
      </c>
      <c r="I168" s="2" t="s">
        <v>2822</v>
      </c>
    </row>
    <row r="169" spans="1:9" x14ac:dyDescent="0.25">
      <c r="A169" s="2" t="s">
        <v>3181</v>
      </c>
      <c r="B169" s="2" t="s">
        <v>3182</v>
      </c>
      <c r="C169" s="2" t="s">
        <v>52</v>
      </c>
      <c r="D169" s="2" t="s">
        <v>3183</v>
      </c>
      <c r="E169">
        <v>4.57</v>
      </c>
      <c r="F169">
        <v>14.74</v>
      </c>
      <c r="G169">
        <v>5.58</v>
      </c>
      <c r="H169">
        <v>2.6</v>
      </c>
      <c r="I169" s="2" t="s">
        <v>2828</v>
      </c>
    </row>
    <row r="170" spans="1:9" x14ac:dyDescent="0.25">
      <c r="A170" s="2" t="s">
        <v>3184</v>
      </c>
      <c r="B170" s="2" t="s">
        <v>3185</v>
      </c>
      <c r="C170" s="2" t="s">
        <v>52</v>
      </c>
      <c r="D170" s="2" t="s">
        <v>3183</v>
      </c>
      <c r="E170">
        <v>26.68</v>
      </c>
      <c r="F170">
        <v>90.83</v>
      </c>
      <c r="G170">
        <v>15.42</v>
      </c>
      <c r="H170">
        <v>14.9</v>
      </c>
      <c r="I170" s="2" t="s">
        <v>2809</v>
      </c>
    </row>
    <row r="171" spans="1:9" x14ac:dyDescent="0.25">
      <c r="A171" s="2" t="s">
        <v>3186</v>
      </c>
      <c r="B171" s="2" t="s">
        <v>3187</v>
      </c>
      <c r="C171" s="2" t="s">
        <v>52</v>
      </c>
      <c r="D171" s="2" t="s">
        <v>3183</v>
      </c>
      <c r="E171">
        <v>6.83</v>
      </c>
      <c r="F171">
        <v>19.95</v>
      </c>
      <c r="G171">
        <v>4.46</v>
      </c>
      <c r="H171">
        <v>1.2</v>
      </c>
      <c r="I171" s="2" t="s">
        <v>2812</v>
      </c>
    </row>
    <row r="172" spans="1:9" x14ac:dyDescent="0.25">
      <c r="A172" s="2" t="s">
        <v>3188</v>
      </c>
      <c r="B172" s="2" t="s">
        <v>3189</v>
      </c>
      <c r="C172" s="2" t="s">
        <v>52</v>
      </c>
      <c r="D172" s="2" t="s">
        <v>3183</v>
      </c>
      <c r="E172">
        <v>20.72</v>
      </c>
      <c r="F172">
        <v>57.29</v>
      </c>
      <c r="G172">
        <v>13.18</v>
      </c>
      <c r="H172">
        <v>12.1</v>
      </c>
      <c r="I172" s="2" t="s">
        <v>2806</v>
      </c>
    </row>
    <row r="173" spans="1:9" x14ac:dyDescent="0.25">
      <c r="A173" s="2" t="s">
        <v>3190</v>
      </c>
      <c r="B173" s="2" t="s">
        <v>3191</v>
      </c>
      <c r="C173" s="2" t="s">
        <v>52</v>
      </c>
      <c r="D173" s="2" t="s">
        <v>3183</v>
      </c>
      <c r="E173">
        <v>34.479999999999997</v>
      </c>
      <c r="F173">
        <v>75.84</v>
      </c>
      <c r="G173">
        <v>12.3</v>
      </c>
      <c r="H173">
        <v>11</v>
      </c>
      <c r="I173" s="2" t="s">
        <v>2806</v>
      </c>
    </row>
    <row r="174" spans="1:9" x14ac:dyDescent="0.25">
      <c r="A174" s="2" t="s">
        <v>3192</v>
      </c>
      <c r="B174" s="2" t="s">
        <v>3193</v>
      </c>
      <c r="C174" s="2" t="s">
        <v>52</v>
      </c>
      <c r="D174" s="2" t="s">
        <v>3194</v>
      </c>
      <c r="E174">
        <v>20.88</v>
      </c>
      <c r="F174">
        <v>69.12</v>
      </c>
      <c r="G174">
        <v>9.1</v>
      </c>
      <c r="H174">
        <v>7</v>
      </c>
      <c r="I174" s="2" t="s">
        <v>2828</v>
      </c>
    </row>
    <row r="175" spans="1:9" x14ac:dyDescent="0.25">
      <c r="A175" s="2" t="s">
        <v>3195</v>
      </c>
      <c r="B175" s="2" t="s">
        <v>3196</v>
      </c>
      <c r="C175" s="2" t="s">
        <v>52</v>
      </c>
      <c r="D175" s="2" t="s">
        <v>3194</v>
      </c>
      <c r="E175">
        <v>37.200000000000003</v>
      </c>
      <c r="F175">
        <v>94.27</v>
      </c>
      <c r="G175">
        <v>7.98</v>
      </c>
      <c r="H175">
        <v>5.6</v>
      </c>
      <c r="I175" s="2" t="s">
        <v>2822</v>
      </c>
    </row>
    <row r="176" spans="1:9" x14ac:dyDescent="0.25">
      <c r="A176" s="2" t="s">
        <v>3197</v>
      </c>
      <c r="B176" s="2" t="s">
        <v>3198</v>
      </c>
      <c r="C176" s="2" t="s">
        <v>52</v>
      </c>
      <c r="D176" s="2" t="s">
        <v>3194</v>
      </c>
      <c r="E176">
        <v>19.21</v>
      </c>
      <c r="F176">
        <v>46.8</v>
      </c>
      <c r="G176">
        <v>9.9</v>
      </c>
      <c r="H176">
        <v>8</v>
      </c>
      <c r="I176" s="2" t="s">
        <v>2822</v>
      </c>
    </row>
    <row r="177" spans="1:9" x14ac:dyDescent="0.25">
      <c r="A177" s="2" t="s">
        <v>3199</v>
      </c>
      <c r="B177" s="2" t="s">
        <v>3200</v>
      </c>
      <c r="C177" s="2" t="s">
        <v>52</v>
      </c>
      <c r="D177" s="2" t="s">
        <v>3194</v>
      </c>
      <c r="E177">
        <v>22.41</v>
      </c>
      <c r="F177">
        <v>73.680000000000007</v>
      </c>
      <c r="G177">
        <v>8.86</v>
      </c>
      <c r="H177">
        <v>6.7</v>
      </c>
      <c r="I177" s="2" t="s">
        <v>2822</v>
      </c>
    </row>
    <row r="178" spans="1:9" x14ac:dyDescent="0.25">
      <c r="A178" s="2" t="s">
        <v>3201</v>
      </c>
      <c r="B178" s="2" t="s">
        <v>3202</v>
      </c>
      <c r="C178" s="2" t="s">
        <v>52</v>
      </c>
      <c r="D178" s="2" t="s">
        <v>3203</v>
      </c>
      <c r="E178">
        <v>36.479999999999997</v>
      </c>
      <c r="F178">
        <v>100.66</v>
      </c>
      <c r="G178">
        <v>10.46</v>
      </c>
      <c r="H178">
        <v>8.6999999999999993</v>
      </c>
      <c r="I178" s="2" t="s">
        <v>2812</v>
      </c>
    </row>
    <row r="179" spans="1:9" x14ac:dyDescent="0.25">
      <c r="A179" s="2" t="s">
        <v>3204</v>
      </c>
      <c r="B179" s="2" t="s">
        <v>3205</v>
      </c>
      <c r="C179" s="2" t="s">
        <v>52</v>
      </c>
      <c r="D179" s="2" t="s">
        <v>3203</v>
      </c>
      <c r="E179">
        <v>11.55</v>
      </c>
      <c r="F179">
        <v>37.81</v>
      </c>
      <c r="G179">
        <v>5.74</v>
      </c>
      <c r="H179">
        <v>2.8</v>
      </c>
      <c r="I179" s="2" t="s">
        <v>2822</v>
      </c>
    </row>
    <row r="180" spans="1:9" x14ac:dyDescent="0.25">
      <c r="A180" s="2" t="s">
        <v>3206</v>
      </c>
      <c r="B180" s="2" t="s">
        <v>3207</v>
      </c>
      <c r="C180" s="2" t="s">
        <v>52</v>
      </c>
      <c r="D180" s="2" t="s">
        <v>3203</v>
      </c>
      <c r="E180">
        <v>22.4</v>
      </c>
      <c r="F180">
        <v>74.59</v>
      </c>
      <c r="G180">
        <v>12.3</v>
      </c>
      <c r="H180">
        <v>11</v>
      </c>
      <c r="I180" s="2" t="s">
        <v>2806</v>
      </c>
    </row>
    <row r="181" spans="1:9" x14ac:dyDescent="0.25">
      <c r="A181" s="2" t="s">
        <v>3208</v>
      </c>
      <c r="B181" s="2" t="s">
        <v>3209</v>
      </c>
      <c r="C181" s="2" t="s">
        <v>52</v>
      </c>
      <c r="D181" s="2" t="s">
        <v>3203</v>
      </c>
      <c r="E181">
        <v>31.76</v>
      </c>
      <c r="F181">
        <v>63.63</v>
      </c>
      <c r="G181">
        <v>8.3800000000000008</v>
      </c>
      <c r="H181">
        <v>6.1</v>
      </c>
      <c r="I181" s="2" t="s">
        <v>2822</v>
      </c>
    </row>
    <row r="182" spans="1:9" x14ac:dyDescent="0.25">
      <c r="A182" s="2" t="s">
        <v>3210</v>
      </c>
      <c r="B182" s="2" t="s">
        <v>3211</v>
      </c>
      <c r="C182" s="2" t="s">
        <v>52</v>
      </c>
      <c r="D182" s="2" t="s">
        <v>3203</v>
      </c>
      <c r="E182">
        <v>12.13</v>
      </c>
      <c r="F182">
        <v>27.88</v>
      </c>
      <c r="G182">
        <v>11.18</v>
      </c>
      <c r="H182">
        <v>9.6</v>
      </c>
      <c r="I182" s="2" t="s">
        <v>2822</v>
      </c>
    </row>
    <row r="183" spans="1:9" x14ac:dyDescent="0.25">
      <c r="A183" s="2" t="s">
        <v>3212</v>
      </c>
      <c r="B183" s="2" t="s">
        <v>3213</v>
      </c>
      <c r="C183" s="2" t="s">
        <v>74</v>
      </c>
      <c r="D183" s="2" t="s">
        <v>3214</v>
      </c>
      <c r="E183">
        <v>20.66</v>
      </c>
      <c r="F183">
        <v>29.57</v>
      </c>
      <c r="G183">
        <v>12.14</v>
      </c>
      <c r="H183">
        <v>10.8</v>
      </c>
      <c r="I183" s="2" t="s">
        <v>2809</v>
      </c>
    </row>
    <row r="184" spans="1:9" x14ac:dyDescent="0.25">
      <c r="A184" s="2" t="s">
        <v>3215</v>
      </c>
      <c r="B184" s="2" t="s">
        <v>3216</v>
      </c>
      <c r="C184" s="2" t="s">
        <v>74</v>
      </c>
      <c r="D184" s="2" t="s">
        <v>3214</v>
      </c>
      <c r="E184">
        <v>3.71</v>
      </c>
      <c r="F184">
        <v>11.52</v>
      </c>
      <c r="G184">
        <v>7.58</v>
      </c>
      <c r="H184">
        <v>5.0999999999999996</v>
      </c>
      <c r="I184" s="2" t="s">
        <v>2828</v>
      </c>
    </row>
    <row r="185" spans="1:9" x14ac:dyDescent="0.25">
      <c r="A185" s="2" t="s">
        <v>3217</v>
      </c>
      <c r="B185" s="2" t="s">
        <v>3218</v>
      </c>
      <c r="C185" s="2" t="s">
        <v>74</v>
      </c>
      <c r="D185" s="2" t="s">
        <v>3214</v>
      </c>
      <c r="E185">
        <v>37.79</v>
      </c>
      <c r="F185">
        <v>86.62</v>
      </c>
      <c r="G185">
        <v>7.58</v>
      </c>
      <c r="H185">
        <v>5.0999999999999996</v>
      </c>
      <c r="I185" s="2" t="s">
        <v>2822</v>
      </c>
    </row>
    <row r="186" spans="1:9" x14ac:dyDescent="0.25">
      <c r="A186" s="2" t="s">
        <v>3219</v>
      </c>
      <c r="B186" s="2" t="s">
        <v>3220</v>
      </c>
      <c r="C186" s="2" t="s">
        <v>74</v>
      </c>
      <c r="D186" s="2" t="s">
        <v>3221</v>
      </c>
      <c r="E186">
        <v>36.340000000000003</v>
      </c>
      <c r="F186">
        <v>111.44</v>
      </c>
      <c r="G186">
        <v>9.02</v>
      </c>
      <c r="H186">
        <v>6.9</v>
      </c>
      <c r="I186" s="2" t="s">
        <v>2828</v>
      </c>
    </row>
    <row r="187" spans="1:9" x14ac:dyDescent="0.25">
      <c r="A187" s="2" t="s">
        <v>3222</v>
      </c>
      <c r="B187" s="2" t="s">
        <v>3223</v>
      </c>
      <c r="C187" s="2" t="s">
        <v>74</v>
      </c>
      <c r="D187" s="2" t="s">
        <v>3221</v>
      </c>
      <c r="E187">
        <v>34.07</v>
      </c>
      <c r="F187">
        <v>48.08</v>
      </c>
      <c r="G187">
        <v>15.26</v>
      </c>
      <c r="H187">
        <v>14.7</v>
      </c>
      <c r="I187" s="2" t="s">
        <v>2812</v>
      </c>
    </row>
    <row r="188" spans="1:9" x14ac:dyDescent="0.25">
      <c r="A188" s="2" t="s">
        <v>3224</v>
      </c>
      <c r="B188" s="2" t="s">
        <v>3225</v>
      </c>
      <c r="C188" s="2" t="s">
        <v>74</v>
      </c>
      <c r="D188" s="2" t="s">
        <v>3221</v>
      </c>
      <c r="E188">
        <v>3.49</v>
      </c>
      <c r="F188">
        <v>9.48</v>
      </c>
      <c r="G188">
        <v>13.1</v>
      </c>
      <c r="H188">
        <v>12</v>
      </c>
      <c r="I188" s="2" t="s">
        <v>2828</v>
      </c>
    </row>
    <row r="189" spans="1:9" x14ac:dyDescent="0.25">
      <c r="A189" s="2" t="s">
        <v>3226</v>
      </c>
      <c r="B189" s="2" t="s">
        <v>3227</v>
      </c>
      <c r="C189" s="2" t="s">
        <v>74</v>
      </c>
      <c r="D189" s="2" t="s">
        <v>3221</v>
      </c>
      <c r="E189">
        <v>37.840000000000003</v>
      </c>
      <c r="F189">
        <v>111.64</v>
      </c>
      <c r="G189">
        <v>14.22</v>
      </c>
      <c r="H189">
        <v>13.4</v>
      </c>
      <c r="I189" s="2" t="s">
        <v>2812</v>
      </c>
    </row>
    <row r="190" spans="1:9" x14ac:dyDescent="0.25">
      <c r="A190" s="2" t="s">
        <v>3228</v>
      </c>
      <c r="B190" s="2" t="s">
        <v>3229</v>
      </c>
      <c r="C190" s="2" t="s">
        <v>74</v>
      </c>
      <c r="D190" s="2" t="s">
        <v>3221</v>
      </c>
      <c r="E190">
        <v>21.84</v>
      </c>
      <c r="F190">
        <v>41.34</v>
      </c>
      <c r="G190">
        <v>11.18</v>
      </c>
      <c r="H190">
        <v>9.6</v>
      </c>
      <c r="I190" s="2" t="s">
        <v>2806</v>
      </c>
    </row>
    <row r="191" spans="1:9" x14ac:dyDescent="0.25">
      <c r="A191" s="2" t="s">
        <v>3230</v>
      </c>
      <c r="B191" s="2" t="s">
        <v>3231</v>
      </c>
      <c r="C191" s="2" t="s">
        <v>74</v>
      </c>
      <c r="D191" s="2" t="s">
        <v>3232</v>
      </c>
      <c r="E191">
        <v>10.44</v>
      </c>
      <c r="F191">
        <v>35.64</v>
      </c>
      <c r="G191">
        <v>13.18</v>
      </c>
      <c r="H191">
        <v>12.1</v>
      </c>
      <c r="I191" s="2" t="s">
        <v>2806</v>
      </c>
    </row>
    <row r="192" spans="1:9" x14ac:dyDescent="0.25">
      <c r="A192" s="2" t="s">
        <v>3233</v>
      </c>
      <c r="B192" s="2" t="s">
        <v>3234</v>
      </c>
      <c r="C192" s="2" t="s">
        <v>74</v>
      </c>
      <c r="D192" s="2" t="s">
        <v>3232</v>
      </c>
      <c r="E192">
        <v>32.229999999999997</v>
      </c>
      <c r="F192">
        <v>79.489999999999995</v>
      </c>
      <c r="G192">
        <v>13.82</v>
      </c>
      <c r="H192">
        <v>12.9</v>
      </c>
      <c r="I192" s="2" t="s">
        <v>2809</v>
      </c>
    </row>
    <row r="193" spans="1:9" x14ac:dyDescent="0.25">
      <c r="A193" s="2" t="s">
        <v>3235</v>
      </c>
      <c r="B193" s="2" t="s">
        <v>3236</v>
      </c>
      <c r="C193" s="2" t="s">
        <v>74</v>
      </c>
      <c r="D193" s="2" t="s">
        <v>3232</v>
      </c>
      <c r="E193">
        <v>8.3000000000000007</v>
      </c>
      <c r="F193">
        <v>28.96</v>
      </c>
      <c r="G193">
        <v>9.02</v>
      </c>
      <c r="H193">
        <v>6.9</v>
      </c>
      <c r="I193" s="2" t="s">
        <v>2806</v>
      </c>
    </row>
    <row r="194" spans="1:9" x14ac:dyDescent="0.25">
      <c r="A194" s="2" t="s">
        <v>3237</v>
      </c>
      <c r="B194" s="2" t="s">
        <v>3238</v>
      </c>
      <c r="C194" s="2" t="s">
        <v>74</v>
      </c>
      <c r="D194" s="2" t="s">
        <v>3239</v>
      </c>
      <c r="E194">
        <v>23.14</v>
      </c>
      <c r="F194">
        <v>52.69</v>
      </c>
      <c r="G194">
        <v>5.82</v>
      </c>
      <c r="H194">
        <v>2.9</v>
      </c>
      <c r="I194" s="2" t="s">
        <v>2822</v>
      </c>
    </row>
    <row r="195" spans="1:9" x14ac:dyDescent="0.25">
      <c r="A195" s="2" t="s">
        <v>3240</v>
      </c>
      <c r="B195" s="2" t="s">
        <v>3241</v>
      </c>
      <c r="C195" s="2" t="s">
        <v>74</v>
      </c>
      <c r="D195" s="2" t="s">
        <v>3239</v>
      </c>
      <c r="E195">
        <v>37.85</v>
      </c>
      <c r="F195">
        <v>110.36</v>
      </c>
      <c r="G195">
        <v>5.0999999999999996</v>
      </c>
      <c r="H195">
        <v>2</v>
      </c>
      <c r="I195" s="2" t="s">
        <v>2812</v>
      </c>
    </row>
    <row r="196" spans="1:9" x14ac:dyDescent="0.25">
      <c r="A196" s="2" t="s">
        <v>3242</v>
      </c>
      <c r="B196" s="2" t="s">
        <v>3243</v>
      </c>
      <c r="C196" s="2" t="s">
        <v>74</v>
      </c>
      <c r="D196" s="2" t="s">
        <v>3239</v>
      </c>
      <c r="E196">
        <v>33.950000000000003</v>
      </c>
      <c r="F196">
        <v>115.09</v>
      </c>
      <c r="G196">
        <v>8.2200000000000006</v>
      </c>
      <c r="H196">
        <v>5.9</v>
      </c>
      <c r="I196" s="2" t="s">
        <v>2822</v>
      </c>
    </row>
    <row r="197" spans="1:9" x14ac:dyDescent="0.25">
      <c r="A197" s="2" t="s">
        <v>3244</v>
      </c>
      <c r="B197" s="2" t="s">
        <v>3245</v>
      </c>
      <c r="C197" s="2" t="s">
        <v>74</v>
      </c>
      <c r="D197" s="2" t="s">
        <v>3239</v>
      </c>
      <c r="E197">
        <v>8.24</v>
      </c>
      <c r="F197">
        <v>27.84</v>
      </c>
      <c r="G197">
        <v>7.42</v>
      </c>
      <c r="H197">
        <v>4.9000000000000004</v>
      </c>
      <c r="I197" s="2" t="s">
        <v>2812</v>
      </c>
    </row>
    <row r="198" spans="1:9" x14ac:dyDescent="0.25">
      <c r="A198" s="2" t="s">
        <v>3246</v>
      </c>
      <c r="B198" s="2" t="s">
        <v>3247</v>
      </c>
      <c r="C198" s="2" t="s">
        <v>74</v>
      </c>
      <c r="D198" s="2" t="s">
        <v>3239</v>
      </c>
      <c r="E198">
        <v>36.72</v>
      </c>
      <c r="F198">
        <v>85.06</v>
      </c>
      <c r="G198">
        <v>11.82</v>
      </c>
      <c r="H198">
        <v>10.4</v>
      </c>
      <c r="I198" s="2" t="s">
        <v>2828</v>
      </c>
    </row>
    <row r="199" spans="1:9" x14ac:dyDescent="0.25">
      <c r="A199" s="2" t="s">
        <v>3248</v>
      </c>
      <c r="B199" s="2" t="s">
        <v>3249</v>
      </c>
      <c r="C199" s="2" t="s">
        <v>74</v>
      </c>
      <c r="D199" s="2" t="s">
        <v>3239</v>
      </c>
      <c r="E199">
        <v>5.64</v>
      </c>
      <c r="F199">
        <v>18.440000000000001</v>
      </c>
      <c r="G199">
        <v>4.62</v>
      </c>
      <c r="H199">
        <v>1.4</v>
      </c>
      <c r="I199" s="2" t="s">
        <v>2812</v>
      </c>
    </row>
    <row r="200" spans="1:9" x14ac:dyDescent="0.25">
      <c r="A200" s="2" t="s">
        <v>3250</v>
      </c>
      <c r="B200" s="2" t="s">
        <v>3251</v>
      </c>
      <c r="C200" s="2" t="s">
        <v>74</v>
      </c>
      <c r="D200" s="2" t="s">
        <v>3252</v>
      </c>
      <c r="E200">
        <v>23.44</v>
      </c>
      <c r="F200">
        <v>66.05</v>
      </c>
      <c r="G200">
        <v>14.86</v>
      </c>
      <c r="H200">
        <v>14.2</v>
      </c>
      <c r="I200" s="2" t="s">
        <v>2812</v>
      </c>
    </row>
    <row r="201" spans="1:9" x14ac:dyDescent="0.25">
      <c r="A201" s="2" t="s">
        <v>3253</v>
      </c>
      <c r="B201" s="2" t="s">
        <v>3254</v>
      </c>
      <c r="C201" s="2" t="s">
        <v>74</v>
      </c>
      <c r="D201" s="2" t="s">
        <v>3252</v>
      </c>
      <c r="E201">
        <v>38.64</v>
      </c>
      <c r="F201">
        <v>129.80000000000001</v>
      </c>
      <c r="G201">
        <v>3.82</v>
      </c>
      <c r="H201">
        <v>0.4</v>
      </c>
      <c r="I201" s="2" t="s">
        <v>2806</v>
      </c>
    </row>
    <row r="202" spans="1:9" x14ac:dyDescent="0.25">
      <c r="A202" s="2" t="s">
        <v>3255</v>
      </c>
      <c r="B202" s="2" t="s">
        <v>3256</v>
      </c>
      <c r="C202" s="2" t="s">
        <v>74</v>
      </c>
      <c r="D202" s="2" t="s">
        <v>3252</v>
      </c>
      <c r="E202">
        <v>10.69</v>
      </c>
      <c r="F202">
        <v>16.329999999999998</v>
      </c>
      <c r="G202">
        <v>11.66</v>
      </c>
      <c r="H202">
        <v>10.199999999999999</v>
      </c>
      <c r="I202" s="2" t="s">
        <v>2828</v>
      </c>
    </row>
    <row r="203" spans="1:9" x14ac:dyDescent="0.25">
      <c r="A203" s="2" t="s">
        <v>3257</v>
      </c>
      <c r="B203" s="2" t="s">
        <v>3258</v>
      </c>
      <c r="C203" s="2" t="s">
        <v>74</v>
      </c>
      <c r="D203" s="2" t="s">
        <v>3252</v>
      </c>
      <c r="E203">
        <v>18.739999999999998</v>
      </c>
      <c r="F203">
        <v>50.95</v>
      </c>
      <c r="G203">
        <v>14.38</v>
      </c>
      <c r="H203">
        <v>13.6</v>
      </c>
      <c r="I203" s="2" t="s">
        <v>2828</v>
      </c>
    </row>
    <row r="204" spans="1:9" x14ac:dyDescent="0.25">
      <c r="A204" s="2" t="s">
        <v>3259</v>
      </c>
      <c r="B204" s="2" t="s">
        <v>3260</v>
      </c>
      <c r="C204" s="2" t="s">
        <v>74</v>
      </c>
      <c r="D204" s="2" t="s">
        <v>3252</v>
      </c>
      <c r="E204">
        <v>19.989999999999998</v>
      </c>
      <c r="F204">
        <v>32.04</v>
      </c>
      <c r="G204">
        <v>14.22</v>
      </c>
      <c r="H204">
        <v>13.4</v>
      </c>
      <c r="I204" s="2" t="s">
        <v>2812</v>
      </c>
    </row>
    <row r="205" spans="1:9" x14ac:dyDescent="0.25">
      <c r="A205" s="2" t="s">
        <v>3261</v>
      </c>
      <c r="B205" s="2" t="s">
        <v>3262</v>
      </c>
      <c r="C205" s="2" t="s">
        <v>74</v>
      </c>
      <c r="D205" s="2" t="s">
        <v>3263</v>
      </c>
      <c r="E205">
        <v>13.64</v>
      </c>
      <c r="F205">
        <v>27.16</v>
      </c>
      <c r="G205">
        <v>11.34</v>
      </c>
      <c r="H205">
        <v>9.8000000000000007</v>
      </c>
      <c r="I205" s="2" t="s">
        <v>2809</v>
      </c>
    </row>
    <row r="206" spans="1:9" x14ac:dyDescent="0.25">
      <c r="A206" s="2" t="s">
        <v>3264</v>
      </c>
      <c r="B206" s="2" t="s">
        <v>3265</v>
      </c>
      <c r="C206" s="2" t="s">
        <v>74</v>
      </c>
      <c r="D206" s="2" t="s">
        <v>3263</v>
      </c>
      <c r="E206">
        <v>8.4700000000000006</v>
      </c>
      <c r="F206">
        <v>19.41</v>
      </c>
      <c r="G206">
        <v>12.7</v>
      </c>
      <c r="H206">
        <v>11.5</v>
      </c>
      <c r="I206" s="2" t="s">
        <v>2828</v>
      </c>
    </row>
    <row r="207" spans="1:9" x14ac:dyDescent="0.25">
      <c r="A207" s="2" t="s">
        <v>3266</v>
      </c>
      <c r="B207" s="2" t="s">
        <v>3267</v>
      </c>
      <c r="C207" s="2" t="s">
        <v>74</v>
      </c>
      <c r="D207" s="2" t="s">
        <v>3263</v>
      </c>
      <c r="E207">
        <v>39.68</v>
      </c>
      <c r="F207">
        <v>136.04</v>
      </c>
      <c r="G207">
        <v>6.3</v>
      </c>
      <c r="H207">
        <v>3.5</v>
      </c>
      <c r="I207" s="2" t="s">
        <v>2828</v>
      </c>
    </row>
    <row r="208" spans="1:9" x14ac:dyDescent="0.25">
      <c r="A208" s="2" t="s">
        <v>3268</v>
      </c>
      <c r="B208" s="2" t="s">
        <v>3269</v>
      </c>
      <c r="C208" s="2" t="s">
        <v>74</v>
      </c>
      <c r="D208" s="2" t="s">
        <v>3263</v>
      </c>
      <c r="E208">
        <v>37.28</v>
      </c>
      <c r="F208">
        <v>63.96</v>
      </c>
      <c r="G208">
        <v>11.42</v>
      </c>
      <c r="H208">
        <v>9.9</v>
      </c>
      <c r="I208" s="2" t="s">
        <v>2812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9570-1520-4806-A6D2-397AF11F3386}">
  <dimension ref="A3:D13"/>
  <sheetViews>
    <sheetView workbookViewId="0">
      <selection activeCell="G12" sqref="G12"/>
    </sheetView>
  </sheetViews>
  <sheetFormatPr defaultRowHeight="15" x14ac:dyDescent="0.25"/>
  <cols>
    <col min="1" max="1" width="16.140625" bestFit="1" customWidth="1"/>
    <col min="2" max="2" width="19.28515625" bestFit="1" customWidth="1"/>
    <col min="3" max="3" width="12.5703125" bestFit="1" customWidth="1"/>
    <col min="4" max="4" width="17.85546875" bestFit="1" customWidth="1"/>
  </cols>
  <sheetData>
    <row r="3" spans="1:4" x14ac:dyDescent="0.25">
      <c r="A3" s="3" t="s">
        <v>3271</v>
      </c>
      <c r="B3" t="s">
        <v>3274</v>
      </c>
      <c r="C3" t="s">
        <v>3275</v>
      </c>
      <c r="D3" s="5" t="s">
        <v>3276</v>
      </c>
    </row>
    <row r="4" spans="1:4" x14ac:dyDescent="0.25">
      <c r="A4" s="4" t="s">
        <v>48</v>
      </c>
      <c r="B4" s="2">
        <v>18254.070000000007</v>
      </c>
      <c r="C4" s="2">
        <v>3174.8800000000024</v>
      </c>
      <c r="D4" s="5">
        <v>0.17392723924034481</v>
      </c>
    </row>
    <row r="5" spans="1:4" x14ac:dyDescent="0.25">
      <c r="A5" s="4" t="s">
        <v>77</v>
      </c>
      <c r="B5" s="2">
        <v>18847.370000000014</v>
      </c>
      <c r="C5" s="2">
        <v>2249.79</v>
      </c>
      <c r="D5" s="5">
        <v>0.11936890929609799</v>
      </c>
    </row>
    <row r="6" spans="1:4" x14ac:dyDescent="0.25">
      <c r="A6" s="4" t="s">
        <v>64</v>
      </c>
      <c r="B6" s="2">
        <v>31383.129999999983</v>
      </c>
      <c r="C6" s="2">
        <v>6272.4799999999941</v>
      </c>
      <c r="D6" s="5">
        <v>0.19986789080630255</v>
      </c>
    </row>
    <row r="7" spans="1:4" x14ac:dyDescent="0.25">
      <c r="A7" s="4" t="s">
        <v>41</v>
      </c>
      <c r="B7" s="2">
        <v>44885.84</v>
      </c>
      <c r="C7" s="2">
        <v>13973.459999999997</v>
      </c>
      <c r="D7" s="5">
        <v>0.3113110949912043</v>
      </c>
    </row>
    <row r="8" spans="1:4" x14ac:dyDescent="0.25">
      <c r="A8" s="4" t="s">
        <v>74</v>
      </c>
      <c r="B8" s="2">
        <v>30662.690000000013</v>
      </c>
      <c r="C8" s="2">
        <v>7591.7699999999977</v>
      </c>
      <c r="D8" s="5">
        <v>0.24758982333252544</v>
      </c>
    </row>
    <row r="9" spans="1:4" x14ac:dyDescent="0.25">
      <c r="A9" s="4" t="s">
        <v>111</v>
      </c>
      <c r="B9" s="2">
        <v>26359.760000000009</v>
      </c>
      <c r="C9" s="2">
        <v>6688.57</v>
      </c>
      <c r="D9" s="5">
        <v>0.25374168808820707</v>
      </c>
    </row>
    <row r="10" spans="1:4" x14ac:dyDescent="0.25">
      <c r="A10" s="4" t="s">
        <v>56</v>
      </c>
      <c r="B10" s="2">
        <v>32329.829999999998</v>
      </c>
      <c r="C10" s="2">
        <v>7596.6299999999937</v>
      </c>
      <c r="D10" s="5">
        <v>0.23497277900935434</v>
      </c>
    </row>
    <row r="11" spans="1:4" x14ac:dyDescent="0.25">
      <c r="A11" s="4" t="s">
        <v>52</v>
      </c>
      <c r="B11" s="2">
        <v>33595.680000000008</v>
      </c>
      <c r="C11" s="2">
        <v>8786.2500000000018</v>
      </c>
      <c r="D11" s="5">
        <v>0.2615291608921147</v>
      </c>
    </row>
    <row r="12" spans="1:4" x14ac:dyDescent="0.25">
      <c r="A12" s="4" t="s">
        <v>3272</v>
      </c>
      <c r="B12" s="2"/>
      <c r="C12" s="2"/>
      <c r="D12" s="5" t="e">
        <v>#DIV/0!</v>
      </c>
    </row>
    <row r="13" spans="1:4" x14ac:dyDescent="0.25">
      <c r="A13" s="4" t="s">
        <v>3273</v>
      </c>
      <c r="B13" s="2">
        <v>236318.37</v>
      </c>
      <c r="C13" s="2">
        <v>56333.829999999987</v>
      </c>
      <c r="D13" s="5">
        <v>0.23838108734416219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D2E4-A274-49C0-B8A8-63C7C7FCB20C}">
  <dimension ref="A1:U2003"/>
  <sheetViews>
    <sheetView topLeftCell="A2" workbookViewId="0">
      <selection activeCell="H6" sqref="H6"/>
    </sheetView>
  </sheetViews>
  <sheetFormatPr defaultRowHeight="15" x14ac:dyDescent="0.25"/>
  <cols>
    <col min="1" max="1" width="11.5703125" bestFit="1" customWidth="1"/>
    <col min="2" max="2" width="14.28515625" bestFit="1" customWidth="1"/>
    <col min="3" max="3" width="13.140625" bestFit="1" customWidth="1"/>
    <col min="4" max="4" width="16.28515625" bestFit="1" customWidth="1"/>
    <col min="5" max="5" width="19.28515625" bestFit="1" customWidth="1"/>
    <col min="6" max="6" width="10.85546875" bestFit="1" customWidth="1"/>
    <col min="7" max="7" width="16.5703125" bestFit="1" customWidth="1"/>
    <col min="8" max="8" width="18.85546875" bestFit="1" customWidth="1"/>
    <col min="9" max="9" width="16.42578125" bestFit="1" customWidth="1"/>
    <col min="10" max="10" width="14.5703125" bestFit="1" customWidth="1"/>
    <col min="11" max="11" width="18.85546875" bestFit="1" customWidth="1"/>
    <col min="12" max="12" width="15.5703125" bestFit="1" customWidth="1"/>
    <col min="13" max="13" width="14.7109375" bestFit="1" customWidth="1"/>
    <col min="14" max="14" width="15" bestFit="1" customWidth="1"/>
    <col min="15" max="15" width="17.28515625" bestFit="1" customWidth="1"/>
    <col min="16" max="16" width="11.140625" bestFit="1" customWidth="1"/>
    <col min="17" max="17" width="17.28515625" bestFit="1" customWidth="1"/>
    <col min="18" max="18" width="14.7109375" bestFit="1" customWidth="1"/>
    <col min="19" max="19" width="12.85546875" bestFit="1" customWidth="1"/>
    <col min="20" max="20" width="8.28515625" bestFit="1" customWidth="1"/>
    <col min="21" max="21" width="17" customWidth="1"/>
  </cols>
  <sheetData>
    <row r="1" spans="1:2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3270</v>
      </c>
    </row>
    <row r="2" spans="1:21" x14ac:dyDescent="0.25">
      <c r="A2" s="2" t="s">
        <v>36</v>
      </c>
      <c r="B2" s="2" t="s">
        <v>37</v>
      </c>
      <c r="C2" s="1">
        <v>45832</v>
      </c>
      <c r="D2" s="2" t="s">
        <v>38</v>
      </c>
      <c r="E2" s="2" t="s">
        <v>39</v>
      </c>
      <c r="F2" s="2" t="s">
        <v>40</v>
      </c>
      <c r="G2">
        <v>2</v>
      </c>
      <c r="H2" s="2" t="s">
        <v>41</v>
      </c>
      <c r="I2">
        <v>261.39</v>
      </c>
      <c r="J2">
        <v>0</v>
      </c>
      <c r="K2">
        <v>0</v>
      </c>
      <c r="L2">
        <v>22.28</v>
      </c>
      <c r="M2">
        <v>92.3</v>
      </c>
      <c r="N2">
        <v>0</v>
      </c>
      <c r="O2">
        <v>7.88</v>
      </c>
      <c r="P2" s="2" t="s">
        <v>42</v>
      </c>
      <c r="Q2">
        <v>0</v>
      </c>
      <c r="R2">
        <v>261.39</v>
      </c>
      <c r="S2">
        <v>122.46</v>
      </c>
      <c r="T2">
        <v>138.93</v>
      </c>
      <c r="U2" t="e">
        <f>VLOOKUP(B2, products!$A:$B, 2, FALSE)</f>
        <v>#N/A</v>
      </c>
    </row>
    <row r="3" spans="1:21" x14ac:dyDescent="0.25">
      <c r="A3" s="2" t="s">
        <v>43</v>
      </c>
      <c r="B3" s="2" t="s">
        <v>44</v>
      </c>
      <c r="C3" s="1">
        <v>45892</v>
      </c>
      <c r="D3" s="2" t="s">
        <v>45</v>
      </c>
      <c r="E3" s="2" t="s">
        <v>46</v>
      </c>
      <c r="F3" s="2" t="s">
        <v>47</v>
      </c>
      <c r="G3">
        <v>1</v>
      </c>
      <c r="H3" s="2" t="s">
        <v>48</v>
      </c>
      <c r="I3">
        <v>24.02</v>
      </c>
      <c r="J3">
        <v>0</v>
      </c>
      <c r="K3">
        <v>0</v>
      </c>
      <c r="L3">
        <v>3.98</v>
      </c>
      <c r="M3">
        <v>10.75</v>
      </c>
      <c r="N3">
        <v>0</v>
      </c>
      <c r="O3">
        <v>1</v>
      </c>
      <c r="P3" s="2" t="s">
        <v>42</v>
      </c>
      <c r="Q3">
        <v>0</v>
      </c>
      <c r="R3">
        <v>24.02</v>
      </c>
      <c r="S3">
        <v>15.73</v>
      </c>
      <c r="T3">
        <v>8.2899999999999991</v>
      </c>
      <c r="U3" t="e">
        <f>VLOOKUP(B3, products!$A:$B, 2, FALSE)</f>
        <v>#N/A</v>
      </c>
    </row>
    <row r="4" spans="1:21" x14ac:dyDescent="0.25">
      <c r="A4" s="2" t="s">
        <v>49</v>
      </c>
      <c r="B4" s="2" t="s">
        <v>50</v>
      </c>
      <c r="C4" s="1">
        <v>45858</v>
      </c>
      <c r="D4" s="2" t="s">
        <v>45</v>
      </c>
      <c r="E4" s="2" t="s">
        <v>46</v>
      </c>
      <c r="F4" s="2" t="s">
        <v>51</v>
      </c>
      <c r="G4">
        <v>2</v>
      </c>
      <c r="H4" s="2" t="s">
        <v>52</v>
      </c>
      <c r="I4">
        <v>52.6</v>
      </c>
      <c r="J4">
        <v>0</v>
      </c>
      <c r="K4">
        <v>0</v>
      </c>
      <c r="L4">
        <v>14.6</v>
      </c>
      <c r="M4">
        <v>31.41</v>
      </c>
      <c r="N4">
        <v>0</v>
      </c>
      <c r="O4">
        <v>1.83</v>
      </c>
      <c r="P4" s="2" t="s">
        <v>42</v>
      </c>
      <c r="Q4">
        <v>0</v>
      </c>
      <c r="R4">
        <v>52.6</v>
      </c>
      <c r="S4">
        <v>47.84</v>
      </c>
      <c r="T4">
        <v>4.76</v>
      </c>
      <c r="U4">
        <f>IF(P2="Yes", 1, 0)</f>
        <v>0</v>
      </c>
    </row>
    <row r="5" spans="1:21" x14ac:dyDescent="0.25">
      <c r="A5" s="2" t="s">
        <v>53</v>
      </c>
      <c r="B5" s="2" t="s">
        <v>54</v>
      </c>
      <c r="C5" s="1">
        <v>45855</v>
      </c>
      <c r="D5" s="2" t="s">
        <v>38</v>
      </c>
      <c r="E5" s="2" t="s">
        <v>55</v>
      </c>
      <c r="F5" s="2" t="s">
        <v>51</v>
      </c>
      <c r="G5">
        <v>2</v>
      </c>
      <c r="H5" s="2" t="s">
        <v>56</v>
      </c>
      <c r="I5">
        <v>30.63</v>
      </c>
      <c r="J5">
        <v>5</v>
      </c>
      <c r="K5">
        <v>1.53</v>
      </c>
      <c r="L5">
        <v>30.98</v>
      </c>
      <c r="M5">
        <v>16.27</v>
      </c>
      <c r="N5">
        <v>0</v>
      </c>
      <c r="O5">
        <v>1.1399999999999999</v>
      </c>
      <c r="P5" s="2" t="s">
        <v>42</v>
      </c>
      <c r="Q5">
        <v>0</v>
      </c>
      <c r="R5">
        <v>29.1</v>
      </c>
      <c r="S5">
        <v>48.39</v>
      </c>
      <c r="T5">
        <v>-19.29</v>
      </c>
      <c r="U5">
        <f t="shared" ref="U5:U68" si="0">IF(P3="Yes", 1, 0)</f>
        <v>0</v>
      </c>
    </row>
    <row r="6" spans="1:21" x14ac:dyDescent="0.25">
      <c r="A6" s="2" t="s">
        <v>57</v>
      </c>
      <c r="B6" s="2" t="s">
        <v>58</v>
      </c>
      <c r="C6" s="1">
        <v>45941</v>
      </c>
      <c r="D6" s="2" t="s">
        <v>59</v>
      </c>
      <c r="E6" s="2" t="s">
        <v>46</v>
      </c>
      <c r="F6" s="2" t="s">
        <v>40</v>
      </c>
      <c r="G6">
        <v>1</v>
      </c>
      <c r="H6" s="2" t="s">
        <v>56</v>
      </c>
      <c r="I6">
        <v>11.99</v>
      </c>
      <c r="J6">
        <v>25</v>
      </c>
      <c r="K6">
        <v>3</v>
      </c>
      <c r="L6">
        <v>10.3</v>
      </c>
      <c r="M6">
        <v>6.88</v>
      </c>
      <c r="N6">
        <v>1.35</v>
      </c>
      <c r="O6">
        <v>0.56000000000000005</v>
      </c>
      <c r="P6" s="2" t="s">
        <v>42</v>
      </c>
      <c r="Q6">
        <v>0</v>
      </c>
      <c r="R6">
        <v>8.99</v>
      </c>
      <c r="S6">
        <v>19.09</v>
      </c>
      <c r="T6">
        <v>-10.1</v>
      </c>
      <c r="U6">
        <f t="shared" si="0"/>
        <v>0</v>
      </c>
    </row>
    <row r="7" spans="1:21" x14ac:dyDescent="0.25">
      <c r="A7" s="2" t="s">
        <v>60</v>
      </c>
      <c r="B7" s="2" t="s">
        <v>61</v>
      </c>
      <c r="C7" s="1">
        <v>45559</v>
      </c>
      <c r="D7" s="2" t="s">
        <v>38</v>
      </c>
      <c r="E7" s="2" t="s">
        <v>55</v>
      </c>
      <c r="F7" s="2" t="s">
        <v>40</v>
      </c>
      <c r="G7">
        <v>4</v>
      </c>
      <c r="H7" s="2" t="s">
        <v>52</v>
      </c>
      <c r="I7">
        <v>126.99</v>
      </c>
      <c r="J7">
        <v>15</v>
      </c>
      <c r="K7">
        <v>19.05</v>
      </c>
      <c r="L7">
        <v>61.56</v>
      </c>
      <c r="M7">
        <v>57.74</v>
      </c>
      <c r="N7">
        <v>0</v>
      </c>
      <c r="O7">
        <v>3.43</v>
      </c>
      <c r="P7" s="2" t="s">
        <v>42</v>
      </c>
      <c r="Q7">
        <v>0</v>
      </c>
      <c r="R7">
        <v>107.94</v>
      </c>
      <c r="S7">
        <v>122.73</v>
      </c>
      <c r="T7">
        <v>-14.79</v>
      </c>
      <c r="U7">
        <f t="shared" si="0"/>
        <v>0</v>
      </c>
    </row>
    <row r="8" spans="1:21" x14ac:dyDescent="0.25">
      <c r="A8" s="2" t="s">
        <v>62</v>
      </c>
      <c r="B8" s="2" t="s">
        <v>63</v>
      </c>
      <c r="C8" s="1">
        <v>45746</v>
      </c>
      <c r="D8" s="2" t="s">
        <v>59</v>
      </c>
      <c r="E8" s="2" t="s">
        <v>46</v>
      </c>
      <c r="F8" s="2" t="s">
        <v>51</v>
      </c>
      <c r="G8">
        <v>2</v>
      </c>
      <c r="H8" s="2" t="s">
        <v>64</v>
      </c>
      <c r="I8">
        <v>298.36</v>
      </c>
      <c r="J8">
        <v>0</v>
      </c>
      <c r="K8">
        <v>0</v>
      </c>
      <c r="L8">
        <v>20.84</v>
      </c>
      <c r="M8">
        <v>105.76</v>
      </c>
      <c r="N8">
        <v>44.75</v>
      </c>
      <c r="O8">
        <v>8.9499999999999993</v>
      </c>
      <c r="P8" s="2" t="s">
        <v>42</v>
      </c>
      <c r="Q8">
        <v>0</v>
      </c>
      <c r="R8">
        <v>298.36</v>
      </c>
      <c r="S8">
        <v>180.3</v>
      </c>
      <c r="T8">
        <v>118.06</v>
      </c>
      <c r="U8">
        <f t="shared" si="0"/>
        <v>0</v>
      </c>
    </row>
    <row r="9" spans="1:21" x14ac:dyDescent="0.25">
      <c r="A9" s="2" t="s">
        <v>65</v>
      </c>
      <c r="B9" s="2" t="s">
        <v>66</v>
      </c>
      <c r="C9" s="1">
        <v>45972</v>
      </c>
      <c r="D9" s="2" t="s">
        <v>45</v>
      </c>
      <c r="E9" s="2" t="s">
        <v>67</v>
      </c>
      <c r="F9" s="2" t="s">
        <v>51</v>
      </c>
      <c r="G9">
        <v>3</v>
      </c>
      <c r="H9" s="2" t="s">
        <v>56</v>
      </c>
      <c r="I9">
        <v>71.03</v>
      </c>
      <c r="J9">
        <v>10</v>
      </c>
      <c r="K9">
        <v>7.1</v>
      </c>
      <c r="L9">
        <v>29.3</v>
      </c>
      <c r="M9">
        <v>40.99</v>
      </c>
      <c r="N9">
        <v>0</v>
      </c>
      <c r="O9">
        <v>2.15</v>
      </c>
      <c r="P9" s="2" t="s">
        <v>68</v>
      </c>
      <c r="Q9">
        <v>63.93</v>
      </c>
      <c r="R9">
        <v>0</v>
      </c>
      <c r="S9">
        <v>72.44</v>
      </c>
      <c r="T9">
        <v>-72.44</v>
      </c>
      <c r="U9">
        <f t="shared" si="0"/>
        <v>0</v>
      </c>
    </row>
    <row r="10" spans="1:21" x14ac:dyDescent="0.25">
      <c r="A10" s="2" t="s">
        <v>69</v>
      </c>
      <c r="B10" s="2" t="s">
        <v>70</v>
      </c>
      <c r="C10" s="1">
        <v>45682</v>
      </c>
      <c r="D10" s="2" t="s">
        <v>45</v>
      </c>
      <c r="E10" s="2" t="s">
        <v>71</v>
      </c>
      <c r="F10" s="2" t="s">
        <v>47</v>
      </c>
      <c r="G10">
        <v>1</v>
      </c>
      <c r="H10" s="2" t="s">
        <v>56</v>
      </c>
      <c r="I10">
        <v>23.98</v>
      </c>
      <c r="J10">
        <v>15</v>
      </c>
      <c r="K10">
        <v>3.6</v>
      </c>
      <c r="L10">
        <v>20.6</v>
      </c>
      <c r="M10">
        <v>13.76</v>
      </c>
      <c r="N10">
        <v>0</v>
      </c>
      <c r="O10">
        <v>0.89</v>
      </c>
      <c r="P10" s="2" t="s">
        <v>42</v>
      </c>
      <c r="Q10">
        <v>0</v>
      </c>
      <c r="R10">
        <v>20.38</v>
      </c>
      <c r="S10">
        <v>35.25</v>
      </c>
      <c r="T10">
        <v>-14.87</v>
      </c>
      <c r="U10">
        <f t="shared" si="0"/>
        <v>0</v>
      </c>
    </row>
    <row r="11" spans="1:21" x14ac:dyDescent="0.25">
      <c r="A11" s="2" t="s">
        <v>72</v>
      </c>
      <c r="B11" s="2" t="s">
        <v>73</v>
      </c>
      <c r="C11" s="1">
        <v>45691</v>
      </c>
      <c r="D11" s="2" t="s">
        <v>45</v>
      </c>
      <c r="E11" s="2" t="s">
        <v>67</v>
      </c>
      <c r="F11" s="2" t="s">
        <v>40</v>
      </c>
      <c r="G11">
        <v>1</v>
      </c>
      <c r="H11" s="2" t="s">
        <v>74</v>
      </c>
      <c r="I11">
        <v>345.27</v>
      </c>
      <c r="J11">
        <v>25</v>
      </c>
      <c r="K11">
        <v>86.32</v>
      </c>
      <c r="L11">
        <v>24.66</v>
      </c>
      <c r="M11">
        <v>101.85</v>
      </c>
      <c r="N11">
        <v>0</v>
      </c>
      <c r="O11">
        <v>7.81</v>
      </c>
      <c r="P11" s="2" t="s">
        <v>42</v>
      </c>
      <c r="Q11">
        <v>0</v>
      </c>
      <c r="R11">
        <v>258.95</v>
      </c>
      <c r="S11">
        <v>134.32</v>
      </c>
      <c r="T11">
        <v>124.63</v>
      </c>
      <c r="U11">
        <f t="shared" si="0"/>
        <v>1</v>
      </c>
    </row>
    <row r="12" spans="1:21" x14ac:dyDescent="0.25">
      <c r="A12" s="2" t="s">
        <v>75</v>
      </c>
      <c r="B12" s="2" t="s">
        <v>76</v>
      </c>
      <c r="C12" s="1">
        <v>45625</v>
      </c>
      <c r="D12" s="2" t="s">
        <v>59</v>
      </c>
      <c r="E12" s="2" t="s">
        <v>46</v>
      </c>
      <c r="F12" s="2" t="s">
        <v>47</v>
      </c>
      <c r="G12">
        <v>1</v>
      </c>
      <c r="H12" s="2" t="s">
        <v>77</v>
      </c>
      <c r="I12">
        <v>26.5</v>
      </c>
      <c r="J12">
        <v>5</v>
      </c>
      <c r="K12">
        <v>1.32</v>
      </c>
      <c r="L12">
        <v>5.5</v>
      </c>
      <c r="M12">
        <v>8.06</v>
      </c>
      <c r="N12">
        <v>3.78</v>
      </c>
      <c r="O12">
        <v>1.03</v>
      </c>
      <c r="P12" s="2" t="s">
        <v>42</v>
      </c>
      <c r="Q12">
        <v>0</v>
      </c>
      <c r="R12">
        <v>25.18</v>
      </c>
      <c r="S12">
        <v>18.37</v>
      </c>
      <c r="T12">
        <v>6.81</v>
      </c>
      <c r="U12">
        <f t="shared" si="0"/>
        <v>0</v>
      </c>
    </row>
    <row r="13" spans="1:21" x14ac:dyDescent="0.25">
      <c r="A13" s="2" t="s">
        <v>78</v>
      </c>
      <c r="B13" s="2" t="s">
        <v>79</v>
      </c>
      <c r="C13" s="1">
        <v>45432</v>
      </c>
      <c r="D13" s="2" t="s">
        <v>80</v>
      </c>
      <c r="E13" s="2" t="s">
        <v>46</v>
      </c>
      <c r="F13" s="2" t="s">
        <v>40</v>
      </c>
      <c r="G13">
        <v>1</v>
      </c>
      <c r="H13" s="2" t="s">
        <v>64</v>
      </c>
      <c r="I13">
        <v>62.7</v>
      </c>
      <c r="J13">
        <v>0</v>
      </c>
      <c r="K13">
        <v>0</v>
      </c>
      <c r="L13">
        <v>7.5</v>
      </c>
      <c r="M13">
        <v>20.79</v>
      </c>
      <c r="N13">
        <v>5.0199999999999996</v>
      </c>
      <c r="O13">
        <v>2.12</v>
      </c>
      <c r="P13" s="2" t="s">
        <v>42</v>
      </c>
      <c r="Q13">
        <v>0</v>
      </c>
      <c r="R13">
        <v>62.7</v>
      </c>
      <c r="S13">
        <v>35.43</v>
      </c>
      <c r="T13">
        <v>27.27</v>
      </c>
      <c r="U13">
        <f t="shared" si="0"/>
        <v>0</v>
      </c>
    </row>
    <row r="14" spans="1:21" x14ac:dyDescent="0.25">
      <c r="A14" s="2" t="s">
        <v>81</v>
      </c>
      <c r="B14" s="2" t="s">
        <v>82</v>
      </c>
      <c r="C14" s="1">
        <v>45810</v>
      </c>
      <c r="D14" s="2" t="s">
        <v>80</v>
      </c>
      <c r="E14" s="2" t="s">
        <v>71</v>
      </c>
      <c r="F14" s="2" t="s">
        <v>47</v>
      </c>
      <c r="G14">
        <v>3</v>
      </c>
      <c r="H14" s="2" t="s">
        <v>48</v>
      </c>
      <c r="I14">
        <v>136.77000000000001</v>
      </c>
      <c r="J14">
        <v>10</v>
      </c>
      <c r="K14">
        <v>13.68</v>
      </c>
      <c r="L14">
        <v>31.86</v>
      </c>
      <c r="M14">
        <v>56.88</v>
      </c>
      <c r="N14">
        <v>9.85</v>
      </c>
      <c r="O14">
        <v>3.87</v>
      </c>
      <c r="P14" s="2" t="s">
        <v>42</v>
      </c>
      <c r="Q14">
        <v>0</v>
      </c>
      <c r="R14">
        <v>123.09</v>
      </c>
      <c r="S14">
        <v>102.46</v>
      </c>
      <c r="T14">
        <v>20.63</v>
      </c>
      <c r="U14">
        <f t="shared" si="0"/>
        <v>0</v>
      </c>
    </row>
    <row r="15" spans="1:21" x14ac:dyDescent="0.25">
      <c r="A15" s="2" t="s">
        <v>83</v>
      </c>
      <c r="B15" s="2" t="s">
        <v>84</v>
      </c>
      <c r="C15" s="1">
        <v>46018</v>
      </c>
      <c r="D15" s="2" t="s">
        <v>38</v>
      </c>
      <c r="E15" s="2" t="s">
        <v>46</v>
      </c>
      <c r="F15" s="2" t="s">
        <v>85</v>
      </c>
      <c r="G15">
        <v>2</v>
      </c>
      <c r="H15" s="2" t="s">
        <v>56</v>
      </c>
      <c r="I15">
        <v>160.31</v>
      </c>
      <c r="J15">
        <v>0</v>
      </c>
      <c r="K15">
        <v>0</v>
      </c>
      <c r="L15">
        <v>15.24</v>
      </c>
      <c r="M15">
        <v>75.89</v>
      </c>
      <c r="N15">
        <v>0</v>
      </c>
      <c r="O15">
        <v>4.95</v>
      </c>
      <c r="P15" s="2" t="s">
        <v>42</v>
      </c>
      <c r="Q15">
        <v>0</v>
      </c>
      <c r="R15">
        <v>160.31</v>
      </c>
      <c r="S15">
        <v>96.08</v>
      </c>
      <c r="T15">
        <v>64.23</v>
      </c>
      <c r="U15">
        <f t="shared" si="0"/>
        <v>0</v>
      </c>
    </row>
    <row r="16" spans="1:21" x14ac:dyDescent="0.25">
      <c r="A16" s="2" t="s">
        <v>86</v>
      </c>
      <c r="B16" s="2" t="s">
        <v>87</v>
      </c>
      <c r="C16" s="1">
        <v>45464</v>
      </c>
      <c r="D16" s="2" t="s">
        <v>59</v>
      </c>
      <c r="E16" s="2" t="s">
        <v>46</v>
      </c>
      <c r="F16" s="2" t="s">
        <v>51</v>
      </c>
      <c r="G16">
        <v>5</v>
      </c>
      <c r="H16" s="2" t="s">
        <v>64</v>
      </c>
      <c r="I16">
        <v>254.7</v>
      </c>
      <c r="J16">
        <v>10</v>
      </c>
      <c r="K16">
        <v>25.47</v>
      </c>
      <c r="L16">
        <v>59.06</v>
      </c>
      <c r="M16">
        <v>106.5</v>
      </c>
      <c r="N16">
        <v>34.380000000000003</v>
      </c>
      <c r="O16">
        <v>6.95</v>
      </c>
      <c r="P16" s="2" t="s">
        <v>42</v>
      </c>
      <c r="Q16">
        <v>0</v>
      </c>
      <c r="R16">
        <v>229.23</v>
      </c>
      <c r="S16">
        <v>206.89</v>
      </c>
      <c r="T16">
        <v>22.34</v>
      </c>
      <c r="U16">
        <f t="shared" si="0"/>
        <v>0</v>
      </c>
    </row>
    <row r="17" spans="1:21" x14ac:dyDescent="0.25">
      <c r="A17" s="2" t="s">
        <v>88</v>
      </c>
      <c r="B17" s="2" t="s">
        <v>89</v>
      </c>
      <c r="C17" s="1">
        <v>45836</v>
      </c>
      <c r="D17" s="2" t="s">
        <v>45</v>
      </c>
      <c r="E17" s="2" t="s">
        <v>71</v>
      </c>
      <c r="F17" s="2" t="s">
        <v>47</v>
      </c>
      <c r="G17">
        <v>3</v>
      </c>
      <c r="H17" s="2" t="s">
        <v>74</v>
      </c>
      <c r="I17">
        <v>165.86</v>
      </c>
      <c r="J17">
        <v>0</v>
      </c>
      <c r="K17">
        <v>0</v>
      </c>
      <c r="L17">
        <v>28.66</v>
      </c>
      <c r="M17">
        <v>52.32</v>
      </c>
      <c r="N17">
        <v>0</v>
      </c>
      <c r="O17">
        <v>5.1100000000000003</v>
      </c>
      <c r="P17" s="2" t="s">
        <v>42</v>
      </c>
      <c r="Q17">
        <v>0</v>
      </c>
      <c r="R17">
        <v>165.86</v>
      </c>
      <c r="S17">
        <v>86.09</v>
      </c>
      <c r="T17">
        <v>79.77</v>
      </c>
      <c r="U17">
        <f t="shared" si="0"/>
        <v>0</v>
      </c>
    </row>
    <row r="18" spans="1:21" x14ac:dyDescent="0.25">
      <c r="A18" s="2" t="s">
        <v>90</v>
      </c>
      <c r="B18" s="2" t="s">
        <v>91</v>
      </c>
      <c r="C18" s="1">
        <v>45663</v>
      </c>
      <c r="D18" s="2" t="s">
        <v>45</v>
      </c>
      <c r="E18" s="2" t="s">
        <v>46</v>
      </c>
      <c r="F18" s="2" t="s">
        <v>47</v>
      </c>
      <c r="G18">
        <v>1</v>
      </c>
      <c r="H18" s="2" t="s">
        <v>52</v>
      </c>
      <c r="I18">
        <v>114.58</v>
      </c>
      <c r="J18">
        <v>0</v>
      </c>
      <c r="K18">
        <v>0</v>
      </c>
      <c r="L18">
        <v>26.36</v>
      </c>
      <c r="M18">
        <v>41.44</v>
      </c>
      <c r="N18">
        <v>0</v>
      </c>
      <c r="O18">
        <v>3.62</v>
      </c>
      <c r="P18" s="2" t="s">
        <v>42</v>
      </c>
      <c r="Q18">
        <v>0</v>
      </c>
      <c r="R18">
        <v>114.58</v>
      </c>
      <c r="S18">
        <v>71.42</v>
      </c>
      <c r="T18">
        <v>43.16</v>
      </c>
      <c r="U18">
        <f t="shared" si="0"/>
        <v>0</v>
      </c>
    </row>
    <row r="19" spans="1:21" x14ac:dyDescent="0.25">
      <c r="A19" s="2" t="s">
        <v>92</v>
      </c>
      <c r="B19" s="2" t="s">
        <v>93</v>
      </c>
      <c r="C19" s="1">
        <v>45711</v>
      </c>
      <c r="D19" s="2" t="s">
        <v>38</v>
      </c>
      <c r="E19" s="2" t="s">
        <v>67</v>
      </c>
      <c r="F19" s="2" t="s">
        <v>94</v>
      </c>
      <c r="G19">
        <v>2</v>
      </c>
      <c r="H19" s="2" t="s">
        <v>48</v>
      </c>
      <c r="I19">
        <v>43.21</v>
      </c>
      <c r="J19">
        <v>0</v>
      </c>
      <c r="K19">
        <v>0</v>
      </c>
      <c r="L19">
        <v>23.8</v>
      </c>
      <c r="M19">
        <v>27.23</v>
      </c>
      <c r="N19">
        <v>0</v>
      </c>
      <c r="O19">
        <v>1.55</v>
      </c>
      <c r="P19" s="2" t="s">
        <v>42</v>
      </c>
      <c r="Q19">
        <v>0</v>
      </c>
      <c r="R19">
        <v>43.21</v>
      </c>
      <c r="S19">
        <v>52.58</v>
      </c>
      <c r="T19">
        <v>-9.3699999999999992</v>
      </c>
      <c r="U19">
        <f t="shared" si="0"/>
        <v>0</v>
      </c>
    </row>
    <row r="20" spans="1:21" x14ac:dyDescent="0.25">
      <c r="A20" s="2" t="s">
        <v>95</v>
      </c>
      <c r="B20" s="2" t="s">
        <v>96</v>
      </c>
      <c r="C20" s="1">
        <v>45367</v>
      </c>
      <c r="D20" s="2" t="s">
        <v>59</v>
      </c>
      <c r="E20" s="2" t="s">
        <v>71</v>
      </c>
      <c r="F20" s="2" t="s">
        <v>40</v>
      </c>
      <c r="G20">
        <v>2</v>
      </c>
      <c r="H20" s="2" t="s">
        <v>77</v>
      </c>
      <c r="I20">
        <v>29.95</v>
      </c>
      <c r="J20">
        <v>0</v>
      </c>
      <c r="K20">
        <v>0</v>
      </c>
      <c r="L20">
        <v>33.06</v>
      </c>
      <c r="M20">
        <v>13.54</v>
      </c>
      <c r="N20">
        <v>4.49</v>
      </c>
      <c r="O20">
        <v>1.17</v>
      </c>
      <c r="P20" s="2" t="s">
        <v>42</v>
      </c>
      <c r="Q20">
        <v>0</v>
      </c>
      <c r="R20">
        <v>29.95</v>
      </c>
      <c r="S20">
        <v>52.26</v>
      </c>
      <c r="T20">
        <v>-22.31</v>
      </c>
      <c r="U20">
        <f t="shared" si="0"/>
        <v>0</v>
      </c>
    </row>
    <row r="21" spans="1:21" x14ac:dyDescent="0.25">
      <c r="A21" s="2" t="s">
        <v>97</v>
      </c>
      <c r="B21" s="2" t="s">
        <v>98</v>
      </c>
      <c r="C21" s="1">
        <v>45846</v>
      </c>
      <c r="D21" s="2" t="s">
        <v>59</v>
      </c>
      <c r="E21" s="2" t="s">
        <v>71</v>
      </c>
      <c r="F21" s="2" t="s">
        <v>40</v>
      </c>
      <c r="G21">
        <v>1</v>
      </c>
      <c r="H21" s="2" t="s">
        <v>56</v>
      </c>
      <c r="I21">
        <v>91.38</v>
      </c>
      <c r="J21">
        <v>0</v>
      </c>
      <c r="K21">
        <v>0</v>
      </c>
      <c r="L21">
        <v>23.16</v>
      </c>
      <c r="M21">
        <v>56.42</v>
      </c>
      <c r="N21">
        <v>13.71</v>
      </c>
      <c r="O21">
        <v>2.95</v>
      </c>
      <c r="P21" s="2" t="s">
        <v>42</v>
      </c>
      <c r="Q21">
        <v>0</v>
      </c>
      <c r="R21">
        <v>91.38</v>
      </c>
      <c r="S21">
        <v>96.24</v>
      </c>
      <c r="T21">
        <v>-4.8600000000000003</v>
      </c>
      <c r="U21">
        <f t="shared" si="0"/>
        <v>0</v>
      </c>
    </row>
    <row r="22" spans="1:21" x14ac:dyDescent="0.25">
      <c r="A22" s="2" t="s">
        <v>99</v>
      </c>
      <c r="B22" s="2" t="s">
        <v>100</v>
      </c>
      <c r="C22" s="1">
        <v>45672</v>
      </c>
      <c r="D22" s="2" t="s">
        <v>45</v>
      </c>
      <c r="E22" s="2" t="s">
        <v>39</v>
      </c>
      <c r="F22" s="2" t="s">
        <v>47</v>
      </c>
      <c r="G22">
        <v>2</v>
      </c>
      <c r="H22" s="2" t="s">
        <v>48</v>
      </c>
      <c r="I22">
        <v>56.46</v>
      </c>
      <c r="J22">
        <v>0</v>
      </c>
      <c r="K22">
        <v>0</v>
      </c>
      <c r="L22">
        <v>19.88</v>
      </c>
      <c r="M22">
        <v>19.09</v>
      </c>
      <c r="N22">
        <v>0</v>
      </c>
      <c r="O22">
        <v>1.94</v>
      </c>
      <c r="P22" s="2" t="s">
        <v>42</v>
      </c>
      <c r="Q22">
        <v>0</v>
      </c>
      <c r="R22">
        <v>56.46</v>
      </c>
      <c r="S22">
        <v>40.909999999999997</v>
      </c>
      <c r="T22">
        <v>15.55</v>
      </c>
      <c r="U22">
        <f t="shared" si="0"/>
        <v>0</v>
      </c>
    </row>
    <row r="23" spans="1:21" x14ac:dyDescent="0.25">
      <c r="A23" s="2" t="s">
        <v>101</v>
      </c>
      <c r="B23" s="2" t="s">
        <v>102</v>
      </c>
      <c r="C23" s="1">
        <v>45671</v>
      </c>
      <c r="D23" s="2" t="s">
        <v>80</v>
      </c>
      <c r="E23" s="2" t="s">
        <v>46</v>
      </c>
      <c r="F23" s="2" t="s">
        <v>85</v>
      </c>
      <c r="G23">
        <v>1</v>
      </c>
      <c r="H23" s="2" t="s">
        <v>56</v>
      </c>
      <c r="I23">
        <v>77.62</v>
      </c>
      <c r="J23">
        <v>0</v>
      </c>
      <c r="K23">
        <v>0</v>
      </c>
      <c r="L23">
        <v>22.84</v>
      </c>
      <c r="M23">
        <v>33.1</v>
      </c>
      <c r="N23">
        <v>6.21</v>
      </c>
      <c r="O23">
        <v>2.5499999999999998</v>
      </c>
      <c r="P23" s="2" t="s">
        <v>42</v>
      </c>
      <c r="Q23">
        <v>0</v>
      </c>
      <c r="R23">
        <v>77.62</v>
      </c>
      <c r="S23">
        <v>64.7</v>
      </c>
      <c r="T23">
        <v>12.92</v>
      </c>
      <c r="U23">
        <f t="shared" si="0"/>
        <v>0</v>
      </c>
    </row>
    <row r="24" spans="1:21" x14ac:dyDescent="0.25">
      <c r="A24" s="2" t="s">
        <v>103</v>
      </c>
      <c r="B24" s="2" t="s">
        <v>104</v>
      </c>
      <c r="C24" s="1">
        <v>45994</v>
      </c>
      <c r="D24" s="2" t="s">
        <v>45</v>
      </c>
      <c r="E24" s="2" t="s">
        <v>46</v>
      </c>
      <c r="F24" s="2" t="s">
        <v>94</v>
      </c>
      <c r="G24">
        <v>1</v>
      </c>
      <c r="H24" s="2" t="s">
        <v>41</v>
      </c>
      <c r="I24">
        <v>192.38</v>
      </c>
      <c r="J24">
        <v>0</v>
      </c>
      <c r="K24">
        <v>0</v>
      </c>
      <c r="L24">
        <v>10.06</v>
      </c>
      <c r="M24">
        <v>72.59</v>
      </c>
      <c r="N24">
        <v>0</v>
      </c>
      <c r="O24">
        <v>5.88</v>
      </c>
      <c r="P24" s="2" t="s">
        <v>68</v>
      </c>
      <c r="Q24">
        <v>192.38</v>
      </c>
      <c r="R24">
        <v>0</v>
      </c>
      <c r="S24">
        <v>88.53</v>
      </c>
      <c r="T24">
        <v>-88.53</v>
      </c>
      <c r="U24">
        <f t="shared" si="0"/>
        <v>0</v>
      </c>
    </row>
    <row r="25" spans="1:21" x14ac:dyDescent="0.25">
      <c r="A25" s="2" t="s">
        <v>105</v>
      </c>
      <c r="B25" s="2" t="s">
        <v>106</v>
      </c>
      <c r="C25" s="1">
        <v>45808</v>
      </c>
      <c r="D25" s="2" t="s">
        <v>38</v>
      </c>
      <c r="E25" s="2" t="s">
        <v>39</v>
      </c>
      <c r="F25" s="2" t="s">
        <v>40</v>
      </c>
      <c r="G25">
        <v>3</v>
      </c>
      <c r="H25" s="2" t="s">
        <v>48</v>
      </c>
      <c r="I25">
        <v>233.9</v>
      </c>
      <c r="J25">
        <v>15</v>
      </c>
      <c r="K25">
        <v>35.090000000000003</v>
      </c>
      <c r="L25">
        <v>36.82</v>
      </c>
      <c r="M25">
        <v>87.78</v>
      </c>
      <c r="N25">
        <v>0</v>
      </c>
      <c r="O25">
        <v>6.07</v>
      </c>
      <c r="P25" s="2" t="s">
        <v>42</v>
      </c>
      <c r="Q25">
        <v>0</v>
      </c>
      <c r="R25">
        <v>198.81</v>
      </c>
      <c r="S25">
        <v>130.66999999999999</v>
      </c>
      <c r="T25">
        <v>68.14</v>
      </c>
      <c r="U25">
        <f t="shared" si="0"/>
        <v>0</v>
      </c>
    </row>
    <row r="26" spans="1:21" x14ac:dyDescent="0.25">
      <c r="A26" s="2" t="s">
        <v>107</v>
      </c>
      <c r="B26" s="2" t="s">
        <v>108</v>
      </c>
      <c r="C26" s="1">
        <v>45490</v>
      </c>
      <c r="D26" s="2" t="s">
        <v>38</v>
      </c>
      <c r="E26" s="2" t="s">
        <v>71</v>
      </c>
      <c r="F26" s="2" t="s">
        <v>85</v>
      </c>
      <c r="G26">
        <v>2</v>
      </c>
      <c r="H26" s="2" t="s">
        <v>56</v>
      </c>
      <c r="I26">
        <v>129.38</v>
      </c>
      <c r="J26">
        <v>10</v>
      </c>
      <c r="K26">
        <v>12.94</v>
      </c>
      <c r="L26">
        <v>16.899999999999999</v>
      </c>
      <c r="M26">
        <v>49.49</v>
      </c>
      <c r="N26">
        <v>0</v>
      </c>
      <c r="O26">
        <v>3.68</v>
      </c>
      <c r="P26" s="2" t="s">
        <v>42</v>
      </c>
      <c r="Q26">
        <v>0</v>
      </c>
      <c r="R26">
        <v>116.44</v>
      </c>
      <c r="S26">
        <v>70.069999999999993</v>
      </c>
      <c r="T26">
        <v>46.37</v>
      </c>
      <c r="U26">
        <f t="shared" si="0"/>
        <v>1</v>
      </c>
    </row>
    <row r="27" spans="1:21" x14ac:dyDescent="0.25">
      <c r="A27" s="2" t="s">
        <v>109</v>
      </c>
      <c r="B27" s="2" t="s">
        <v>110</v>
      </c>
      <c r="C27" s="1">
        <v>45912</v>
      </c>
      <c r="D27" s="2" t="s">
        <v>80</v>
      </c>
      <c r="E27" s="2" t="s">
        <v>46</v>
      </c>
      <c r="F27" s="2" t="s">
        <v>47</v>
      </c>
      <c r="G27">
        <v>2</v>
      </c>
      <c r="H27" s="2" t="s">
        <v>111</v>
      </c>
      <c r="I27">
        <v>58.12</v>
      </c>
      <c r="J27">
        <v>0</v>
      </c>
      <c r="K27">
        <v>0</v>
      </c>
      <c r="L27">
        <v>23.56</v>
      </c>
      <c r="M27">
        <v>21.32</v>
      </c>
      <c r="N27">
        <v>4.6500000000000004</v>
      </c>
      <c r="O27">
        <v>1.99</v>
      </c>
      <c r="P27" s="2" t="s">
        <v>68</v>
      </c>
      <c r="Q27">
        <v>58.12</v>
      </c>
      <c r="R27">
        <v>0</v>
      </c>
      <c r="S27">
        <v>51.52</v>
      </c>
      <c r="T27">
        <v>-51.52</v>
      </c>
      <c r="U27">
        <f t="shared" si="0"/>
        <v>0</v>
      </c>
    </row>
    <row r="28" spans="1:21" x14ac:dyDescent="0.25">
      <c r="A28" s="2" t="s">
        <v>112</v>
      </c>
      <c r="B28" s="2" t="s">
        <v>113</v>
      </c>
      <c r="C28" s="1">
        <v>45914</v>
      </c>
      <c r="D28" s="2" t="s">
        <v>45</v>
      </c>
      <c r="E28" s="2" t="s">
        <v>46</v>
      </c>
      <c r="F28" s="2" t="s">
        <v>94</v>
      </c>
      <c r="G28">
        <v>1</v>
      </c>
      <c r="H28" s="2" t="s">
        <v>74</v>
      </c>
      <c r="I28">
        <v>136.04</v>
      </c>
      <c r="J28">
        <v>10</v>
      </c>
      <c r="K28">
        <v>13.6</v>
      </c>
      <c r="L28">
        <v>6.3</v>
      </c>
      <c r="M28">
        <v>39.68</v>
      </c>
      <c r="N28">
        <v>0</v>
      </c>
      <c r="O28">
        <v>3.85</v>
      </c>
      <c r="P28" s="2" t="s">
        <v>68</v>
      </c>
      <c r="Q28">
        <v>122.44</v>
      </c>
      <c r="R28">
        <v>0</v>
      </c>
      <c r="S28">
        <v>49.83</v>
      </c>
      <c r="T28">
        <v>-49.83</v>
      </c>
      <c r="U28">
        <f t="shared" si="0"/>
        <v>0</v>
      </c>
    </row>
    <row r="29" spans="1:21" x14ac:dyDescent="0.25">
      <c r="A29" s="2" t="s">
        <v>114</v>
      </c>
      <c r="B29" s="2" t="s">
        <v>115</v>
      </c>
      <c r="C29" s="1">
        <v>45929</v>
      </c>
      <c r="D29" s="2" t="s">
        <v>45</v>
      </c>
      <c r="E29" s="2" t="s">
        <v>46</v>
      </c>
      <c r="F29" s="2" t="s">
        <v>94</v>
      </c>
      <c r="G29">
        <v>1</v>
      </c>
      <c r="H29" s="2" t="s">
        <v>52</v>
      </c>
      <c r="I29">
        <v>46.8</v>
      </c>
      <c r="J29">
        <v>5</v>
      </c>
      <c r="K29">
        <v>2.34</v>
      </c>
      <c r="L29">
        <v>9.9</v>
      </c>
      <c r="M29">
        <v>19.21</v>
      </c>
      <c r="N29">
        <v>0</v>
      </c>
      <c r="O29">
        <v>1.59</v>
      </c>
      <c r="P29" s="2" t="s">
        <v>42</v>
      </c>
      <c r="Q29">
        <v>0</v>
      </c>
      <c r="R29">
        <v>44.46</v>
      </c>
      <c r="S29">
        <v>30.7</v>
      </c>
      <c r="T29">
        <v>13.76</v>
      </c>
      <c r="U29">
        <f t="shared" si="0"/>
        <v>1</v>
      </c>
    </row>
    <row r="30" spans="1:21" x14ac:dyDescent="0.25">
      <c r="A30" s="2" t="s">
        <v>116</v>
      </c>
      <c r="B30" s="2" t="s">
        <v>117</v>
      </c>
      <c r="C30" s="1">
        <v>45894</v>
      </c>
      <c r="D30" s="2" t="s">
        <v>59</v>
      </c>
      <c r="E30" s="2" t="s">
        <v>46</v>
      </c>
      <c r="F30" s="2" t="s">
        <v>47</v>
      </c>
      <c r="G30">
        <v>1</v>
      </c>
      <c r="H30" s="2" t="s">
        <v>52</v>
      </c>
      <c r="I30">
        <v>69.12</v>
      </c>
      <c r="J30">
        <v>0</v>
      </c>
      <c r="K30">
        <v>0</v>
      </c>
      <c r="L30">
        <v>9.1</v>
      </c>
      <c r="M30">
        <v>20.88</v>
      </c>
      <c r="N30">
        <v>10.37</v>
      </c>
      <c r="O30">
        <v>2.2999999999999998</v>
      </c>
      <c r="P30" s="2" t="s">
        <v>42</v>
      </c>
      <c r="Q30">
        <v>0</v>
      </c>
      <c r="R30">
        <v>69.12</v>
      </c>
      <c r="S30">
        <v>42.65</v>
      </c>
      <c r="T30">
        <v>26.47</v>
      </c>
      <c r="U30">
        <f t="shared" si="0"/>
        <v>1</v>
      </c>
    </row>
    <row r="31" spans="1:21" x14ac:dyDescent="0.25">
      <c r="A31" s="2" t="s">
        <v>118</v>
      </c>
      <c r="B31" s="2" t="s">
        <v>119</v>
      </c>
      <c r="C31" s="1">
        <v>45692</v>
      </c>
      <c r="D31" s="2" t="s">
        <v>59</v>
      </c>
      <c r="E31" s="2" t="s">
        <v>46</v>
      </c>
      <c r="F31" s="2" t="s">
        <v>51</v>
      </c>
      <c r="G31">
        <v>1</v>
      </c>
      <c r="H31" s="2" t="s">
        <v>64</v>
      </c>
      <c r="I31">
        <v>193.68</v>
      </c>
      <c r="J31">
        <v>5</v>
      </c>
      <c r="K31">
        <v>9.68</v>
      </c>
      <c r="L31">
        <v>14.58</v>
      </c>
      <c r="M31">
        <v>98.01</v>
      </c>
      <c r="N31">
        <v>27.6</v>
      </c>
      <c r="O31">
        <v>5.64</v>
      </c>
      <c r="P31" s="2" t="s">
        <v>42</v>
      </c>
      <c r="Q31">
        <v>0</v>
      </c>
      <c r="R31">
        <v>184</v>
      </c>
      <c r="S31">
        <v>145.83000000000001</v>
      </c>
      <c r="T31">
        <v>38.17</v>
      </c>
      <c r="U31">
        <f t="shared" si="0"/>
        <v>0</v>
      </c>
    </row>
    <row r="32" spans="1:21" x14ac:dyDescent="0.25">
      <c r="A32" s="2" t="s">
        <v>120</v>
      </c>
      <c r="B32" s="2" t="s">
        <v>121</v>
      </c>
      <c r="C32" s="1">
        <v>45700</v>
      </c>
      <c r="D32" s="2" t="s">
        <v>59</v>
      </c>
      <c r="E32" s="2" t="s">
        <v>39</v>
      </c>
      <c r="F32" s="2" t="s">
        <v>47</v>
      </c>
      <c r="G32">
        <v>2</v>
      </c>
      <c r="H32" s="2" t="s">
        <v>111</v>
      </c>
      <c r="I32">
        <v>56.58</v>
      </c>
      <c r="J32">
        <v>0</v>
      </c>
      <c r="K32">
        <v>0</v>
      </c>
      <c r="L32">
        <v>24.44</v>
      </c>
      <c r="M32">
        <v>20.88</v>
      </c>
      <c r="N32">
        <v>8.49</v>
      </c>
      <c r="O32">
        <v>1.94</v>
      </c>
      <c r="P32" s="2" t="s">
        <v>42</v>
      </c>
      <c r="Q32">
        <v>0</v>
      </c>
      <c r="R32">
        <v>56.58</v>
      </c>
      <c r="S32">
        <v>55.75</v>
      </c>
      <c r="T32">
        <v>0.83</v>
      </c>
      <c r="U32">
        <f t="shared" si="0"/>
        <v>0</v>
      </c>
    </row>
    <row r="33" spans="1:21" x14ac:dyDescent="0.25">
      <c r="A33" s="2" t="s">
        <v>122</v>
      </c>
      <c r="B33" s="2" t="s">
        <v>123</v>
      </c>
      <c r="C33" s="1">
        <v>45652</v>
      </c>
      <c r="D33" s="2" t="s">
        <v>45</v>
      </c>
      <c r="E33" s="2" t="s">
        <v>67</v>
      </c>
      <c r="F33" s="2" t="s">
        <v>94</v>
      </c>
      <c r="G33">
        <v>1</v>
      </c>
      <c r="H33" s="2" t="s">
        <v>111</v>
      </c>
      <c r="I33">
        <v>66.44</v>
      </c>
      <c r="J33">
        <v>5</v>
      </c>
      <c r="K33">
        <v>3.32</v>
      </c>
      <c r="L33">
        <v>17.88</v>
      </c>
      <c r="M33">
        <v>38.92</v>
      </c>
      <c r="N33">
        <v>0</v>
      </c>
      <c r="O33">
        <v>2.13</v>
      </c>
      <c r="P33" s="2" t="s">
        <v>42</v>
      </c>
      <c r="Q33">
        <v>0</v>
      </c>
      <c r="R33">
        <v>63.12</v>
      </c>
      <c r="S33">
        <v>58.93</v>
      </c>
      <c r="T33">
        <v>4.1900000000000004</v>
      </c>
      <c r="U33">
        <f t="shared" si="0"/>
        <v>0</v>
      </c>
    </row>
    <row r="34" spans="1:21" x14ac:dyDescent="0.25">
      <c r="A34" s="2" t="s">
        <v>124</v>
      </c>
      <c r="B34" s="2" t="s">
        <v>125</v>
      </c>
      <c r="C34" s="1">
        <v>45745</v>
      </c>
      <c r="D34" s="2" t="s">
        <v>38</v>
      </c>
      <c r="E34" s="2" t="s">
        <v>46</v>
      </c>
      <c r="F34" s="2" t="s">
        <v>47</v>
      </c>
      <c r="G34">
        <v>1</v>
      </c>
      <c r="H34" s="2" t="s">
        <v>74</v>
      </c>
      <c r="I34">
        <v>115.09</v>
      </c>
      <c r="J34">
        <v>25</v>
      </c>
      <c r="K34">
        <v>28.77</v>
      </c>
      <c r="L34">
        <v>8.2200000000000006</v>
      </c>
      <c r="M34">
        <v>33.950000000000003</v>
      </c>
      <c r="N34">
        <v>0</v>
      </c>
      <c r="O34">
        <v>2.8</v>
      </c>
      <c r="P34" s="2" t="s">
        <v>42</v>
      </c>
      <c r="Q34">
        <v>0</v>
      </c>
      <c r="R34">
        <v>86.32</v>
      </c>
      <c r="S34">
        <v>44.97</v>
      </c>
      <c r="T34">
        <v>41.35</v>
      </c>
      <c r="U34">
        <f t="shared" si="0"/>
        <v>0</v>
      </c>
    </row>
    <row r="35" spans="1:21" x14ac:dyDescent="0.25">
      <c r="A35" s="2" t="s">
        <v>126</v>
      </c>
      <c r="B35" s="2" t="s">
        <v>127</v>
      </c>
      <c r="C35" s="1">
        <v>45839</v>
      </c>
      <c r="D35" s="2" t="s">
        <v>45</v>
      </c>
      <c r="E35" s="2" t="s">
        <v>67</v>
      </c>
      <c r="F35" s="2" t="s">
        <v>94</v>
      </c>
      <c r="G35">
        <v>4</v>
      </c>
      <c r="H35" s="2" t="s">
        <v>56</v>
      </c>
      <c r="I35">
        <v>304.16000000000003</v>
      </c>
      <c r="J35">
        <v>10</v>
      </c>
      <c r="K35">
        <v>30.42</v>
      </c>
      <c r="L35">
        <v>84.1</v>
      </c>
      <c r="M35">
        <v>130.47999999999999</v>
      </c>
      <c r="N35">
        <v>0</v>
      </c>
      <c r="O35">
        <v>8.24</v>
      </c>
      <c r="P35" s="2" t="s">
        <v>42</v>
      </c>
      <c r="Q35">
        <v>0</v>
      </c>
      <c r="R35">
        <v>273.74</v>
      </c>
      <c r="S35">
        <v>222.82</v>
      </c>
      <c r="T35">
        <v>50.92</v>
      </c>
      <c r="U35">
        <f t="shared" si="0"/>
        <v>0</v>
      </c>
    </row>
    <row r="36" spans="1:21" x14ac:dyDescent="0.25">
      <c r="A36" s="2" t="s">
        <v>128</v>
      </c>
      <c r="B36" s="2" t="s">
        <v>129</v>
      </c>
      <c r="C36" s="1">
        <v>45828</v>
      </c>
      <c r="D36" s="2" t="s">
        <v>59</v>
      </c>
      <c r="E36" s="2" t="s">
        <v>71</v>
      </c>
      <c r="F36" s="2" t="s">
        <v>94</v>
      </c>
      <c r="G36">
        <v>1</v>
      </c>
      <c r="H36" s="2" t="s">
        <v>48</v>
      </c>
      <c r="I36">
        <v>174.69</v>
      </c>
      <c r="J36">
        <v>0</v>
      </c>
      <c r="K36">
        <v>0</v>
      </c>
      <c r="L36">
        <v>40.26</v>
      </c>
      <c r="M36">
        <v>67.260000000000005</v>
      </c>
      <c r="N36">
        <v>26.2</v>
      </c>
      <c r="O36">
        <v>5.37</v>
      </c>
      <c r="P36" s="2" t="s">
        <v>42</v>
      </c>
      <c r="Q36">
        <v>0</v>
      </c>
      <c r="R36">
        <v>174.69</v>
      </c>
      <c r="S36">
        <v>139.09</v>
      </c>
      <c r="T36">
        <v>35.6</v>
      </c>
      <c r="U36">
        <f t="shared" si="0"/>
        <v>0</v>
      </c>
    </row>
    <row r="37" spans="1:21" x14ac:dyDescent="0.25">
      <c r="A37" s="2" t="s">
        <v>130</v>
      </c>
      <c r="B37" s="2" t="s">
        <v>131</v>
      </c>
      <c r="C37" s="1">
        <v>45534</v>
      </c>
      <c r="D37" s="2" t="s">
        <v>38</v>
      </c>
      <c r="E37" s="2" t="s">
        <v>71</v>
      </c>
      <c r="F37" s="2" t="s">
        <v>94</v>
      </c>
      <c r="G37">
        <v>4</v>
      </c>
      <c r="H37" s="2" t="s">
        <v>74</v>
      </c>
      <c r="I37">
        <v>655.67</v>
      </c>
      <c r="J37">
        <v>0</v>
      </c>
      <c r="K37">
        <v>0</v>
      </c>
      <c r="L37">
        <v>86.02</v>
      </c>
      <c r="M37">
        <v>244.67</v>
      </c>
      <c r="N37">
        <v>0</v>
      </c>
      <c r="O37">
        <v>19.309999999999999</v>
      </c>
      <c r="P37" s="2" t="s">
        <v>42</v>
      </c>
      <c r="Q37">
        <v>0</v>
      </c>
      <c r="R37">
        <v>655.67</v>
      </c>
      <c r="S37">
        <v>350</v>
      </c>
      <c r="T37">
        <v>305.67</v>
      </c>
      <c r="U37">
        <f t="shared" si="0"/>
        <v>0</v>
      </c>
    </row>
    <row r="38" spans="1:21" x14ac:dyDescent="0.25">
      <c r="A38" s="2" t="s">
        <v>132</v>
      </c>
      <c r="B38" s="2" t="s">
        <v>133</v>
      </c>
      <c r="C38" s="1">
        <v>45969</v>
      </c>
      <c r="D38" s="2" t="s">
        <v>45</v>
      </c>
      <c r="E38" s="2" t="s">
        <v>46</v>
      </c>
      <c r="F38" s="2" t="s">
        <v>51</v>
      </c>
      <c r="G38">
        <v>1</v>
      </c>
      <c r="H38" s="2" t="s">
        <v>64</v>
      </c>
      <c r="I38">
        <v>25.84</v>
      </c>
      <c r="J38">
        <v>0</v>
      </c>
      <c r="K38">
        <v>0</v>
      </c>
      <c r="L38">
        <v>14.78</v>
      </c>
      <c r="M38">
        <v>9.89</v>
      </c>
      <c r="N38">
        <v>0</v>
      </c>
      <c r="O38">
        <v>1.05</v>
      </c>
      <c r="P38" s="2" t="s">
        <v>42</v>
      </c>
      <c r="Q38">
        <v>0</v>
      </c>
      <c r="R38">
        <v>25.84</v>
      </c>
      <c r="S38">
        <v>25.72</v>
      </c>
      <c r="T38">
        <v>0.12</v>
      </c>
      <c r="U38">
        <f t="shared" si="0"/>
        <v>0</v>
      </c>
    </row>
    <row r="39" spans="1:21" x14ac:dyDescent="0.25">
      <c r="A39" s="2" t="s">
        <v>134</v>
      </c>
      <c r="B39" s="2" t="s">
        <v>61</v>
      </c>
      <c r="C39" s="1">
        <v>45690</v>
      </c>
      <c r="D39" s="2" t="s">
        <v>45</v>
      </c>
      <c r="E39" s="2" t="s">
        <v>46</v>
      </c>
      <c r="F39" s="2" t="s">
        <v>40</v>
      </c>
      <c r="G39">
        <v>3</v>
      </c>
      <c r="H39" s="2" t="s">
        <v>48</v>
      </c>
      <c r="I39">
        <v>647.14</v>
      </c>
      <c r="J39">
        <v>25</v>
      </c>
      <c r="K39">
        <v>161.78</v>
      </c>
      <c r="L39">
        <v>51.56</v>
      </c>
      <c r="M39">
        <v>245.48</v>
      </c>
      <c r="N39">
        <v>0</v>
      </c>
      <c r="O39">
        <v>14.38</v>
      </c>
      <c r="P39" s="2" t="s">
        <v>42</v>
      </c>
      <c r="Q39">
        <v>0</v>
      </c>
      <c r="R39">
        <v>485.36</v>
      </c>
      <c r="S39">
        <v>311.42</v>
      </c>
      <c r="T39">
        <v>173.94</v>
      </c>
      <c r="U39">
        <f t="shared" si="0"/>
        <v>0</v>
      </c>
    </row>
    <row r="40" spans="1:21" x14ac:dyDescent="0.25">
      <c r="A40" s="2" t="s">
        <v>135</v>
      </c>
      <c r="B40" s="2" t="s">
        <v>136</v>
      </c>
      <c r="C40" s="1">
        <v>45781</v>
      </c>
      <c r="D40" s="2" t="s">
        <v>38</v>
      </c>
      <c r="E40" s="2" t="s">
        <v>71</v>
      </c>
      <c r="F40" s="2" t="s">
        <v>51</v>
      </c>
      <c r="G40">
        <v>1</v>
      </c>
      <c r="H40" s="2" t="s">
        <v>64</v>
      </c>
      <c r="I40">
        <v>50.13</v>
      </c>
      <c r="J40">
        <v>5</v>
      </c>
      <c r="K40">
        <v>2.5099999999999998</v>
      </c>
      <c r="L40">
        <v>4.22</v>
      </c>
      <c r="M40">
        <v>31.64</v>
      </c>
      <c r="N40">
        <v>0</v>
      </c>
      <c r="O40">
        <v>1.68</v>
      </c>
      <c r="P40" s="2" t="s">
        <v>42</v>
      </c>
      <c r="Q40">
        <v>0</v>
      </c>
      <c r="R40">
        <v>47.62</v>
      </c>
      <c r="S40">
        <v>37.54</v>
      </c>
      <c r="T40">
        <v>10.08</v>
      </c>
      <c r="U40">
        <f t="shared" si="0"/>
        <v>0</v>
      </c>
    </row>
    <row r="41" spans="1:21" x14ac:dyDescent="0.25">
      <c r="A41" s="2" t="s">
        <v>137</v>
      </c>
      <c r="B41" s="2" t="s">
        <v>138</v>
      </c>
      <c r="C41" s="1">
        <v>45550</v>
      </c>
      <c r="D41" s="2" t="s">
        <v>80</v>
      </c>
      <c r="E41" s="2" t="s">
        <v>46</v>
      </c>
      <c r="F41" s="2" t="s">
        <v>47</v>
      </c>
      <c r="G41">
        <v>2</v>
      </c>
      <c r="H41" s="2" t="s">
        <v>77</v>
      </c>
      <c r="I41">
        <v>69.55</v>
      </c>
      <c r="J41">
        <v>15</v>
      </c>
      <c r="K41">
        <v>10.43</v>
      </c>
      <c r="L41">
        <v>21.64</v>
      </c>
      <c r="M41">
        <v>32.89</v>
      </c>
      <c r="N41">
        <v>4.7300000000000004</v>
      </c>
      <c r="O41">
        <v>2.0099999999999998</v>
      </c>
      <c r="P41" s="2" t="s">
        <v>42</v>
      </c>
      <c r="Q41">
        <v>0</v>
      </c>
      <c r="R41">
        <v>59.12</v>
      </c>
      <c r="S41">
        <v>61.27</v>
      </c>
      <c r="T41">
        <v>-2.15</v>
      </c>
      <c r="U41">
        <f t="shared" si="0"/>
        <v>0</v>
      </c>
    </row>
    <row r="42" spans="1:21" x14ac:dyDescent="0.25">
      <c r="A42" s="2" t="s">
        <v>139</v>
      </c>
      <c r="B42" s="2" t="s">
        <v>140</v>
      </c>
      <c r="C42" s="1">
        <v>45853</v>
      </c>
      <c r="D42" s="2" t="s">
        <v>59</v>
      </c>
      <c r="E42" s="2" t="s">
        <v>46</v>
      </c>
      <c r="F42" s="2" t="s">
        <v>94</v>
      </c>
      <c r="G42">
        <v>1</v>
      </c>
      <c r="H42" s="2" t="s">
        <v>41</v>
      </c>
      <c r="I42">
        <v>24.38</v>
      </c>
      <c r="J42">
        <v>10</v>
      </c>
      <c r="K42">
        <v>2.44</v>
      </c>
      <c r="L42">
        <v>13.9</v>
      </c>
      <c r="M42">
        <v>16.190000000000001</v>
      </c>
      <c r="N42">
        <v>3.29</v>
      </c>
      <c r="O42">
        <v>0.94</v>
      </c>
      <c r="P42" s="2" t="s">
        <v>42</v>
      </c>
      <c r="Q42">
        <v>0</v>
      </c>
      <c r="R42">
        <v>21.94</v>
      </c>
      <c r="S42">
        <v>34.32</v>
      </c>
      <c r="T42">
        <v>-12.38</v>
      </c>
      <c r="U42">
        <f t="shared" si="0"/>
        <v>0</v>
      </c>
    </row>
    <row r="43" spans="1:21" x14ac:dyDescent="0.25">
      <c r="A43" s="2" t="s">
        <v>141</v>
      </c>
      <c r="B43" s="2" t="s">
        <v>96</v>
      </c>
      <c r="C43" s="1">
        <v>45901</v>
      </c>
      <c r="D43" s="2" t="s">
        <v>45</v>
      </c>
      <c r="E43" s="2" t="s">
        <v>71</v>
      </c>
      <c r="F43" s="2" t="s">
        <v>85</v>
      </c>
      <c r="G43">
        <v>2</v>
      </c>
      <c r="H43" s="2" t="s">
        <v>56</v>
      </c>
      <c r="I43">
        <v>117.38</v>
      </c>
      <c r="J43">
        <v>0</v>
      </c>
      <c r="K43">
        <v>0</v>
      </c>
      <c r="L43">
        <v>19</v>
      </c>
      <c r="M43">
        <v>55.87</v>
      </c>
      <c r="N43">
        <v>0</v>
      </c>
      <c r="O43">
        <v>3.7</v>
      </c>
      <c r="P43" s="2" t="s">
        <v>42</v>
      </c>
      <c r="Q43">
        <v>0</v>
      </c>
      <c r="R43">
        <v>117.38</v>
      </c>
      <c r="S43">
        <v>78.569999999999993</v>
      </c>
      <c r="T43">
        <v>38.81</v>
      </c>
      <c r="U43">
        <f t="shared" si="0"/>
        <v>0</v>
      </c>
    </row>
    <row r="44" spans="1:21" x14ac:dyDescent="0.25">
      <c r="A44" s="2" t="s">
        <v>142</v>
      </c>
      <c r="B44" s="2" t="s">
        <v>143</v>
      </c>
      <c r="C44" s="1">
        <v>45955</v>
      </c>
      <c r="D44" s="2" t="s">
        <v>38</v>
      </c>
      <c r="E44" s="2" t="s">
        <v>46</v>
      </c>
      <c r="F44" s="2" t="s">
        <v>94</v>
      </c>
      <c r="G44">
        <v>1</v>
      </c>
      <c r="H44" s="2" t="s">
        <v>52</v>
      </c>
      <c r="I44">
        <v>69.12</v>
      </c>
      <c r="J44">
        <v>20</v>
      </c>
      <c r="K44">
        <v>13.82</v>
      </c>
      <c r="L44">
        <v>9.1</v>
      </c>
      <c r="M44">
        <v>20.88</v>
      </c>
      <c r="N44">
        <v>0</v>
      </c>
      <c r="O44">
        <v>1.9</v>
      </c>
      <c r="P44" s="2" t="s">
        <v>42</v>
      </c>
      <c r="Q44">
        <v>0</v>
      </c>
      <c r="R44">
        <v>55.3</v>
      </c>
      <c r="S44">
        <v>31.88</v>
      </c>
      <c r="T44">
        <v>23.42</v>
      </c>
      <c r="U44">
        <f t="shared" si="0"/>
        <v>0</v>
      </c>
    </row>
    <row r="45" spans="1:21" x14ac:dyDescent="0.25">
      <c r="A45" s="2" t="s">
        <v>144</v>
      </c>
      <c r="B45" s="2" t="s">
        <v>145</v>
      </c>
      <c r="C45" s="1">
        <v>45984</v>
      </c>
      <c r="D45" s="2" t="s">
        <v>45</v>
      </c>
      <c r="E45" s="2" t="s">
        <v>46</v>
      </c>
      <c r="F45" s="2" t="s">
        <v>40</v>
      </c>
      <c r="G45">
        <v>2</v>
      </c>
      <c r="H45" s="2" t="s">
        <v>74</v>
      </c>
      <c r="I45">
        <v>88.35</v>
      </c>
      <c r="J45">
        <v>20</v>
      </c>
      <c r="K45">
        <v>17.670000000000002</v>
      </c>
      <c r="L45">
        <v>30.98</v>
      </c>
      <c r="M45">
        <v>33.97</v>
      </c>
      <c r="N45">
        <v>0</v>
      </c>
      <c r="O45">
        <v>2.35</v>
      </c>
      <c r="P45" s="2" t="s">
        <v>42</v>
      </c>
      <c r="Q45">
        <v>0</v>
      </c>
      <c r="R45">
        <v>70.680000000000007</v>
      </c>
      <c r="S45">
        <v>67.3</v>
      </c>
      <c r="T45">
        <v>3.38</v>
      </c>
      <c r="U45">
        <f t="shared" si="0"/>
        <v>0</v>
      </c>
    </row>
    <row r="46" spans="1:21" x14ac:dyDescent="0.25">
      <c r="A46" s="2" t="s">
        <v>146</v>
      </c>
      <c r="B46" s="2" t="s">
        <v>147</v>
      </c>
      <c r="C46" s="1">
        <v>45613</v>
      </c>
      <c r="D46" s="2" t="s">
        <v>59</v>
      </c>
      <c r="E46" s="2" t="s">
        <v>46</v>
      </c>
      <c r="F46" s="2" t="s">
        <v>51</v>
      </c>
      <c r="G46">
        <v>1</v>
      </c>
      <c r="H46" s="2" t="s">
        <v>77</v>
      </c>
      <c r="I46">
        <v>20.16</v>
      </c>
      <c r="J46">
        <v>25</v>
      </c>
      <c r="K46">
        <v>5.04</v>
      </c>
      <c r="L46">
        <v>5.98</v>
      </c>
      <c r="M46">
        <v>7.08</v>
      </c>
      <c r="N46">
        <v>2.27</v>
      </c>
      <c r="O46">
        <v>0.74</v>
      </c>
      <c r="P46" s="2" t="s">
        <v>42</v>
      </c>
      <c r="Q46">
        <v>0</v>
      </c>
      <c r="R46">
        <v>15.12</v>
      </c>
      <c r="S46">
        <v>16.07</v>
      </c>
      <c r="T46">
        <v>-0.95</v>
      </c>
      <c r="U46">
        <f t="shared" si="0"/>
        <v>0</v>
      </c>
    </row>
    <row r="47" spans="1:21" x14ac:dyDescent="0.25">
      <c r="A47" s="2" t="s">
        <v>148</v>
      </c>
      <c r="B47" s="2" t="s">
        <v>149</v>
      </c>
      <c r="C47" s="1">
        <v>45560</v>
      </c>
      <c r="D47" s="2" t="s">
        <v>45</v>
      </c>
      <c r="E47" s="2" t="s">
        <v>46</v>
      </c>
      <c r="F47" s="2" t="s">
        <v>94</v>
      </c>
      <c r="G47">
        <v>5</v>
      </c>
      <c r="H47" s="2" t="s">
        <v>41</v>
      </c>
      <c r="I47">
        <v>863.29</v>
      </c>
      <c r="J47">
        <v>0</v>
      </c>
      <c r="K47">
        <v>0</v>
      </c>
      <c r="L47">
        <v>102.66</v>
      </c>
      <c r="M47">
        <v>341.09</v>
      </c>
      <c r="N47">
        <v>0</v>
      </c>
      <c r="O47">
        <v>25.34</v>
      </c>
      <c r="P47" s="2" t="s">
        <v>68</v>
      </c>
      <c r="Q47">
        <v>863.29</v>
      </c>
      <c r="R47">
        <v>0</v>
      </c>
      <c r="S47">
        <v>469.09</v>
      </c>
      <c r="T47">
        <v>-469.09</v>
      </c>
      <c r="U47">
        <f t="shared" si="0"/>
        <v>0</v>
      </c>
    </row>
    <row r="48" spans="1:21" x14ac:dyDescent="0.25">
      <c r="A48" s="2" t="s">
        <v>150</v>
      </c>
      <c r="B48" s="2" t="s">
        <v>151</v>
      </c>
      <c r="C48" s="1">
        <v>45861</v>
      </c>
      <c r="D48" s="2" t="s">
        <v>59</v>
      </c>
      <c r="E48" s="2" t="s">
        <v>71</v>
      </c>
      <c r="F48" s="2" t="s">
        <v>85</v>
      </c>
      <c r="G48">
        <v>1</v>
      </c>
      <c r="H48" s="2" t="s">
        <v>48</v>
      </c>
      <c r="I48">
        <v>11.82</v>
      </c>
      <c r="J48">
        <v>5</v>
      </c>
      <c r="K48">
        <v>0.59</v>
      </c>
      <c r="L48">
        <v>11.9</v>
      </c>
      <c r="M48">
        <v>5.81</v>
      </c>
      <c r="N48">
        <v>1.68</v>
      </c>
      <c r="O48">
        <v>0.63</v>
      </c>
      <c r="P48" s="2" t="s">
        <v>42</v>
      </c>
      <c r="Q48">
        <v>0</v>
      </c>
      <c r="R48">
        <v>11.23</v>
      </c>
      <c r="S48">
        <v>20.02</v>
      </c>
      <c r="T48">
        <v>-8.7899999999999991</v>
      </c>
      <c r="U48">
        <f t="shared" si="0"/>
        <v>0</v>
      </c>
    </row>
    <row r="49" spans="1:21" x14ac:dyDescent="0.25">
      <c r="A49" s="2" t="s">
        <v>152</v>
      </c>
      <c r="B49" s="2" t="s">
        <v>153</v>
      </c>
      <c r="C49" s="1">
        <v>45616</v>
      </c>
      <c r="D49" s="2" t="s">
        <v>59</v>
      </c>
      <c r="E49" s="2" t="s">
        <v>39</v>
      </c>
      <c r="F49" s="2" t="s">
        <v>47</v>
      </c>
      <c r="G49">
        <v>1</v>
      </c>
      <c r="H49" s="2" t="s">
        <v>74</v>
      </c>
      <c r="I49">
        <v>85.06</v>
      </c>
      <c r="J49">
        <v>20</v>
      </c>
      <c r="K49">
        <v>17.010000000000002</v>
      </c>
      <c r="L49">
        <v>11.82</v>
      </c>
      <c r="M49">
        <v>36.72</v>
      </c>
      <c r="N49">
        <v>10.210000000000001</v>
      </c>
      <c r="O49">
        <v>2.27</v>
      </c>
      <c r="P49" s="2" t="s">
        <v>42</v>
      </c>
      <c r="Q49">
        <v>0</v>
      </c>
      <c r="R49">
        <v>68.05</v>
      </c>
      <c r="S49">
        <v>61.02</v>
      </c>
      <c r="T49">
        <v>7.03</v>
      </c>
      <c r="U49">
        <f t="shared" si="0"/>
        <v>1</v>
      </c>
    </row>
    <row r="50" spans="1:21" x14ac:dyDescent="0.25">
      <c r="A50" s="2" t="s">
        <v>154</v>
      </c>
      <c r="B50" s="2" t="s">
        <v>155</v>
      </c>
      <c r="C50" s="1">
        <v>45817</v>
      </c>
      <c r="D50" s="2" t="s">
        <v>59</v>
      </c>
      <c r="E50" s="2" t="s">
        <v>46</v>
      </c>
      <c r="F50" s="2" t="s">
        <v>85</v>
      </c>
      <c r="G50">
        <v>2</v>
      </c>
      <c r="H50" s="2" t="s">
        <v>74</v>
      </c>
      <c r="I50">
        <v>203.21</v>
      </c>
      <c r="J50">
        <v>10</v>
      </c>
      <c r="K50">
        <v>20.32</v>
      </c>
      <c r="L50">
        <v>29.72</v>
      </c>
      <c r="M50">
        <v>64.760000000000005</v>
      </c>
      <c r="N50">
        <v>27.43</v>
      </c>
      <c r="O50">
        <v>5.6</v>
      </c>
      <c r="P50" s="2" t="s">
        <v>42</v>
      </c>
      <c r="Q50">
        <v>0</v>
      </c>
      <c r="R50">
        <v>182.89</v>
      </c>
      <c r="S50">
        <v>127.51</v>
      </c>
      <c r="T50">
        <v>55.38</v>
      </c>
      <c r="U50">
        <f t="shared" si="0"/>
        <v>0</v>
      </c>
    </row>
    <row r="51" spans="1:21" x14ac:dyDescent="0.25">
      <c r="A51" s="2" t="s">
        <v>156</v>
      </c>
      <c r="B51" s="2" t="s">
        <v>157</v>
      </c>
      <c r="C51" s="1">
        <v>45684</v>
      </c>
      <c r="D51" s="2" t="s">
        <v>80</v>
      </c>
      <c r="E51" s="2" t="s">
        <v>55</v>
      </c>
      <c r="F51" s="2" t="s">
        <v>85</v>
      </c>
      <c r="G51">
        <v>5</v>
      </c>
      <c r="H51" s="2" t="s">
        <v>111</v>
      </c>
      <c r="I51">
        <v>294.17</v>
      </c>
      <c r="J51">
        <v>15</v>
      </c>
      <c r="K51">
        <v>44.13</v>
      </c>
      <c r="L51">
        <v>73</v>
      </c>
      <c r="M51">
        <v>116.48</v>
      </c>
      <c r="N51">
        <v>20</v>
      </c>
      <c r="O51">
        <v>7.55</v>
      </c>
      <c r="P51" s="2" t="s">
        <v>42</v>
      </c>
      <c r="Q51">
        <v>0</v>
      </c>
      <c r="R51">
        <v>250.04</v>
      </c>
      <c r="S51">
        <v>217.03</v>
      </c>
      <c r="T51">
        <v>33.01</v>
      </c>
      <c r="U51">
        <f t="shared" si="0"/>
        <v>0</v>
      </c>
    </row>
    <row r="52" spans="1:21" x14ac:dyDescent="0.25">
      <c r="A52" s="2" t="s">
        <v>158</v>
      </c>
      <c r="B52" s="2" t="s">
        <v>159</v>
      </c>
      <c r="C52" s="1">
        <v>45667</v>
      </c>
      <c r="D52" s="2" t="s">
        <v>45</v>
      </c>
      <c r="E52" s="2" t="s">
        <v>46</v>
      </c>
      <c r="F52" s="2" t="s">
        <v>94</v>
      </c>
      <c r="G52">
        <v>1</v>
      </c>
      <c r="H52" s="2" t="s">
        <v>74</v>
      </c>
      <c r="I52">
        <v>66.05</v>
      </c>
      <c r="J52">
        <v>15</v>
      </c>
      <c r="K52">
        <v>9.91</v>
      </c>
      <c r="L52">
        <v>14.86</v>
      </c>
      <c r="M52">
        <v>23.44</v>
      </c>
      <c r="N52">
        <v>0</v>
      </c>
      <c r="O52">
        <v>1.93</v>
      </c>
      <c r="P52" s="2" t="s">
        <v>42</v>
      </c>
      <c r="Q52">
        <v>0</v>
      </c>
      <c r="R52">
        <v>56.14</v>
      </c>
      <c r="S52">
        <v>40.229999999999997</v>
      </c>
      <c r="T52">
        <v>15.91</v>
      </c>
      <c r="U52">
        <f t="shared" si="0"/>
        <v>0</v>
      </c>
    </row>
    <row r="53" spans="1:21" x14ac:dyDescent="0.25">
      <c r="A53" s="2" t="s">
        <v>160</v>
      </c>
      <c r="B53" s="2" t="s">
        <v>161</v>
      </c>
      <c r="C53" s="1">
        <v>45983</v>
      </c>
      <c r="D53" s="2" t="s">
        <v>38</v>
      </c>
      <c r="E53" s="2" t="s">
        <v>71</v>
      </c>
      <c r="F53" s="2" t="s">
        <v>85</v>
      </c>
      <c r="G53">
        <v>2</v>
      </c>
      <c r="H53" s="2" t="s">
        <v>111</v>
      </c>
      <c r="I53">
        <v>202.12</v>
      </c>
      <c r="J53">
        <v>15</v>
      </c>
      <c r="K53">
        <v>30.32</v>
      </c>
      <c r="L53">
        <v>23.48</v>
      </c>
      <c r="M53">
        <v>79.94</v>
      </c>
      <c r="N53">
        <v>0</v>
      </c>
      <c r="O53">
        <v>5.28</v>
      </c>
      <c r="P53" s="2" t="s">
        <v>42</v>
      </c>
      <c r="Q53">
        <v>0</v>
      </c>
      <c r="R53">
        <v>171.8</v>
      </c>
      <c r="S53">
        <v>108.7</v>
      </c>
      <c r="T53">
        <v>63.1</v>
      </c>
      <c r="U53">
        <f t="shared" si="0"/>
        <v>0</v>
      </c>
    </row>
    <row r="54" spans="1:21" x14ac:dyDescent="0.25">
      <c r="A54" s="2" t="s">
        <v>162</v>
      </c>
      <c r="B54" s="2" t="s">
        <v>163</v>
      </c>
      <c r="C54" s="1">
        <v>45839</v>
      </c>
      <c r="D54" s="2" t="s">
        <v>38</v>
      </c>
      <c r="E54" s="2" t="s">
        <v>71</v>
      </c>
      <c r="F54" s="2" t="s">
        <v>94</v>
      </c>
      <c r="G54">
        <v>1</v>
      </c>
      <c r="H54" s="2" t="s">
        <v>48</v>
      </c>
      <c r="I54">
        <v>61.44</v>
      </c>
      <c r="J54">
        <v>15</v>
      </c>
      <c r="K54">
        <v>9.2200000000000006</v>
      </c>
      <c r="L54">
        <v>12.06</v>
      </c>
      <c r="M54">
        <v>19.8</v>
      </c>
      <c r="N54">
        <v>0</v>
      </c>
      <c r="O54">
        <v>1.81</v>
      </c>
      <c r="P54" s="2" t="s">
        <v>42</v>
      </c>
      <c r="Q54">
        <v>0</v>
      </c>
      <c r="R54">
        <v>52.22</v>
      </c>
      <c r="S54">
        <v>33.67</v>
      </c>
      <c r="T54">
        <v>18.55</v>
      </c>
      <c r="U54">
        <f t="shared" si="0"/>
        <v>0</v>
      </c>
    </row>
    <row r="55" spans="1:21" x14ac:dyDescent="0.25">
      <c r="A55" s="2" t="s">
        <v>164</v>
      </c>
      <c r="B55" s="2" t="s">
        <v>165</v>
      </c>
      <c r="C55" s="1">
        <v>45867</v>
      </c>
      <c r="D55" s="2" t="s">
        <v>45</v>
      </c>
      <c r="E55" s="2" t="s">
        <v>67</v>
      </c>
      <c r="F55" s="2" t="s">
        <v>40</v>
      </c>
      <c r="G55">
        <v>4</v>
      </c>
      <c r="H55" s="2" t="s">
        <v>52</v>
      </c>
      <c r="I55">
        <v>274.52999999999997</v>
      </c>
      <c r="J55">
        <v>10</v>
      </c>
      <c r="K55">
        <v>27.45</v>
      </c>
      <c r="L55">
        <v>26.96</v>
      </c>
      <c r="M55">
        <v>111.46</v>
      </c>
      <c r="N55">
        <v>0</v>
      </c>
      <c r="O55">
        <v>7.47</v>
      </c>
      <c r="P55" s="2" t="s">
        <v>42</v>
      </c>
      <c r="Q55">
        <v>0</v>
      </c>
      <c r="R55">
        <v>247.08</v>
      </c>
      <c r="S55">
        <v>145.88999999999999</v>
      </c>
      <c r="T55">
        <v>101.19</v>
      </c>
      <c r="U55">
        <f t="shared" si="0"/>
        <v>0</v>
      </c>
    </row>
    <row r="56" spans="1:21" x14ac:dyDescent="0.25">
      <c r="A56" s="2" t="s">
        <v>166</v>
      </c>
      <c r="B56" s="2" t="s">
        <v>151</v>
      </c>
      <c r="C56" s="1">
        <v>45870</v>
      </c>
      <c r="D56" s="2" t="s">
        <v>59</v>
      </c>
      <c r="E56" s="2" t="s">
        <v>46</v>
      </c>
      <c r="F56" s="2" t="s">
        <v>40</v>
      </c>
      <c r="G56">
        <v>2</v>
      </c>
      <c r="H56" s="2" t="s">
        <v>41</v>
      </c>
      <c r="I56">
        <v>374.98</v>
      </c>
      <c r="J56">
        <v>5</v>
      </c>
      <c r="K56">
        <v>18.75</v>
      </c>
      <c r="L56">
        <v>18.84</v>
      </c>
      <c r="M56">
        <v>133.53</v>
      </c>
      <c r="N56">
        <v>53.43</v>
      </c>
      <c r="O56">
        <v>10.63</v>
      </c>
      <c r="P56" s="2" t="s">
        <v>68</v>
      </c>
      <c r="Q56">
        <v>356.23</v>
      </c>
      <c r="R56">
        <v>0</v>
      </c>
      <c r="S56">
        <v>216.43</v>
      </c>
      <c r="T56">
        <v>-216.43</v>
      </c>
      <c r="U56">
        <f t="shared" si="0"/>
        <v>0</v>
      </c>
    </row>
    <row r="57" spans="1:21" x14ac:dyDescent="0.25">
      <c r="A57" s="2" t="s">
        <v>167</v>
      </c>
      <c r="B57" s="2" t="s">
        <v>168</v>
      </c>
      <c r="C57" s="1">
        <v>45432</v>
      </c>
      <c r="D57" s="2" t="s">
        <v>45</v>
      </c>
      <c r="E57" s="2" t="s">
        <v>39</v>
      </c>
      <c r="F57" s="2" t="s">
        <v>85</v>
      </c>
      <c r="G57">
        <v>3</v>
      </c>
      <c r="H57" s="2" t="s">
        <v>77</v>
      </c>
      <c r="I57">
        <v>69.88</v>
      </c>
      <c r="J57">
        <v>20</v>
      </c>
      <c r="K57">
        <v>13.98</v>
      </c>
      <c r="L57">
        <v>25.28</v>
      </c>
      <c r="M57">
        <v>26.93</v>
      </c>
      <c r="N57">
        <v>0</v>
      </c>
      <c r="O57">
        <v>1.92</v>
      </c>
      <c r="P57" s="2" t="s">
        <v>42</v>
      </c>
      <c r="Q57">
        <v>0</v>
      </c>
      <c r="R57">
        <v>55.9</v>
      </c>
      <c r="S57">
        <v>54.13</v>
      </c>
      <c r="T57">
        <v>1.77</v>
      </c>
      <c r="U57">
        <f t="shared" si="0"/>
        <v>0</v>
      </c>
    </row>
    <row r="58" spans="1:21" x14ac:dyDescent="0.25">
      <c r="A58" s="2" t="s">
        <v>169</v>
      </c>
      <c r="B58" s="2" t="s">
        <v>170</v>
      </c>
      <c r="C58" s="1">
        <v>45839</v>
      </c>
      <c r="D58" s="2" t="s">
        <v>45</v>
      </c>
      <c r="E58" s="2" t="s">
        <v>46</v>
      </c>
      <c r="F58" s="2" t="s">
        <v>94</v>
      </c>
      <c r="G58">
        <v>1</v>
      </c>
      <c r="H58" s="2" t="s">
        <v>48</v>
      </c>
      <c r="I58">
        <v>72.06</v>
      </c>
      <c r="J58">
        <v>10</v>
      </c>
      <c r="K58">
        <v>7.21</v>
      </c>
      <c r="L58">
        <v>11.94</v>
      </c>
      <c r="M58">
        <v>32.25</v>
      </c>
      <c r="N58">
        <v>0</v>
      </c>
      <c r="O58">
        <v>2.1800000000000002</v>
      </c>
      <c r="P58" s="2" t="s">
        <v>42</v>
      </c>
      <c r="Q58">
        <v>0</v>
      </c>
      <c r="R58">
        <v>64.849999999999994</v>
      </c>
      <c r="S58">
        <v>46.37</v>
      </c>
      <c r="T58">
        <v>18.48</v>
      </c>
      <c r="U58">
        <f t="shared" si="0"/>
        <v>1</v>
      </c>
    </row>
    <row r="59" spans="1:21" x14ac:dyDescent="0.25">
      <c r="A59" s="2" t="s">
        <v>171</v>
      </c>
      <c r="B59" s="2" t="s">
        <v>172</v>
      </c>
      <c r="C59" s="1">
        <v>45811</v>
      </c>
      <c r="D59" s="2" t="s">
        <v>38</v>
      </c>
      <c r="E59" s="2" t="s">
        <v>71</v>
      </c>
      <c r="F59" s="2" t="s">
        <v>47</v>
      </c>
      <c r="G59">
        <v>1</v>
      </c>
      <c r="H59" s="2" t="s">
        <v>77</v>
      </c>
      <c r="I59">
        <v>3.49</v>
      </c>
      <c r="J59">
        <v>0</v>
      </c>
      <c r="K59">
        <v>0</v>
      </c>
      <c r="L59">
        <v>10.38</v>
      </c>
      <c r="M59">
        <v>2.17</v>
      </c>
      <c r="N59">
        <v>0</v>
      </c>
      <c r="O59">
        <v>0.4</v>
      </c>
      <c r="P59" s="2" t="s">
        <v>68</v>
      </c>
      <c r="Q59">
        <v>3.49</v>
      </c>
      <c r="R59">
        <v>0</v>
      </c>
      <c r="S59">
        <v>12.95</v>
      </c>
      <c r="T59">
        <v>-12.95</v>
      </c>
      <c r="U59">
        <f t="shared" si="0"/>
        <v>0</v>
      </c>
    </row>
    <row r="60" spans="1:21" x14ac:dyDescent="0.25">
      <c r="A60" s="2" t="s">
        <v>173</v>
      </c>
      <c r="B60" s="2" t="s">
        <v>174</v>
      </c>
      <c r="C60" s="1">
        <v>45573</v>
      </c>
      <c r="D60" s="2" t="s">
        <v>45</v>
      </c>
      <c r="E60" s="2" t="s">
        <v>39</v>
      </c>
      <c r="F60" s="2" t="s">
        <v>47</v>
      </c>
      <c r="G60">
        <v>2</v>
      </c>
      <c r="H60" s="2" t="s">
        <v>74</v>
      </c>
      <c r="I60">
        <v>26.95</v>
      </c>
      <c r="J60">
        <v>15</v>
      </c>
      <c r="K60">
        <v>4.04</v>
      </c>
      <c r="L60">
        <v>20.84</v>
      </c>
      <c r="M60">
        <v>16.07</v>
      </c>
      <c r="N60">
        <v>0</v>
      </c>
      <c r="O60">
        <v>0.96</v>
      </c>
      <c r="P60" s="2" t="s">
        <v>42</v>
      </c>
      <c r="Q60">
        <v>0</v>
      </c>
      <c r="R60">
        <v>22.91</v>
      </c>
      <c r="S60">
        <v>37.869999999999997</v>
      </c>
      <c r="T60">
        <v>-14.96</v>
      </c>
      <c r="U60">
        <f t="shared" si="0"/>
        <v>0</v>
      </c>
    </row>
    <row r="61" spans="1:21" x14ac:dyDescent="0.25">
      <c r="A61" s="2" t="s">
        <v>175</v>
      </c>
      <c r="B61" s="2" t="s">
        <v>176</v>
      </c>
      <c r="C61" s="1">
        <v>45428</v>
      </c>
      <c r="D61" s="2" t="s">
        <v>38</v>
      </c>
      <c r="E61" s="2" t="s">
        <v>71</v>
      </c>
      <c r="F61" s="2" t="s">
        <v>85</v>
      </c>
      <c r="G61">
        <v>1</v>
      </c>
      <c r="H61" s="2" t="s">
        <v>52</v>
      </c>
      <c r="I61">
        <v>90.54</v>
      </c>
      <c r="J61">
        <v>20</v>
      </c>
      <c r="K61">
        <v>18.11</v>
      </c>
      <c r="L61">
        <v>25.56</v>
      </c>
      <c r="M61">
        <v>47.98</v>
      </c>
      <c r="N61">
        <v>0</v>
      </c>
      <c r="O61">
        <v>2.4</v>
      </c>
      <c r="P61" s="2" t="s">
        <v>42</v>
      </c>
      <c r="Q61">
        <v>0</v>
      </c>
      <c r="R61">
        <v>72.430000000000007</v>
      </c>
      <c r="S61">
        <v>75.94</v>
      </c>
      <c r="T61">
        <v>-3.51</v>
      </c>
      <c r="U61">
        <f t="shared" si="0"/>
        <v>1</v>
      </c>
    </row>
    <row r="62" spans="1:21" x14ac:dyDescent="0.25">
      <c r="A62" s="2" t="s">
        <v>177</v>
      </c>
      <c r="B62" s="2" t="s">
        <v>174</v>
      </c>
      <c r="C62" s="1">
        <v>45982</v>
      </c>
      <c r="D62" s="2" t="s">
        <v>59</v>
      </c>
      <c r="E62" s="2" t="s">
        <v>71</v>
      </c>
      <c r="F62" s="2" t="s">
        <v>85</v>
      </c>
      <c r="G62">
        <v>2</v>
      </c>
      <c r="H62" s="2" t="s">
        <v>74</v>
      </c>
      <c r="I62">
        <v>54.47</v>
      </c>
      <c r="J62">
        <v>15</v>
      </c>
      <c r="K62">
        <v>8.17</v>
      </c>
      <c r="L62">
        <v>23.08</v>
      </c>
      <c r="M62">
        <v>21.48</v>
      </c>
      <c r="N62">
        <v>6.94</v>
      </c>
      <c r="O62">
        <v>1.64</v>
      </c>
      <c r="P62" s="2" t="s">
        <v>42</v>
      </c>
      <c r="Q62">
        <v>0</v>
      </c>
      <c r="R62">
        <v>46.3</v>
      </c>
      <c r="S62">
        <v>53.14</v>
      </c>
      <c r="T62">
        <v>-6.84</v>
      </c>
      <c r="U62">
        <f t="shared" si="0"/>
        <v>0</v>
      </c>
    </row>
    <row r="63" spans="1:21" x14ac:dyDescent="0.25">
      <c r="A63" s="2" t="s">
        <v>178</v>
      </c>
      <c r="B63" s="2" t="s">
        <v>82</v>
      </c>
      <c r="C63" s="1">
        <v>45776</v>
      </c>
      <c r="D63" s="2" t="s">
        <v>45</v>
      </c>
      <c r="E63" s="2" t="s">
        <v>46</v>
      </c>
      <c r="F63" s="2" t="s">
        <v>47</v>
      </c>
      <c r="G63">
        <v>2</v>
      </c>
      <c r="H63" s="2" t="s">
        <v>48</v>
      </c>
      <c r="I63">
        <v>220.38</v>
      </c>
      <c r="J63">
        <v>5</v>
      </c>
      <c r="K63">
        <v>11.02</v>
      </c>
      <c r="L63">
        <v>24.76</v>
      </c>
      <c r="M63">
        <v>65.569999999999993</v>
      </c>
      <c r="N63">
        <v>0</v>
      </c>
      <c r="O63">
        <v>6.37</v>
      </c>
      <c r="P63" s="2" t="s">
        <v>42</v>
      </c>
      <c r="Q63">
        <v>0</v>
      </c>
      <c r="R63">
        <v>209.36</v>
      </c>
      <c r="S63">
        <v>96.7</v>
      </c>
      <c r="T63">
        <v>112.66</v>
      </c>
      <c r="U63">
        <f t="shared" si="0"/>
        <v>0</v>
      </c>
    </row>
    <row r="64" spans="1:21" x14ac:dyDescent="0.25">
      <c r="A64" s="2" t="s">
        <v>179</v>
      </c>
      <c r="B64" s="2" t="s">
        <v>180</v>
      </c>
      <c r="C64" s="1">
        <v>45787</v>
      </c>
      <c r="D64" s="2" t="s">
        <v>38</v>
      </c>
      <c r="E64" s="2" t="s">
        <v>67</v>
      </c>
      <c r="F64" s="2" t="s">
        <v>51</v>
      </c>
      <c r="G64">
        <v>1</v>
      </c>
      <c r="H64" s="2" t="s">
        <v>111</v>
      </c>
      <c r="I64">
        <v>15.69</v>
      </c>
      <c r="J64">
        <v>10</v>
      </c>
      <c r="K64">
        <v>1.57</v>
      </c>
      <c r="L64">
        <v>9.34</v>
      </c>
      <c r="M64">
        <v>4.67</v>
      </c>
      <c r="N64">
        <v>0</v>
      </c>
      <c r="O64">
        <v>0.71</v>
      </c>
      <c r="P64" s="2" t="s">
        <v>42</v>
      </c>
      <c r="Q64">
        <v>0</v>
      </c>
      <c r="R64">
        <v>14.12</v>
      </c>
      <c r="S64">
        <v>14.72</v>
      </c>
      <c r="T64">
        <v>-0.6</v>
      </c>
      <c r="U64">
        <f t="shared" si="0"/>
        <v>0</v>
      </c>
    </row>
    <row r="65" spans="1:21" x14ac:dyDescent="0.25">
      <c r="A65" s="2" t="s">
        <v>181</v>
      </c>
      <c r="B65" s="2" t="s">
        <v>182</v>
      </c>
      <c r="C65" s="1">
        <v>45983</v>
      </c>
      <c r="D65" s="2" t="s">
        <v>38</v>
      </c>
      <c r="E65" s="2" t="s">
        <v>46</v>
      </c>
      <c r="F65" s="2" t="s">
        <v>94</v>
      </c>
      <c r="G65">
        <v>4</v>
      </c>
      <c r="H65" s="2" t="s">
        <v>111</v>
      </c>
      <c r="I65">
        <v>176.25</v>
      </c>
      <c r="J65">
        <v>0</v>
      </c>
      <c r="K65">
        <v>0</v>
      </c>
      <c r="L65">
        <v>43.68</v>
      </c>
      <c r="M65">
        <v>79.67</v>
      </c>
      <c r="N65">
        <v>0</v>
      </c>
      <c r="O65">
        <v>5.41</v>
      </c>
      <c r="P65" s="2" t="s">
        <v>42</v>
      </c>
      <c r="Q65">
        <v>0</v>
      </c>
      <c r="R65">
        <v>176.25</v>
      </c>
      <c r="S65">
        <v>128.76</v>
      </c>
      <c r="T65">
        <v>47.49</v>
      </c>
      <c r="U65">
        <f t="shared" si="0"/>
        <v>0</v>
      </c>
    </row>
    <row r="66" spans="1:21" x14ac:dyDescent="0.25">
      <c r="A66" s="2" t="s">
        <v>183</v>
      </c>
      <c r="B66" s="2" t="s">
        <v>184</v>
      </c>
      <c r="C66" s="1">
        <v>45727</v>
      </c>
      <c r="D66" s="2" t="s">
        <v>38</v>
      </c>
      <c r="E66" s="2" t="s">
        <v>55</v>
      </c>
      <c r="F66" s="2" t="s">
        <v>40</v>
      </c>
      <c r="G66">
        <v>3</v>
      </c>
      <c r="H66" s="2" t="s">
        <v>56</v>
      </c>
      <c r="I66">
        <v>401.01</v>
      </c>
      <c r="J66">
        <v>0</v>
      </c>
      <c r="K66">
        <v>0</v>
      </c>
      <c r="L66">
        <v>28.3</v>
      </c>
      <c r="M66">
        <v>180.89</v>
      </c>
      <c r="N66">
        <v>0</v>
      </c>
      <c r="O66">
        <v>11.93</v>
      </c>
      <c r="P66" s="2" t="s">
        <v>42</v>
      </c>
      <c r="Q66">
        <v>0</v>
      </c>
      <c r="R66">
        <v>401.01</v>
      </c>
      <c r="S66">
        <v>221.12</v>
      </c>
      <c r="T66">
        <v>179.89</v>
      </c>
      <c r="U66">
        <f t="shared" si="0"/>
        <v>0</v>
      </c>
    </row>
    <row r="67" spans="1:21" x14ac:dyDescent="0.25">
      <c r="A67" s="2" t="s">
        <v>185</v>
      </c>
      <c r="B67" s="2" t="s">
        <v>186</v>
      </c>
      <c r="C67" s="1">
        <v>45816</v>
      </c>
      <c r="D67" s="2" t="s">
        <v>45</v>
      </c>
      <c r="E67" s="2" t="s">
        <v>71</v>
      </c>
      <c r="F67" s="2" t="s">
        <v>94</v>
      </c>
      <c r="G67">
        <v>1</v>
      </c>
      <c r="H67" s="2" t="s">
        <v>77</v>
      </c>
      <c r="I67">
        <v>30.61</v>
      </c>
      <c r="J67">
        <v>5</v>
      </c>
      <c r="K67">
        <v>1.53</v>
      </c>
      <c r="L67">
        <v>9.9</v>
      </c>
      <c r="M67">
        <v>9.18</v>
      </c>
      <c r="N67">
        <v>0</v>
      </c>
      <c r="O67">
        <v>1.1399999999999999</v>
      </c>
      <c r="P67" s="2" t="s">
        <v>42</v>
      </c>
      <c r="Q67">
        <v>0</v>
      </c>
      <c r="R67">
        <v>29.08</v>
      </c>
      <c r="S67">
        <v>20.22</v>
      </c>
      <c r="T67">
        <v>8.86</v>
      </c>
      <c r="U67">
        <f t="shared" si="0"/>
        <v>0</v>
      </c>
    </row>
    <row r="68" spans="1:21" x14ac:dyDescent="0.25">
      <c r="A68" s="2" t="s">
        <v>187</v>
      </c>
      <c r="B68" s="2" t="s">
        <v>188</v>
      </c>
      <c r="C68" s="1">
        <v>45529</v>
      </c>
      <c r="D68" s="2" t="s">
        <v>45</v>
      </c>
      <c r="E68" s="2" t="s">
        <v>55</v>
      </c>
      <c r="F68" s="2" t="s">
        <v>51</v>
      </c>
      <c r="G68">
        <v>1</v>
      </c>
      <c r="H68" s="2" t="s">
        <v>74</v>
      </c>
      <c r="I68">
        <v>127.92</v>
      </c>
      <c r="J68">
        <v>15</v>
      </c>
      <c r="K68">
        <v>19.190000000000001</v>
      </c>
      <c r="L68">
        <v>22.84</v>
      </c>
      <c r="M68">
        <v>74.56</v>
      </c>
      <c r="N68">
        <v>0</v>
      </c>
      <c r="O68">
        <v>3.45</v>
      </c>
      <c r="P68" s="2" t="s">
        <v>42</v>
      </c>
      <c r="Q68">
        <v>0</v>
      </c>
      <c r="R68">
        <v>108.73</v>
      </c>
      <c r="S68">
        <v>100.85</v>
      </c>
      <c r="T68">
        <v>7.88</v>
      </c>
      <c r="U68">
        <f t="shared" si="0"/>
        <v>0</v>
      </c>
    </row>
    <row r="69" spans="1:21" x14ac:dyDescent="0.25">
      <c r="A69" s="2" t="s">
        <v>189</v>
      </c>
      <c r="B69" s="2" t="s">
        <v>143</v>
      </c>
      <c r="C69" s="1">
        <v>45773</v>
      </c>
      <c r="D69" s="2" t="s">
        <v>45</v>
      </c>
      <c r="E69" s="2" t="s">
        <v>67</v>
      </c>
      <c r="F69" s="2" t="s">
        <v>47</v>
      </c>
      <c r="G69">
        <v>3</v>
      </c>
      <c r="H69" s="2" t="s">
        <v>64</v>
      </c>
      <c r="I69">
        <v>209.71</v>
      </c>
      <c r="J69">
        <v>15</v>
      </c>
      <c r="K69">
        <v>31.46</v>
      </c>
      <c r="L69">
        <v>36.700000000000003</v>
      </c>
      <c r="M69">
        <v>76.77</v>
      </c>
      <c r="N69">
        <v>0</v>
      </c>
      <c r="O69">
        <v>5.47</v>
      </c>
      <c r="P69" s="2" t="s">
        <v>42</v>
      </c>
      <c r="Q69">
        <v>0</v>
      </c>
      <c r="R69">
        <v>178.25</v>
      </c>
      <c r="S69">
        <v>118.94</v>
      </c>
      <c r="T69">
        <v>59.31</v>
      </c>
      <c r="U69">
        <f t="shared" ref="U69:U132" si="1">IF(P67="Yes", 1, 0)</f>
        <v>0</v>
      </c>
    </row>
    <row r="70" spans="1:21" x14ac:dyDescent="0.25">
      <c r="A70" s="2" t="s">
        <v>190</v>
      </c>
      <c r="B70" s="2" t="s">
        <v>191</v>
      </c>
      <c r="C70" s="1">
        <v>45978</v>
      </c>
      <c r="D70" s="2" t="s">
        <v>38</v>
      </c>
      <c r="E70" s="2" t="s">
        <v>67</v>
      </c>
      <c r="F70" s="2" t="s">
        <v>94</v>
      </c>
      <c r="G70">
        <v>1</v>
      </c>
      <c r="H70" s="2" t="s">
        <v>48</v>
      </c>
      <c r="I70">
        <v>5.22</v>
      </c>
      <c r="J70">
        <v>10</v>
      </c>
      <c r="K70">
        <v>0.52</v>
      </c>
      <c r="L70">
        <v>14.3</v>
      </c>
      <c r="M70">
        <v>2.85</v>
      </c>
      <c r="N70">
        <v>0</v>
      </c>
      <c r="O70">
        <v>0.44</v>
      </c>
      <c r="P70" s="2" t="s">
        <v>42</v>
      </c>
      <c r="Q70">
        <v>0</v>
      </c>
      <c r="R70">
        <v>4.7</v>
      </c>
      <c r="S70">
        <v>17.59</v>
      </c>
      <c r="T70">
        <v>-12.89</v>
      </c>
      <c r="U70">
        <f t="shared" si="1"/>
        <v>0</v>
      </c>
    </row>
    <row r="71" spans="1:21" x14ac:dyDescent="0.25">
      <c r="A71" s="2" t="s">
        <v>192</v>
      </c>
      <c r="B71" s="2" t="s">
        <v>193</v>
      </c>
      <c r="C71" s="1">
        <v>45668</v>
      </c>
      <c r="D71" s="2" t="s">
        <v>59</v>
      </c>
      <c r="E71" s="2" t="s">
        <v>67</v>
      </c>
      <c r="F71" s="2" t="s">
        <v>40</v>
      </c>
      <c r="G71">
        <v>4</v>
      </c>
      <c r="H71" s="2" t="s">
        <v>111</v>
      </c>
      <c r="I71">
        <v>233.97</v>
      </c>
      <c r="J71">
        <v>20</v>
      </c>
      <c r="K71">
        <v>46.79</v>
      </c>
      <c r="L71">
        <v>71.319999999999993</v>
      </c>
      <c r="M71">
        <v>122.29</v>
      </c>
      <c r="N71">
        <v>28.08</v>
      </c>
      <c r="O71">
        <v>5.73</v>
      </c>
      <c r="P71" s="2" t="s">
        <v>42</v>
      </c>
      <c r="Q71">
        <v>0</v>
      </c>
      <c r="R71">
        <v>187.18</v>
      </c>
      <c r="S71">
        <v>227.42</v>
      </c>
      <c r="T71">
        <v>-40.24</v>
      </c>
      <c r="U71">
        <f t="shared" si="1"/>
        <v>0</v>
      </c>
    </row>
    <row r="72" spans="1:21" x14ac:dyDescent="0.25">
      <c r="A72" s="2" t="s">
        <v>194</v>
      </c>
      <c r="B72" s="2" t="s">
        <v>195</v>
      </c>
      <c r="C72" s="1">
        <v>45701</v>
      </c>
      <c r="D72" s="2" t="s">
        <v>80</v>
      </c>
      <c r="E72" s="2" t="s">
        <v>46</v>
      </c>
      <c r="F72" s="2" t="s">
        <v>51</v>
      </c>
      <c r="G72">
        <v>1</v>
      </c>
      <c r="H72" s="2" t="s">
        <v>64</v>
      </c>
      <c r="I72">
        <v>40.89</v>
      </c>
      <c r="J72">
        <v>20</v>
      </c>
      <c r="K72">
        <v>8.18</v>
      </c>
      <c r="L72">
        <v>15.1</v>
      </c>
      <c r="M72">
        <v>16.21</v>
      </c>
      <c r="N72">
        <v>2.62</v>
      </c>
      <c r="O72">
        <v>1.25</v>
      </c>
      <c r="P72" s="2" t="s">
        <v>42</v>
      </c>
      <c r="Q72">
        <v>0</v>
      </c>
      <c r="R72">
        <v>32.71</v>
      </c>
      <c r="S72">
        <v>35.18</v>
      </c>
      <c r="T72">
        <v>-2.4700000000000002</v>
      </c>
      <c r="U72">
        <f t="shared" si="1"/>
        <v>0</v>
      </c>
    </row>
    <row r="73" spans="1:21" x14ac:dyDescent="0.25">
      <c r="A73" s="2" t="s">
        <v>196</v>
      </c>
      <c r="B73" s="2" t="s">
        <v>197</v>
      </c>
      <c r="C73" s="1">
        <v>45620</v>
      </c>
      <c r="D73" s="2" t="s">
        <v>38</v>
      </c>
      <c r="E73" s="2" t="s">
        <v>46</v>
      </c>
      <c r="F73" s="2" t="s">
        <v>85</v>
      </c>
      <c r="G73">
        <v>1</v>
      </c>
      <c r="H73" s="2" t="s">
        <v>41</v>
      </c>
      <c r="I73">
        <v>24.38</v>
      </c>
      <c r="J73">
        <v>20</v>
      </c>
      <c r="K73">
        <v>4.88</v>
      </c>
      <c r="L73">
        <v>13.9</v>
      </c>
      <c r="M73">
        <v>16.190000000000001</v>
      </c>
      <c r="N73">
        <v>0</v>
      </c>
      <c r="O73">
        <v>0.87</v>
      </c>
      <c r="P73" s="2" t="s">
        <v>42</v>
      </c>
      <c r="Q73">
        <v>0</v>
      </c>
      <c r="R73">
        <v>19.5</v>
      </c>
      <c r="S73">
        <v>30.96</v>
      </c>
      <c r="T73">
        <v>-11.46</v>
      </c>
      <c r="U73">
        <f t="shared" si="1"/>
        <v>0</v>
      </c>
    </row>
    <row r="74" spans="1:21" x14ac:dyDescent="0.25">
      <c r="A74" s="2" t="s">
        <v>198</v>
      </c>
      <c r="B74" s="2" t="s">
        <v>199</v>
      </c>
      <c r="C74" s="1">
        <v>45802</v>
      </c>
      <c r="D74" s="2" t="s">
        <v>45</v>
      </c>
      <c r="E74" s="2" t="s">
        <v>71</v>
      </c>
      <c r="F74" s="2" t="s">
        <v>85</v>
      </c>
      <c r="G74">
        <v>2</v>
      </c>
      <c r="H74" s="2" t="s">
        <v>56</v>
      </c>
      <c r="I74">
        <v>209.53</v>
      </c>
      <c r="J74">
        <v>15</v>
      </c>
      <c r="K74">
        <v>31.43</v>
      </c>
      <c r="L74">
        <v>20.02</v>
      </c>
      <c r="M74">
        <v>75.75</v>
      </c>
      <c r="N74">
        <v>0</v>
      </c>
      <c r="O74">
        <v>5.46</v>
      </c>
      <c r="P74" s="2" t="s">
        <v>42</v>
      </c>
      <c r="Q74">
        <v>0</v>
      </c>
      <c r="R74">
        <v>178.1</v>
      </c>
      <c r="S74">
        <v>101.23</v>
      </c>
      <c r="T74">
        <v>76.87</v>
      </c>
      <c r="U74">
        <f t="shared" si="1"/>
        <v>0</v>
      </c>
    </row>
    <row r="75" spans="1:21" x14ac:dyDescent="0.25">
      <c r="A75" s="2" t="s">
        <v>200</v>
      </c>
      <c r="B75" s="2" t="s">
        <v>201</v>
      </c>
      <c r="C75" s="1">
        <v>45634</v>
      </c>
      <c r="D75" s="2" t="s">
        <v>59</v>
      </c>
      <c r="E75" s="2" t="s">
        <v>55</v>
      </c>
      <c r="F75" s="2" t="s">
        <v>94</v>
      </c>
      <c r="G75">
        <v>1</v>
      </c>
      <c r="H75" s="2" t="s">
        <v>74</v>
      </c>
      <c r="I75">
        <v>28.96</v>
      </c>
      <c r="J75">
        <v>0</v>
      </c>
      <c r="K75">
        <v>0</v>
      </c>
      <c r="L75">
        <v>9.02</v>
      </c>
      <c r="M75">
        <v>8.3000000000000007</v>
      </c>
      <c r="N75">
        <v>4.34</v>
      </c>
      <c r="O75">
        <v>1.1399999999999999</v>
      </c>
      <c r="P75" s="2" t="s">
        <v>42</v>
      </c>
      <c r="Q75">
        <v>0</v>
      </c>
      <c r="R75">
        <v>28.96</v>
      </c>
      <c r="S75">
        <v>22.8</v>
      </c>
      <c r="T75">
        <v>6.16</v>
      </c>
      <c r="U75">
        <f t="shared" si="1"/>
        <v>0</v>
      </c>
    </row>
    <row r="76" spans="1:21" x14ac:dyDescent="0.25">
      <c r="A76" s="2" t="s">
        <v>202</v>
      </c>
      <c r="B76" s="2" t="s">
        <v>203</v>
      </c>
      <c r="C76" s="1">
        <v>45900</v>
      </c>
      <c r="D76" s="2" t="s">
        <v>38</v>
      </c>
      <c r="E76" s="2" t="s">
        <v>55</v>
      </c>
      <c r="F76" s="2" t="s">
        <v>94</v>
      </c>
      <c r="G76">
        <v>1</v>
      </c>
      <c r="H76" s="2" t="s">
        <v>48</v>
      </c>
      <c r="I76">
        <v>48.04</v>
      </c>
      <c r="J76">
        <v>0</v>
      </c>
      <c r="K76">
        <v>0</v>
      </c>
      <c r="L76">
        <v>7.96</v>
      </c>
      <c r="M76">
        <v>21.5</v>
      </c>
      <c r="N76">
        <v>0</v>
      </c>
      <c r="O76">
        <v>1.69</v>
      </c>
      <c r="P76" s="2" t="s">
        <v>42</v>
      </c>
      <c r="Q76">
        <v>0</v>
      </c>
      <c r="R76">
        <v>48.04</v>
      </c>
      <c r="S76">
        <v>31.15</v>
      </c>
      <c r="T76">
        <v>16.89</v>
      </c>
      <c r="U76">
        <f t="shared" si="1"/>
        <v>0</v>
      </c>
    </row>
    <row r="77" spans="1:21" x14ac:dyDescent="0.25">
      <c r="A77" s="2" t="s">
        <v>204</v>
      </c>
      <c r="B77" s="2" t="s">
        <v>205</v>
      </c>
      <c r="C77" s="1">
        <v>45968</v>
      </c>
      <c r="D77" s="2" t="s">
        <v>59</v>
      </c>
      <c r="E77" s="2" t="s">
        <v>55</v>
      </c>
      <c r="F77" s="2" t="s">
        <v>47</v>
      </c>
      <c r="G77">
        <v>2</v>
      </c>
      <c r="H77" s="2" t="s">
        <v>77</v>
      </c>
      <c r="I77">
        <v>26.51</v>
      </c>
      <c r="J77">
        <v>0</v>
      </c>
      <c r="K77">
        <v>0</v>
      </c>
      <c r="L77">
        <v>22.2</v>
      </c>
      <c r="M77">
        <v>9.98</v>
      </c>
      <c r="N77">
        <v>3.98</v>
      </c>
      <c r="O77">
        <v>1.07</v>
      </c>
      <c r="P77" s="2" t="s">
        <v>42</v>
      </c>
      <c r="Q77">
        <v>0</v>
      </c>
      <c r="R77">
        <v>26.51</v>
      </c>
      <c r="S77">
        <v>37.229999999999997</v>
      </c>
      <c r="T77">
        <v>-10.72</v>
      </c>
      <c r="U77">
        <f t="shared" si="1"/>
        <v>0</v>
      </c>
    </row>
    <row r="78" spans="1:21" x14ac:dyDescent="0.25">
      <c r="A78" s="2" t="s">
        <v>206</v>
      </c>
      <c r="B78" s="2" t="s">
        <v>207</v>
      </c>
      <c r="C78" s="1">
        <v>45751</v>
      </c>
      <c r="D78" s="2" t="s">
        <v>45</v>
      </c>
      <c r="E78" s="2" t="s">
        <v>46</v>
      </c>
      <c r="F78" s="2" t="s">
        <v>51</v>
      </c>
      <c r="G78">
        <v>2</v>
      </c>
      <c r="H78" s="2" t="s">
        <v>64</v>
      </c>
      <c r="I78">
        <v>167.59</v>
      </c>
      <c r="J78">
        <v>0</v>
      </c>
      <c r="K78">
        <v>0</v>
      </c>
      <c r="L78">
        <v>28.1</v>
      </c>
      <c r="M78">
        <v>57.4</v>
      </c>
      <c r="N78">
        <v>0</v>
      </c>
      <c r="O78">
        <v>5.16</v>
      </c>
      <c r="P78" s="2" t="s">
        <v>68</v>
      </c>
      <c r="Q78">
        <v>167.59</v>
      </c>
      <c r="R78">
        <v>0</v>
      </c>
      <c r="S78">
        <v>90.66</v>
      </c>
      <c r="T78">
        <v>-90.66</v>
      </c>
      <c r="U78">
        <f t="shared" si="1"/>
        <v>0</v>
      </c>
    </row>
    <row r="79" spans="1:21" x14ac:dyDescent="0.25">
      <c r="A79" s="2" t="s">
        <v>208</v>
      </c>
      <c r="B79" s="2" t="s">
        <v>209</v>
      </c>
      <c r="C79" s="1">
        <v>45681</v>
      </c>
      <c r="D79" s="2" t="s">
        <v>45</v>
      </c>
      <c r="E79" s="2" t="s">
        <v>71</v>
      </c>
      <c r="F79" s="2" t="s">
        <v>85</v>
      </c>
      <c r="G79">
        <v>3</v>
      </c>
      <c r="H79" s="2" t="s">
        <v>52</v>
      </c>
      <c r="I79">
        <v>180.3</v>
      </c>
      <c r="J79">
        <v>0</v>
      </c>
      <c r="K79">
        <v>0</v>
      </c>
      <c r="L79">
        <v>46.88</v>
      </c>
      <c r="M79">
        <v>89.4</v>
      </c>
      <c r="N79">
        <v>0</v>
      </c>
      <c r="O79">
        <v>5.53</v>
      </c>
      <c r="P79" s="2" t="s">
        <v>42</v>
      </c>
      <c r="Q79">
        <v>0</v>
      </c>
      <c r="R79">
        <v>180.3</v>
      </c>
      <c r="S79">
        <v>141.81</v>
      </c>
      <c r="T79">
        <v>38.49</v>
      </c>
      <c r="U79">
        <f t="shared" si="1"/>
        <v>0</v>
      </c>
    </row>
    <row r="80" spans="1:21" x14ac:dyDescent="0.25">
      <c r="A80" s="2" t="s">
        <v>210</v>
      </c>
      <c r="B80" s="2" t="s">
        <v>211</v>
      </c>
      <c r="C80" s="1">
        <v>45813</v>
      </c>
      <c r="D80" s="2" t="s">
        <v>59</v>
      </c>
      <c r="E80" s="2" t="s">
        <v>55</v>
      </c>
      <c r="F80" s="2" t="s">
        <v>51</v>
      </c>
      <c r="G80">
        <v>1</v>
      </c>
      <c r="H80" s="2" t="s">
        <v>48</v>
      </c>
      <c r="I80">
        <v>24.02</v>
      </c>
      <c r="J80">
        <v>0</v>
      </c>
      <c r="K80">
        <v>0</v>
      </c>
      <c r="L80">
        <v>3.98</v>
      </c>
      <c r="M80">
        <v>10.75</v>
      </c>
      <c r="N80">
        <v>3.6</v>
      </c>
      <c r="O80">
        <v>1</v>
      </c>
      <c r="P80" s="2" t="s">
        <v>42</v>
      </c>
      <c r="Q80">
        <v>0</v>
      </c>
      <c r="R80">
        <v>24.02</v>
      </c>
      <c r="S80">
        <v>19.329999999999998</v>
      </c>
      <c r="T80">
        <v>4.6900000000000004</v>
      </c>
      <c r="U80">
        <f t="shared" si="1"/>
        <v>1</v>
      </c>
    </row>
    <row r="81" spans="1:21" x14ac:dyDescent="0.25">
      <c r="A81" s="2" t="s">
        <v>212</v>
      </c>
      <c r="B81" s="2" t="s">
        <v>213</v>
      </c>
      <c r="C81" s="1">
        <v>45877</v>
      </c>
      <c r="D81" s="2" t="s">
        <v>45</v>
      </c>
      <c r="E81" s="2" t="s">
        <v>67</v>
      </c>
      <c r="F81" s="2" t="s">
        <v>85</v>
      </c>
      <c r="G81">
        <v>1</v>
      </c>
      <c r="H81" s="2" t="s">
        <v>41</v>
      </c>
      <c r="I81">
        <v>24.38</v>
      </c>
      <c r="J81">
        <v>0</v>
      </c>
      <c r="K81">
        <v>0</v>
      </c>
      <c r="L81">
        <v>13.9</v>
      </c>
      <c r="M81">
        <v>16.190000000000001</v>
      </c>
      <c r="N81">
        <v>0</v>
      </c>
      <c r="O81">
        <v>1.01</v>
      </c>
      <c r="P81" s="2" t="s">
        <v>42</v>
      </c>
      <c r="Q81">
        <v>0</v>
      </c>
      <c r="R81">
        <v>24.38</v>
      </c>
      <c r="S81">
        <v>31.1</v>
      </c>
      <c r="T81">
        <v>-6.72</v>
      </c>
      <c r="U81">
        <f t="shared" si="1"/>
        <v>0</v>
      </c>
    </row>
    <row r="82" spans="1:21" x14ac:dyDescent="0.25">
      <c r="A82" s="2" t="s">
        <v>214</v>
      </c>
      <c r="B82" s="2" t="s">
        <v>215</v>
      </c>
      <c r="C82" s="1">
        <v>45858</v>
      </c>
      <c r="D82" s="2" t="s">
        <v>45</v>
      </c>
      <c r="E82" s="2" t="s">
        <v>71</v>
      </c>
      <c r="F82" s="2" t="s">
        <v>47</v>
      </c>
      <c r="G82">
        <v>1</v>
      </c>
      <c r="H82" s="2" t="s">
        <v>64</v>
      </c>
      <c r="I82">
        <v>100.26</v>
      </c>
      <c r="J82">
        <v>10</v>
      </c>
      <c r="K82">
        <v>10.029999999999999</v>
      </c>
      <c r="L82">
        <v>8.44</v>
      </c>
      <c r="M82">
        <v>63.28</v>
      </c>
      <c r="N82">
        <v>0</v>
      </c>
      <c r="O82">
        <v>2.92</v>
      </c>
      <c r="P82" s="2" t="s">
        <v>42</v>
      </c>
      <c r="Q82">
        <v>0</v>
      </c>
      <c r="R82">
        <v>90.23</v>
      </c>
      <c r="S82">
        <v>74.64</v>
      </c>
      <c r="T82">
        <v>15.59</v>
      </c>
      <c r="U82">
        <f t="shared" si="1"/>
        <v>0</v>
      </c>
    </row>
    <row r="83" spans="1:21" x14ac:dyDescent="0.25">
      <c r="A83" s="2" t="s">
        <v>216</v>
      </c>
      <c r="B83" s="2" t="s">
        <v>217</v>
      </c>
      <c r="C83" s="1">
        <v>45863</v>
      </c>
      <c r="D83" s="2" t="s">
        <v>45</v>
      </c>
      <c r="E83" s="2" t="s">
        <v>46</v>
      </c>
      <c r="F83" s="2" t="s">
        <v>40</v>
      </c>
      <c r="G83">
        <v>1</v>
      </c>
      <c r="H83" s="2" t="s">
        <v>56</v>
      </c>
      <c r="I83">
        <v>208.28</v>
      </c>
      <c r="J83">
        <v>0</v>
      </c>
      <c r="K83">
        <v>0</v>
      </c>
      <c r="L83">
        <v>29.08</v>
      </c>
      <c r="M83">
        <v>66.08</v>
      </c>
      <c r="N83">
        <v>0</v>
      </c>
      <c r="O83">
        <v>6.34</v>
      </c>
      <c r="P83" s="2" t="s">
        <v>42</v>
      </c>
      <c r="Q83">
        <v>0</v>
      </c>
      <c r="R83">
        <v>208.28</v>
      </c>
      <c r="S83">
        <v>101.5</v>
      </c>
      <c r="T83">
        <v>106.78</v>
      </c>
      <c r="U83">
        <f t="shared" si="1"/>
        <v>0</v>
      </c>
    </row>
    <row r="84" spans="1:21" x14ac:dyDescent="0.25">
      <c r="A84" s="2" t="s">
        <v>218</v>
      </c>
      <c r="B84" s="2" t="s">
        <v>219</v>
      </c>
      <c r="C84" s="1">
        <v>45695</v>
      </c>
      <c r="D84" s="2" t="s">
        <v>45</v>
      </c>
      <c r="E84" s="2" t="s">
        <v>55</v>
      </c>
      <c r="F84" s="2" t="s">
        <v>85</v>
      </c>
      <c r="G84">
        <v>4</v>
      </c>
      <c r="H84" s="2" t="s">
        <v>52</v>
      </c>
      <c r="I84">
        <v>197.71</v>
      </c>
      <c r="J84">
        <v>15</v>
      </c>
      <c r="K84">
        <v>29.66</v>
      </c>
      <c r="L84">
        <v>28.88</v>
      </c>
      <c r="M84">
        <v>92.29</v>
      </c>
      <c r="N84">
        <v>0</v>
      </c>
      <c r="O84">
        <v>5.17</v>
      </c>
      <c r="P84" s="2" t="s">
        <v>42</v>
      </c>
      <c r="Q84">
        <v>0</v>
      </c>
      <c r="R84">
        <v>168.05</v>
      </c>
      <c r="S84">
        <v>126.34</v>
      </c>
      <c r="T84">
        <v>41.71</v>
      </c>
      <c r="U84">
        <f t="shared" si="1"/>
        <v>0</v>
      </c>
    </row>
    <row r="85" spans="1:21" x14ac:dyDescent="0.25">
      <c r="A85" s="2" t="s">
        <v>220</v>
      </c>
      <c r="B85" s="2" t="s">
        <v>221</v>
      </c>
      <c r="C85" s="1">
        <v>45837</v>
      </c>
      <c r="D85" s="2" t="s">
        <v>38</v>
      </c>
      <c r="E85" s="2" t="s">
        <v>46</v>
      </c>
      <c r="F85" s="2" t="s">
        <v>40</v>
      </c>
      <c r="G85">
        <v>1</v>
      </c>
      <c r="H85" s="2" t="s">
        <v>111</v>
      </c>
      <c r="I85">
        <v>67.09</v>
      </c>
      <c r="J85">
        <v>15</v>
      </c>
      <c r="K85">
        <v>10.06</v>
      </c>
      <c r="L85">
        <v>10.54</v>
      </c>
      <c r="M85">
        <v>26.96</v>
      </c>
      <c r="N85">
        <v>0</v>
      </c>
      <c r="O85">
        <v>1.95</v>
      </c>
      <c r="P85" s="2" t="s">
        <v>42</v>
      </c>
      <c r="Q85">
        <v>0</v>
      </c>
      <c r="R85">
        <v>57.03</v>
      </c>
      <c r="S85">
        <v>39.450000000000003</v>
      </c>
      <c r="T85">
        <v>17.579999999999998</v>
      </c>
      <c r="U85">
        <f t="shared" si="1"/>
        <v>0</v>
      </c>
    </row>
    <row r="86" spans="1:21" x14ac:dyDescent="0.25">
      <c r="A86" s="2" t="s">
        <v>222</v>
      </c>
      <c r="B86" s="2" t="s">
        <v>223</v>
      </c>
      <c r="C86" s="1">
        <v>45841</v>
      </c>
      <c r="D86" s="2" t="s">
        <v>38</v>
      </c>
      <c r="E86" s="2" t="s">
        <v>71</v>
      </c>
      <c r="F86" s="2" t="s">
        <v>40</v>
      </c>
      <c r="G86">
        <v>3</v>
      </c>
      <c r="H86" s="2" t="s">
        <v>52</v>
      </c>
      <c r="I86">
        <v>139.44999999999999</v>
      </c>
      <c r="J86">
        <v>5</v>
      </c>
      <c r="K86">
        <v>6.97</v>
      </c>
      <c r="L86">
        <v>40.56</v>
      </c>
      <c r="M86">
        <v>44.49</v>
      </c>
      <c r="N86">
        <v>0</v>
      </c>
      <c r="O86">
        <v>4.1399999999999997</v>
      </c>
      <c r="P86" s="2" t="s">
        <v>42</v>
      </c>
      <c r="Q86">
        <v>0</v>
      </c>
      <c r="R86">
        <v>132.47999999999999</v>
      </c>
      <c r="S86">
        <v>89.19</v>
      </c>
      <c r="T86">
        <v>43.29</v>
      </c>
      <c r="U86">
        <f t="shared" si="1"/>
        <v>0</v>
      </c>
    </row>
    <row r="87" spans="1:21" x14ac:dyDescent="0.25">
      <c r="A87" s="2" t="s">
        <v>224</v>
      </c>
      <c r="B87" s="2" t="s">
        <v>225</v>
      </c>
      <c r="C87" s="1">
        <v>45993</v>
      </c>
      <c r="D87" s="2" t="s">
        <v>59</v>
      </c>
      <c r="E87" s="2" t="s">
        <v>71</v>
      </c>
      <c r="F87" s="2" t="s">
        <v>94</v>
      </c>
      <c r="G87">
        <v>3</v>
      </c>
      <c r="H87" s="2" t="s">
        <v>74</v>
      </c>
      <c r="I87">
        <v>231.74</v>
      </c>
      <c r="J87">
        <v>10</v>
      </c>
      <c r="K87">
        <v>23.17</v>
      </c>
      <c r="L87">
        <v>58.78</v>
      </c>
      <c r="M87">
        <v>80.36</v>
      </c>
      <c r="N87">
        <v>31.29</v>
      </c>
      <c r="O87">
        <v>6.35</v>
      </c>
      <c r="P87" s="2" t="s">
        <v>42</v>
      </c>
      <c r="Q87">
        <v>0</v>
      </c>
      <c r="R87">
        <v>208.57</v>
      </c>
      <c r="S87">
        <v>176.78</v>
      </c>
      <c r="T87">
        <v>31.79</v>
      </c>
      <c r="U87">
        <f t="shared" si="1"/>
        <v>0</v>
      </c>
    </row>
    <row r="88" spans="1:21" x14ac:dyDescent="0.25">
      <c r="A88" s="2" t="s">
        <v>226</v>
      </c>
      <c r="B88" s="2" t="s">
        <v>227</v>
      </c>
      <c r="C88" s="1">
        <v>45628</v>
      </c>
      <c r="D88" s="2" t="s">
        <v>38</v>
      </c>
      <c r="E88" s="2" t="s">
        <v>46</v>
      </c>
      <c r="F88" s="2" t="s">
        <v>94</v>
      </c>
      <c r="G88">
        <v>2</v>
      </c>
      <c r="H88" s="2" t="s">
        <v>52</v>
      </c>
      <c r="I88">
        <v>139.54</v>
      </c>
      <c r="J88">
        <v>0</v>
      </c>
      <c r="K88">
        <v>0</v>
      </c>
      <c r="L88">
        <v>20.76</v>
      </c>
      <c r="M88">
        <v>61.19</v>
      </c>
      <c r="N88">
        <v>0</v>
      </c>
      <c r="O88">
        <v>4.3499999999999996</v>
      </c>
      <c r="P88" s="2" t="s">
        <v>42</v>
      </c>
      <c r="Q88">
        <v>0</v>
      </c>
      <c r="R88">
        <v>139.54</v>
      </c>
      <c r="S88">
        <v>86.3</v>
      </c>
      <c r="T88">
        <v>53.24</v>
      </c>
      <c r="U88">
        <f t="shared" si="1"/>
        <v>0</v>
      </c>
    </row>
    <row r="89" spans="1:21" x14ac:dyDescent="0.25">
      <c r="A89" s="2" t="s">
        <v>228</v>
      </c>
      <c r="B89" s="2" t="s">
        <v>229</v>
      </c>
      <c r="C89" s="1">
        <v>45573</v>
      </c>
      <c r="D89" s="2" t="s">
        <v>45</v>
      </c>
      <c r="E89" s="2" t="s">
        <v>55</v>
      </c>
      <c r="F89" s="2" t="s">
        <v>85</v>
      </c>
      <c r="G89">
        <v>4</v>
      </c>
      <c r="H89" s="2" t="s">
        <v>52</v>
      </c>
      <c r="I89">
        <v>716.16</v>
      </c>
      <c r="J89">
        <v>0</v>
      </c>
      <c r="K89">
        <v>0</v>
      </c>
      <c r="L89">
        <v>69.12</v>
      </c>
      <c r="M89">
        <v>241.86</v>
      </c>
      <c r="N89">
        <v>0</v>
      </c>
      <c r="O89">
        <v>21.07</v>
      </c>
      <c r="P89" s="2" t="s">
        <v>42</v>
      </c>
      <c r="Q89">
        <v>0</v>
      </c>
      <c r="R89">
        <v>716.16</v>
      </c>
      <c r="S89">
        <v>332.05</v>
      </c>
      <c r="T89">
        <v>384.11</v>
      </c>
      <c r="U89">
        <f t="shared" si="1"/>
        <v>0</v>
      </c>
    </row>
    <row r="90" spans="1:21" x14ac:dyDescent="0.25">
      <c r="A90" s="2" t="s">
        <v>230</v>
      </c>
      <c r="B90" s="2" t="s">
        <v>231</v>
      </c>
      <c r="C90" s="1">
        <v>45716</v>
      </c>
      <c r="D90" s="2" t="s">
        <v>38</v>
      </c>
      <c r="E90" s="2" t="s">
        <v>55</v>
      </c>
      <c r="F90" s="2" t="s">
        <v>40</v>
      </c>
      <c r="G90">
        <v>2</v>
      </c>
      <c r="H90" s="2" t="s">
        <v>41</v>
      </c>
      <c r="I90">
        <v>153.75</v>
      </c>
      <c r="J90">
        <v>15</v>
      </c>
      <c r="K90">
        <v>23.06</v>
      </c>
      <c r="L90">
        <v>21.56</v>
      </c>
      <c r="M90">
        <v>53.88</v>
      </c>
      <c r="N90">
        <v>0</v>
      </c>
      <c r="O90">
        <v>4.09</v>
      </c>
      <c r="P90" s="2" t="s">
        <v>42</v>
      </c>
      <c r="Q90">
        <v>0</v>
      </c>
      <c r="R90">
        <v>130.69</v>
      </c>
      <c r="S90">
        <v>79.53</v>
      </c>
      <c r="T90">
        <v>51.16</v>
      </c>
      <c r="U90">
        <f t="shared" si="1"/>
        <v>0</v>
      </c>
    </row>
    <row r="91" spans="1:21" x14ac:dyDescent="0.25">
      <c r="A91" s="2" t="s">
        <v>232</v>
      </c>
      <c r="B91" s="2" t="s">
        <v>44</v>
      </c>
      <c r="C91" s="1">
        <v>45460</v>
      </c>
      <c r="D91" s="2" t="s">
        <v>38</v>
      </c>
      <c r="E91" s="2" t="s">
        <v>46</v>
      </c>
      <c r="F91" s="2" t="s">
        <v>47</v>
      </c>
      <c r="G91">
        <v>3</v>
      </c>
      <c r="H91" s="2" t="s">
        <v>48</v>
      </c>
      <c r="I91">
        <v>40.86</v>
      </c>
      <c r="J91">
        <v>0</v>
      </c>
      <c r="K91">
        <v>0</v>
      </c>
      <c r="L91">
        <v>45.44</v>
      </c>
      <c r="M91">
        <v>19.239999999999998</v>
      </c>
      <c r="N91">
        <v>0</v>
      </c>
      <c r="O91">
        <v>1.48</v>
      </c>
      <c r="P91" s="2" t="s">
        <v>42</v>
      </c>
      <c r="Q91">
        <v>0</v>
      </c>
      <c r="R91">
        <v>40.86</v>
      </c>
      <c r="S91">
        <v>66.16</v>
      </c>
      <c r="T91">
        <v>-25.3</v>
      </c>
      <c r="U91">
        <f t="shared" si="1"/>
        <v>0</v>
      </c>
    </row>
    <row r="92" spans="1:21" x14ac:dyDescent="0.25">
      <c r="A92" s="2" t="s">
        <v>233</v>
      </c>
      <c r="B92" s="2" t="s">
        <v>66</v>
      </c>
      <c r="C92" s="1">
        <v>45927</v>
      </c>
      <c r="D92" s="2" t="s">
        <v>38</v>
      </c>
      <c r="E92" s="2" t="s">
        <v>46</v>
      </c>
      <c r="F92" s="2" t="s">
        <v>94</v>
      </c>
      <c r="G92">
        <v>3</v>
      </c>
      <c r="H92" s="2" t="s">
        <v>56</v>
      </c>
      <c r="I92">
        <v>228.68</v>
      </c>
      <c r="J92">
        <v>0</v>
      </c>
      <c r="K92">
        <v>0</v>
      </c>
      <c r="L92">
        <v>57.9</v>
      </c>
      <c r="M92">
        <v>96.2</v>
      </c>
      <c r="N92">
        <v>0</v>
      </c>
      <c r="O92">
        <v>6.93</v>
      </c>
      <c r="P92" s="2" t="s">
        <v>42</v>
      </c>
      <c r="Q92">
        <v>0</v>
      </c>
      <c r="R92">
        <v>228.68</v>
      </c>
      <c r="S92">
        <v>161.03</v>
      </c>
      <c r="T92">
        <v>67.650000000000006</v>
      </c>
      <c r="U92">
        <f t="shared" si="1"/>
        <v>0</v>
      </c>
    </row>
    <row r="93" spans="1:21" x14ac:dyDescent="0.25">
      <c r="A93" s="2" t="s">
        <v>234</v>
      </c>
      <c r="B93" s="2" t="s">
        <v>235</v>
      </c>
      <c r="C93" s="1">
        <v>45663</v>
      </c>
      <c r="D93" s="2" t="s">
        <v>45</v>
      </c>
      <c r="E93" s="2" t="s">
        <v>46</v>
      </c>
      <c r="F93" s="2" t="s">
        <v>85</v>
      </c>
      <c r="G93">
        <v>3</v>
      </c>
      <c r="H93" s="2" t="s">
        <v>41</v>
      </c>
      <c r="I93">
        <v>297.24</v>
      </c>
      <c r="J93">
        <v>15</v>
      </c>
      <c r="K93">
        <v>44.59</v>
      </c>
      <c r="L93">
        <v>42.48</v>
      </c>
      <c r="M93">
        <v>141.35</v>
      </c>
      <c r="N93">
        <v>0</v>
      </c>
      <c r="O93">
        <v>7.63</v>
      </c>
      <c r="P93" s="2" t="s">
        <v>42</v>
      </c>
      <c r="Q93">
        <v>0</v>
      </c>
      <c r="R93">
        <v>252.65</v>
      </c>
      <c r="S93">
        <v>191.46</v>
      </c>
      <c r="T93">
        <v>61.19</v>
      </c>
      <c r="U93">
        <f t="shared" si="1"/>
        <v>0</v>
      </c>
    </row>
    <row r="94" spans="1:21" x14ac:dyDescent="0.25">
      <c r="A94" s="2" t="s">
        <v>236</v>
      </c>
      <c r="B94" s="2" t="s">
        <v>237</v>
      </c>
      <c r="C94" s="1">
        <v>45955</v>
      </c>
      <c r="D94" s="2" t="s">
        <v>59</v>
      </c>
      <c r="E94" s="2" t="s">
        <v>71</v>
      </c>
      <c r="F94" s="2" t="s">
        <v>85</v>
      </c>
      <c r="G94">
        <v>2</v>
      </c>
      <c r="H94" s="2" t="s">
        <v>77</v>
      </c>
      <c r="I94">
        <v>27.72</v>
      </c>
      <c r="J94">
        <v>10</v>
      </c>
      <c r="K94">
        <v>2.77</v>
      </c>
      <c r="L94">
        <v>17.079999999999998</v>
      </c>
      <c r="M94">
        <v>15.14</v>
      </c>
      <c r="N94">
        <v>3.74</v>
      </c>
      <c r="O94">
        <v>1.02</v>
      </c>
      <c r="P94" s="2" t="s">
        <v>68</v>
      </c>
      <c r="Q94">
        <v>24.95</v>
      </c>
      <c r="R94">
        <v>0</v>
      </c>
      <c r="S94">
        <v>36.979999999999997</v>
      </c>
      <c r="T94">
        <v>-36.979999999999997</v>
      </c>
      <c r="U94">
        <f t="shared" si="1"/>
        <v>0</v>
      </c>
    </row>
    <row r="95" spans="1:21" x14ac:dyDescent="0.25">
      <c r="A95" s="2" t="s">
        <v>238</v>
      </c>
      <c r="B95" s="2" t="s">
        <v>239</v>
      </c>
      <c r="C95" s="1">
        <v>45904</v>
      </c>
      <c r="D95" s="2" t="s">
        <v>59</v>
      </c>
      <c r="E95" s="2" t="s">
        <v>39</v>
      </c>
      <c r="F95" s="2" t="s">
        <v>40</v>
      </c>
      <c r="G95">
        <v>2</v>
      </c>
      <c r="H95" s="2" t="s">
        <v>52</v>
      </c>
      <c r="I95">
        <v>384.27</v>
      </c>
      <c r="J95">
        <v>20</v>
      </c>
      <c r="K95">
        <v>76.849999999999994</v>
      </c>
      <c r="L95">
        <v>44.4</v>
      </c>
      <c r="M95">
        <v>147.09</v>
      </c>
      <c r="N95">
        <v>46.11</v>
      </c>
      <c r="O95">
        <v>9.2200000000000006</v>
      </c>
      <c r="P95" s="2" t="s">
        <v>42</v>
      </c>
      <c r="Q95">
        <v>0</v>
      </c>
      <c r="R95">
        <v>307.42</v>
      </c>
      <c r="S95">
        <v>246.82</v>
      </c>
      <c r="T95">
        <v>60.6</v>
      </c>
      <c r="U95">
        <f t="shared" si="1"/>
        <v>0</v>
      </c>
    </row>
    <row r="96" spans="1:21" x14ac:dyDescent="0.25">
      <c r="A96" s="2" t="s">
        <v>240</v>
      </c>
      <c r="B96" s="2" t="s">
        <v>241</v>
      </c>
      <c r="C96" s="1">
        <v>45879</v>
      </c>
      <c r="D96" s="2" t="s">
        <v>38</v>
      </c>
      <c r="E96" s="2" t="s">
        <v>55</v>
      </c>
      <c r="F96" s="2" t="s">
        <v>94</v>
      </c>
      <c r="G96">
        <v>1</v>
      </c>
      <c r="H96" s="2" t="s">
        <v>48</v>
      </c>
      <c r="I96">
        <v>39.11</v>
      </c>
      <c r="J96">
        <v>10</v>
      </c>
      <c r="K96">
        <v>3.91</v>
      </c>
      <c r="L96">
        <v>9.82</v>
      </c>
      <c r="M96">
        <v>15.9</v>
      </c>
      <c r="N96">
        <v>0</v>
      </c>
      <c r="O96">
        <v>1.32</v>
      </c>
      <c r="P96" s="2" t="s">
        <v>42</v>
      </c>
      <c r="Q96">
        <v>0</v>
      </c>
      <c r="R96">
        <v>35.200000000000003</v>
      </c>
      <c r="S96">
        <v>27.04</v>
      </c>
      <c r="T96">
        <v>8.16</v>
      </c>
      <c r="U96">
        <f t="shared" si="1"/>
        <v>1</v>
      </c>
    </row>
    <row r="97" spans="1:21" x14ac:dyDescent="0.25">
      <c r="A97" s="2" t="s">
        <v>242</v>
      </c>
      <c r="B97" s="2" t="s">
        <v>243</v>
      </c>
      <c r="C97" s="1">
        <v>45538</v>
      </c>
      <c r="D97" s="2" t="s">
        <v>45</v>
      </c>
      <c r="E97" s="2" t="s">
        <v>46</v>
      </c>
      <c r="F97" s="2" t="s">
        <v>51</v>
      </c>
      <c r="G97">
        <v>2</v>
      </c>
      <c r="H97" s="2" t="s">
        <v>56</v>
      </c>
      <c r="I97">
        <v>207.66</v>
      </c>
      <c r="J97">
        <v>0</v>
      </c>
      <c r="K97">
        <v>0</v>
      </c>
      <c r="L97">
        <v>43.44</v>
      </c>
      <c r="M97">
        <v>85.38</v>
      </c>
      <c r="N97">
        <v>0</v>
      </c>
      <c r="O97">
        <v>6.32</v>
      </c>
      <c r="P97" s="2" t="s">
        <v>68</v>
      </c>
      <c r="Q97">
        <v>207.66</v>
      </c>
      <c r="R97">
        <v>0</v>
      </c>
      <c r="S97">
        <v>135.13999999999999</v>
      </c>
      <c r="T97">
        <v>-135.13999999999999</v>
      </c>
      <c r="U97">
        <f t="shared" si="1"/>
        <v>0</v>
      </c>
    </row>
    <row r="98" spans="1:21" x14ac:dyDescent="0.25">
      <c r="A98" s="2" t="s">
        <v>244</v>
      </c>
      <c r="B98" s="2" t="s">
        <v>245</v>
      </c>
      <c r="C98" s="1">
        <v>45868</v>
      </c>
      <c r="D98" s="2" t="s">
        <v>45</v>
      </c>
      <c r="E98" s="2" t="s">
        <v>71</v>
      </c>
      <c r="F98" s="2" t="s">
        <v>47</v>
      </c>
      <c r="G98">
        <v>3</v>
      </c>
      <c r="H98" s="2" t="s">
        <v>74</v>
      </c>
      <c r="I98">
        <v>55.6</v>
      </c>
      <c r="J98">
        <v>20</v>
      </c>
      <c r="K98">
        <v>11.12</v>
      </c>
      <c r="L98">
        <v>39.76</v>
      </c>
      <c r="M98">
        <v>23.15</v>
      </c>
      <c r="N98">
        <v>0</v>
      </c>
      <c r="O98">
        <v>1.59</v>
      </c>
      <c r="P98" s="2" t="s">
        <v>42</v>
      </c>
      <c r="Q98">
        <v>0</v>
      </c>
      <c r="R98">
        <v>44.48</v>
      </c>
      <c r="S98">
        <v>64.5</v>
      </c>
      <c r="T98">
        <v>-20.02</v>
      </c>
      <c r="U98">
        <f t="shared" si="1"/>
        <v>0</v>
      </c>
    </row>
    <row r="99" spans="1:21" x14ac:dyDescent="0.25">
      <c r="A99" s="2" t="s">
        <v>246</v>
      </c>
      <c r="B99" s="2" t="s">
        <v>127</v>
      </c>
      <c r="C99" s="1">
        <v>45967</v>
      </c>
      <c r="D99" s="2" t="s">
        <v>38</v>
      </c>
      <c r="E99" s="2" t="s">
        <v>71</v>
      </c>
      <c r="F99" s="2" t="s">
        <v>40</v>
      </c>
      <c r="G99">
        <v>1</v>
      </c>
      <c r="H99" s="2" t="s">
        <v>111</v>
      </c>
      <c r="I99">
        <v>58.8</v>
      </c>
      <c r="J99">
        <v>25</v>
      </c>
      <c r="K99">
        <v>14.7</v>
      </c>
      <c r="L99">
        <v>12.44</v>
      </c>
      <c r="M99">
        <v>22.82</v>
      </c>
      <c r="N99">
        <v>0</v>
      </c>
      <c r="O99">
        <v>1.58</v>
      </c>
      <c r="P99" s="2" t="s">
        <v>42</v>
      </c>
      <c r="Q99">
        <v>0</v>
      </c>
      <c r="R99">
        <v>44.1</v>
      </c>
      <c r="S99">
        <v>36.840000000000003</v>
      </c>
      <c r="T99">
        <v>7.26</v>
      </c>
      <c r="U99">
        <f t="shared" si="1"/>
        <v>1</v>
      </c>
    </row>
    <row r="100" spans="1:21" x14ac:dyDescent="0.25">
      <c r="A100" s="2" t="s">
        <v>247</v>
      </c>
      <c r="B100" s="2" t="s">
        <v>168</v>
      </c>
      <c r="C100" s="1">
        <v>45428</v>
      </c>
      <c r="D100" s="2" t="s">
        <v>45</v>
      </c>
      <c r="E100" s="2" t="s">
        <v>46</v>
      </c>
      <c r="F100" s="2" t="s">
        <v>85</v>
      </c>
      <c r="G100">
        <v>3</v>
      </c>
      <c r="H100" s="2" t="s">
        <v>56</v>
      </c>
      <c r="I100">
        <v>486.49</v>
      </c>
      <c r="J100">
        <v>10</v>
      </c>
      <c r="K100">
        <v>48.65</v>
      </c>
      <c r="L100">
        <v>61.06</v>
      </c>
      <c r="M100">
        <v>267.26</v>
      </c>
      <c r="N100">
        <v>0</v>
      </c>
      <c r="O100">
        <v>13</v>
      </c>
      <c r="P100" s="2" t="s">
        <v>42</v>
      </c>
      <c r="Q100">
        <v>0</v>
      </c>
      <c r="R100">
        <v>437.84</v>
      </c>
      <c r="S100">
        <v>341.32</v>
      </c>
      <c r="T100">
        <v>96.52</v>
      </c>
      <c r="U100">
        <f t="shared" si="1"/>
        <v>0</v>
      </c>
    </row>
    <row r="101" spans="1:21" x14ac:dyDescent="0.25">
      <c r="A101" s="2" t="s">
        <v>248</v>
      </c>
      <c r="B101" s="2" t="s">
        <v>249</v>
      </c>
      <c r="C101" s="1">
        <v>45926</v>
      </c>
      <c r="D101" s="2" t="s">
        <v>45</v>
      </c>
      <c r="E101" s="2" t="s">
        <v>55</v>
      </c>
      <c r="F101" s="2" t="s">
        <v>85</v>
      </c>
      <c r="G101">
        <v>1</v>
      </c>
      <c r="H101" s="2" t="s">
        <v>64</v>
      </c>
      <c r="I101">
        <v>56</v>
      </c>
      <c r="J101">
        <v>0</v>
      </c>
      <c r="K101">
        <v>0</v>
      </c>
      <c r="L101">
        <v>12.86</v>
      </c>
      <c r="M101">
        <v>19.82</v>
      </c>
      <c r="N101">
        <v>0</v>
      </c>
      <c r="O101">
        <v>1.92</v>
      </c>
      <c r="P101" s="2" t="s">
        <v>42</v>
      </c>
      <c r="Q101">
        <v>0</v>
      </c>
      <c r="R101">
        <v>56</v>
      </c>
      <c r="S101">
        <v>34.6</v>
      </c>
      <c r="T101">
        <v>21.4</v>
      </c>
      <c r="U101">
        <f t="shared" si="1"/>
        <v>0</v>
      </c>
    </row>
    <row r="102" spans="1:21" x14ac:dyDescent="0.25">
      <c r="A102" s="2" t="s">
        <v>250</v>
      </c>
      <c r="B102" s="2" t="s">
        <v>251</v>
      </c>
      <c r="C102" s="1">
        <v>45713</v>
      </c>
      <c r="D102" s="2" t="s">
        <v>45</v>
      </c>
      <c r="E102" s="2" t="s">
        <v>71</v>
      </c>
      <c r="F102" s="2" t="s">
        <v>51</v>
      </c>
      <c r="G102">
        <v>1</v>
      </c>
      <c r="H102" s="2" t="s">
        <v>111</v>
      </c>
      <c r="I102">
        <v>105.44</v>
      </c>
      <c r="J102">
        <v>10</v>
      </c>
      <c r="K102">
        <v>10.54</v>
      </c>
      <c r="L102">
        <v>8.94</v>
      </c>
      <c r="M102">
        <v>42.07</v>
      </c>
      <c r="N102">
        <v>0</v>
      </c>
      <c r="O102">
        <v>3.05</v>
      </c>
      <c r="P102" s="2" t="s">
        <v>42</v>
      </c>
      <c r="Q102">
        <v>0</v>
      </c>
      <c r="R102">
        <v>94.9</v>
      </c>
      <c r="S102">
        <v>54.06</v>
      </c>
      <c r="T102">
        <v>40.840000000000003</v>
      </c>
      <c r="U102">
        <f t="shared" si="1"/>
        <v>0</v>
      </c>
    </row>
    <row r="103" spans="1:21" x14ac:dyDescent="0.25">
      <c r="A103" s="2" t="s">
        <v>252</v>
      </c>
      <c r="B103" s="2" t="s">
        <v>253</v>
      </c>
      <c r="C103" s="1">
        <v>45622</v>
      </c>
      <c r="D103" s="2" t="s">
        <v>45</v>
      </c>
      <c r="E103" s="2" t="s">
        <v>55</v>
      </c>
      <c r="F103" s="2" t="s">
        <v>47</v>
      </c>
      <c r="G103">
        <v>1</v>
      </c>
      <c r="H103" s="2" t="s">
        <v>56</v>
      </c>
      <c r="I103">
        <v>104.14</v>
      </c>
      <c r="J103">
        <v>0</v>
      </c>
      <c r="K103">
        <v>0</v>
      </c>
      <c r="L103">
        <v>14.54</v>
      </c>
      <c r="M103">
        <v>33.04</v>
      </c>
      <c r="N103">
        <v>0</v>
      </c>
      <c r="O103">
        <v>3.32</v>
      </c>
      <c r="P103" s="2" t="s">
        <v>42</v>
      </c>
      <c r="Q103">
        <v>0</v>
      </c>
      <c r="R103">
        <v>104.14</v>
      </c>
      <c r="S103">
        <v>50.9</v>
      </c>
      <c r="T103">
        <v>53.24</v>
      </c>
      <c r="U103">
        <f t="shared" si="1"/>
        <v>0</v>
      </c>
    </row>
    <row r="104" spans="1:21" x14ac:dyDescent="0.25">
      <c r="A104" s="2" t="s">
        <v>254</v>
      </c>
      <c r="B104" s="2" t="s">
        <v>255</v>
      </c>
      <c r="C104" s="1">
        <v>45594</v>
      </c>
      <c r="D104" s="2" t="s">
        <v>59</v>
      </c>
      <c r="E104" s="2" t="s">
        <v>71</v>
      </c>
      <c r="F104" s="2" t="s">
        <v>47</v>
      </c>
      <c r="G104">
        <v>1</v>
      </c>
      <c r="H104" s="2" t="s">
        <v>48</v>
      </c>
      <c r="I104">
        <v>77.53</v>
      </c>
      <c r="J104">
        <v>5</v>
      </c>
      <c r="K104">
        <v>3.88</v>
      </c>
      <c r="L104">
        <v>4.78</v>
      </c>
      <c r="M104">
        <v>24.83</v>
      </c>
      <c r="N104">
        <v>11.05</v>
      </c>
      <c r="O104">
        <v>2.44</v>
      </c>
      <c r="P104" s="2" t="s">
        <v>42</v>
      </c>
      <c r="Q104">
        <v>0</v>
      </c>
      <c r="R104">
        <v>73.650000000000006</v>
      </c>
      <c r="S104">
        <v>43.1</v>
      </c>
      <c r="T104">
        <v>30.55</v>
      </c>
      <c r="U104">
        <f t="shared" si="1"/>
        <v>0</v>
      </c>
    </row>
    <row r="105" spans="1:21" x14ac:dyDescent="0.25">
      <c r="A105" s="2" t="s">
        <v>256</v>
      </c>
      <c r="B105" s="2" t="s">
        <v>257</v>
      </c>
      <c r="C105" s="1">
        <v>45881</v>
      </c>
      <c r="D105" s="2" t="s">
        <v>59</v>
      </c>
      <c r="E105" s="2" t="s">
        <v>46</v>
      </c>
      <c r="F105" s="2" t="s">
        <v>51</v>
      </c>
      <c r="G105">
        <v>2</v>
      </c>
      <c r="H105" s="2" t="s">
        <v>74</v>
      </c>
      <c r="I105">
        <v>200.98</v>
      </c>
      <c r="J105">
        <v>5</v>
      </c>
      <c r="K105">
        <v>10.050000000000001</v>
      </c>
      <c r="L105">
        <v>42.32</v>
      </c>
      <c r="M105">
        <v>82.4</v>
      </c>
      <c r="N105">
        <v>28.64</v>
      </c>
      <c r="O105">
        <v>5.84</v>
      </c>
      <c r="P105" s="2" t="s">
        <v>42</v>
      </c>
      <c r="Q105">
        <v>0</v>
      </c>
      <c r="R105">
        <v>190.93</v>
      </c>
      <c r="S105">
        <v>159.19999999999999</v>
      </c>
      <c r="T105">
        <v>31.73</v>
      </c>
      <c r="U105">
        <f t="shared" si="1"/>
        <v>0</v>
      </c>
    </row>
    <row r="106" spans="1:21" x14ac:dyDescent="0.25">
      <c r="A106" s="2" t="s">
        <v>258</v>
      </c>
      <c r="B106" s="2" t="s">
        <v>259</v>
      </c>
      <c r="C106" s="1">
        <v>45662</v>
      </c>
      <c r="D106" s="2" t="s">
        <v>59</v>
      </c>
      <c r="E106" s="2" t="s">
        <v>46</v>
      </c>
      <c r="F106" s="2" t="s">
        <v>40</v>
      </c>
      <c r="G106">
        <v>1</v>
      </c>
      <c r="H106" s="2" t="s">
        <v>77</v>
      </c>
      <c r="I106">
        <v>8.92</v>
      </c>
      <c r="J106">
        <v>10</v>
      </c>
      <c r="K106">
        <v>0.89</v>
      </c>
      <c r="L106">
        <v>10.220000000000001</v>
      </c>
      <c r="M106">
        <v>5.33</v>
      </c>
      <c r="N106">
        <v>1.2</v>
      </c>
      <c r="O106">
        <v>0.53</v>
      </c>
      <c r="P106" s="2" t="s">
        <v>42</v>
      </c>
      <c r="Q106">
        <v>0</v>
      </c>
      <c r="R106">
        <v>8.0299999999999994</v>
      </c>
      <c r="S106">
        <v>17.28</v>
      </c>
      <c r="T106">
        <v>-9.25</v>
      </c>
      <c r="U106">
        <f t="shared" si="1"/>
        <v>0</v>
      </c>
    </row>
    <row r="107" spans="1:21" x14ac:dyDescent="0.25">
      <c r="A107" s="2" t="s">
        <v>260</v>
      </c>
      <c r="B107" s="2" t="s">
        <v>66</v>
      </c>
      <c r="C107" s="1">
        <v>45823</v>
      </c>
      <c r="D107" s="2" t="s">
        <v>59</v>
      </c>
      <c r="E107" s="2" t="s">
        <v>71</v>
      </c>
      <c r="F107" s="2" t="s">
        <v>40</v>
      </c>
      <c r="G107">
        <v>2</v>
      </c>
      <c r="H107" s="2" t="s">
        <v>64</v>
      </c>
      <c r="I107">
        <v>91.92</v>
      </c>
      <c r="J107">
        <v>5</v>
      </c>
      <c r="K107">
        <v>4.5999999999999996</v>
      </c>
      <c r="L107">
        <v>20.36</v>
      </c>
      <c r="M107">
        <v>56.68</v>
      </c>
      <c r="N107">
        <v>13.1</v>
      </c>
      <c r="O107">
        <v>2.83</v>
      </c>
      <c r="P107" s="2" t="s">
        <v>42</v>
      </c>
      <c r="Q107">
        <v>0</v>
      </c>
      <c r="R107">
        <v>87.32</v>
      </c>
      <c r="S107">
        <v>92.97</v>
      </c>
      <c r="T107">
        <v>-5.65</v>
      </c>
      <c r="U107">
        <f t="shared" si="1"/>
        <v>0</v>
      </c>
    </row>
    <row r="108" spans="1:21" x14ac:dyDescent="0.25">
      <c r="A108" s="2" t="s">
        <v>261</v>
      </c>
      <c r="B108" s="2" t="s">
        <v>262</v>
      </c>
      <c r="C108" s="1">
        <v>45649</v>
      </c>
      <c r="D108" s="2" t="s">
        <v>38</v>
      </c>
      <c r="E108" s="2" t="s">
        <v>46</v>
      </c>
      <c r="F108" s="2" t="s">
        <v>51</v>
      </c>
      <c r="G108">
        <v>3</v>
      </c>
      <c r="H108" s="2" t="s">
        <v>52</v>
      </c>
      <c r="I108">
        <v>190.03</v>
      </c>
      <c r="J108">
        <v>20</v>
      </c>
      <c r="K108">
        <v>38.01</v>
      </c>
      <c r="L108">
        <v>33.06</v>
      </c>
      <c r="M108">
        <v>70.27</v>
      </c>
      <c r="N108">
        <v>0</v>
      </c>
      <c r="O108">
        <v>4.71</v>
      </c>
      <c r="P108" s="2" t="s">
        <v>42</v>
      </c>
      <c r="Q108">
        <v>0</v>
      </c>
      <c r="R108">
        <v>152.02000000000001</v>
      </c>
      <c r="S108">
        <v>108.04</v>
      </c>
      <c r="T108">
        <v>43.98</v>
      </c>
      <c r="U108">
        <f t="shared" si="1"/>
        <v>0</v>
      </c>
    </row>
    <row r="109" spans="1:21" x14ac:dyDescent="0.25">
      <c r="A109" s="2" t="s">
        <v>263</v>
      </c>
      <c r="B109" s="2" t="s">
        <v>264</v>
      </c>
      <c r="C109" s="1">
        <v>45697</v>
      </c>
      <c r="D109" s="2" t="s">
        <v>45</v>
      </c>
      <c r="E109" s="2" t="s">
        <v>71</v>
      </c>
      <c r="F109" s="2" t="s">
        <v>94</v>
      </c>
      <c r="G109">
        <v>1</v>
      </c>
      <c r="H109" s="2" t="s">
        <v>77</v>
      </c>
      <c r="I109">
        <v>9.0299999999999994</v>
      </c>
      <c r="J109">
        <v>0</v>
      </c>
      <c r="K109">
        <v>0</v>
      </c>
      <c r="L109">
        <v>13.98</v>
      </c>
      <c r="M109">
        <v>6.37</v>
      </c>
      <c r="N109">
        <v>0</v>
      </c>
      <c r="O109">
        <v>0.56000000000000005</v>
      </c>
      <c r="P109" s="2" t="s">
        <v>42</v>
      </c>
      <c r="Q109">
        <v>0</v>
      </c>
      <c r="R109">
        <v>9.0299999999999994</v>
      </c>
      <c r="S109">
        <v>20.91</v>
      </c>
      <c r="T109">
        <v>-11.88</v>
      </c>
      <c r="U109">
        <f t="shared" si="1"/>
        <v>0</v>
      </c>
    </row>
    <row r="110" spans="1:21" x14ac:dyDescent="0.25">
      <c r="A110" s="2" t="s">
        <v>265</v>
      </c>
      <c r="B110" s="2" t="s">
        <v>211</v>
      </c>
      <c r="C110" s="1">
        <v>45903</v>
      </c>
      <c r="D110" s="2" t="s">
        <v>38</v>
      </c>
      <c r="E110" s="2" t="s">
        <v>46</v>
      </c>
      <c r="F110" s="2" t="s">
        <v>51</v>
      </c>
      <c r="G110">
        <v>2</v>
      </c>
      <c r="H110" s="2" t="s">
        <v>41</v>
      </c>
      <c r="I110">
        <v>89.14</v>
      </c>
      <c r="J110">
        <v>0</v>
      </c>
      <c r="K110">
        <v>0</v>
      </c>
      <c r="L110">
        <v>20.52</v>
      </c>
      <c r="M110">
        <v>32.47</v>
      </c>
      <c r="N110">
        <v>0</v>
      </c>
      <c r="O110">
        <v>2.89</v>
      </c>
      <c r="P110" s="2" t="s">
        <v>42</v>
      </c>
      <c r="Q110">
        <v>0</v>
      </c>
      <c r="R110">
        <v>89.14</v>
      </c>
      <c r="S110">
        <v>55.88</v>
      </c>
      <c r="T110">
        <v>33.26</v>
      </c>
      <c r="U110">
        <f t="shared" si="1"/>
        <v>0</v>
      </c>
    </row>
    <row r="111" spans="1:21" x14ac:dyDescent="0.25">
      <c r="A111" s="2" t="s">
        <v>266</v>
      </c>
      <c r="B111" s="2" t="s">
        <v>267</v>
      </c>
      <c r="C111" s="1">
        <v>45770</v>
      </c>
      <c r="D111" s="2" t="s">
        <v>38</v>
      </c>
      <c r="E111" s="2" t="s">
        <v>55</v>
      </c>
      <c r="F111" s="2" t="s">
        <v>51</v>
      </c>
      <c r="G111">
        <v>2</v>
      </c>
      <c r="H111" s="2" t="s">
        <v>64</v>
      </c>
      <c r="I111">
        <v>123.67</v>
      </c>
      <c r="J111">
        <v>25</v>
      </c>
      <c r="K111">
        <v>30.92</v>
      </c>
      <c r="L111">
        <v>25.64</v>
      </c>
      <c r="M111">
        <v>48.97</v>
      </c>
      <c r="N111">
        <v>0</v>
      </c>
      <c r="O111">
        <v>2.99</v>
      </c>
      <c r="P111" s="2" t="s">
        <v>42</v>
      </c>
      <c r="Q111">
        <v>0</v>
      </c>
      <c r="R111">
        <v>92.75</v>
      </c>
      <c r="S111">
        <v>77.599999999999994</v>
      </c>
      <c r="T111">
        <v>15.15</v>
      </c>
      <c r="U111">
        <f t="shared" si="1"/>
        <v>0</v>
      </c>
    </row>
    <row r="112" spans="1:21" x14ac:dyDescent="0.25">
      <c r="A112" s="2" t="s">
        <v>268</v>
      </c>
      <c r="B112" s="2" t="s">
        <v>269</v>
      </c>
      <c r="C112" s="1">
        <v>45796</v>
      </c>
      <c r="D112" s="2" t="s">
        <v>45</v>
      </c>
      <c r="E112" s="2" t="s">
        <v>46</v>
      </c>
      <c r="F112" s="2" t="s">
        <v>94</v>
      </c>
      <c r="G112">
        <v>4</v>
      </c>
      <c r="H112" s="2" t="s">
        <v>56</v>
      </c>
      <c r="I112">
        <v>666.72</v>
      </c>
      <c r="J112">
        <v>25</v>
      </c>
      <c r="K112">
        <v>166.68</v>
      </c>
      <c r="L112">
        <v>56.42</v>
      </c>
      <c r="M112">
        <v>243.25</v>
      </c>
      <c r="N112">
        <v>0</v>
      </c>
      <c r="O112">
        <v>14.8</v>
      </c>
      <c r="P112" s="2" t="s">
        <v>42</v>
      </c>
      <c r="Q112">
        <v>0</v>
      </c>
      <c r="R112">
        <v>500.04</v>
      </c>
      <c r="S112">
        <v>314.47000000000003</v>
      </c>
      <c r="T112">
        <v>185.57</v>
      </c>
      <c r="U112">
        <f t="shared" si="1"/>
        <v>0</v>
      </c>
    </row>
    <row r="113" spans="1:21" x14ac:dyDescent="0.25">
      <c r="A113" s="2" t="s">
        <v>270</v>
      </c>
      <c r="B113" s="2" t="s">
        <v>271</v>
      </c>
      <c r="C113" s="1">
        <v>45894</v>
      </c>
      <c r="D113" s="2" t="s">
        <v>38</v>
      </c>
      <c r="E113" s="2" t="s">
        <v>55</v>
      </c>
      <c r="F113" s="2" t="s">
        <v>47</v>
      </c>
      <c r="G113">
        <v>1</v>
      </c>
      <c r="H113" s="2" t="s">
        <v>56</v>
      </c>
      <c r="I113">
        <v>36.49</v>
      </c>
      <c r="J113">
        <v>10</v>
      </c>
      <c r="K113">
        <v>3.65</v>
      </c>
      <c r="L113">
        <v>12.38</v>
      </c>
      <c r="M113">
        <v>15.2</v>
      </c>
      <c r="N113">
        <v>0</v>
      </c>
      <c r="O113">
        <v>1.25</v>
      </c>
      <c r="P113" s="2" t="s">
        <v>68</v>
      </c>
      <c r="Q113">
        <v>32.840000000000003</v>
      </c>
      <c r="R113">
        <v>0</v>
      </c>
      <c r="S113">
        <v>28.83</v>
      </c>
      <c r="T113">
        <v>-28.83</v>
      </c>
      <c r="U113">
        <f t="shared" si="1"/>
        <v>0</v>
      </c>
    </row>
    <row r="114" spans="1:21" x14ac:dyDescent="0.25">
      <c r="A114" s="2" t="s">
        <v>272</v>
      </c>
      <c r="B114" s="2" t="s">
        <v>209</v>
      </c>
      <c r="C114" s="1">
        <v>45628</v>
      </c>
      <c r="D114" s="2" t="s">
        <v>38</v>
      </c>
      <c r="E114" s="2" t="s">
        <v>39</v>
      </c>
      <c r="F114" s="2" t="s">
        <v>40</v>
      </c>
      <c r="G114">
        <v>1</v>
      </c>
      <c r="H114" s="2" t="s">
        <v>64</v>
      </c>
      <c r="I114">
        <v>187.78</v>
      </c>
      <c r="J114">
        <v>0</v>
      </c>
      <c r="K114">
        <v>0</v>
      </c>
      <c r="L114">
        <v>12.28</v>
      </c>
      <c r="M114">
        <v>65.62</v>
      </c>
      <c r="N114">
        <v>0</v>
      </c>
      <c r="O114">
        <v>5.75</v>
      </c>
      <c r="P114" s="2" t="s">
        <v>42</v>
      </c>
      <c r="Q114">
        <v>0</v>
      </c>
      <c r="R114">
        <v>187.78</v>
      </c>
      <c r="S114">
        <v>83.65</v>
      </c>
      <c r="T114">
        <v>104.13</v>
      </c>
      <c r="U114">
        <f t="shared" si="1"/>
        <v>0</v>
      </c>
    </row>
    <row r="115" spans="1:21" x14ac:dyDescent="0.25">
      <c r="A115" s="2" t="s">
        <v>273</v>
      </c>
      <c r="B115" s="2" t="s">
        <v>274</v>
      </c>
      <c r="C115" s="1">
        <v>45690</v>
      </c>
      <c r="D115" s="2" t="s">
        <v>45</v>
      </c>
      <c r="E115" s="2" t="s">
        <v>71</v>
      </c>
      <c r="F115" s="2" t="s">
        <v>47</v>
      </c>
      <c r="G115">
        <v>1</v>
      </c>
      <c r="H115" s="2" t="s">
        <v>41</v>
      </c>
      <c r="I115">
        <v>271.64</v>
      </c>
      <c r="J115">
        <v>0</v>
      </c>
      <c r="K115">
        <v>0</v>
      </c>
      <c r="L115">
        <v>11.64</v>
      </c>
      <c r="M115">
        <v>86.1</v>
      </c>
      <c r="N115">
        <v>0</v>
      </c>
      <c r="O115">
        <v>8.18</v>
      </c>
      <c r="P115" s="2" t="s">
        <v>42</v>
      </c>
      <c r="Q115">
        <v>0</v>
      </c>
      <c r="R115">
        <v>271.64</v>
      </c>
      <c r="S115">
        <v>105.92</v>
      </c>
      <c r="T115">
        <v>165.72</v>
      </c>
      <c r="U115">
        <f t="shared" si="1"/>
        <v>1</v>
      </c>
    </row>
    <row r="116" spans="1:21" x14ac:dyDescent="0.25">
      <c r="A116" s="2" t="s">
        <v>275</v>
      </c>
      <c r="B116" s="2" t="s">
        <v>276</v>
      </c>
      <c r="C116" s="1">
        <v>45938</v>
      </c>
      <c r="D116" s="2" t="s">
        <v>59</v>
      </c>
      <c r="E116" s="2" t="s">
        <v>71</v>
      </c>
      <c r="F116" s="2" t="s">
        <v>47</v>
      </c>
      <c r="G116">
        <v>1</v>
      </c>
      <c r="H116" s="2" t="s">
        <v>64</v>
      </c>
      <c r="I116">
        <v>59.15</v>
      </c>
      <c r="J116">
        <v>15</v>
      </c>
      <c r="K116">
        <v>8.8699999999999992</v>
      </c>
      <c r="L116">
        <v>9.98</v>
      </c>
      <c r="M116">
        <v>19.36</v>
      </c>
      <c r="N116">
        <v>7.54</v>
      </c>
      <c r="O116">
        <v>1.76</v>
      </c>
      <c r="P116" s="2" t="s">
        <v>42</v>
      </c>
      <c r="Q116">
        <v>0</v>
      </c>
      <c r="R116">
        <v>50.28</v>
      </c>
      <c r="S116">
        <v>38.64</v>
      </c>
      <c r="T116">
        <v>11.64</v>
      </c>
      <c r="U116">
        <f t="shared" si="1"/>
        <v>0</v>
      </c>
    </row>
    <row r="117" spans="1:21" x14ac:dyDescent="0.25">
      <c r="A117" s="2" t="s">
        <v>277</v>
      </c>
      <c r="B117" s="2" t="s">
        <v>278</v>
      </c>
      <c r="C117" s="1">
        <v>45405</v>
      </c>
      <c r="D117" s="2" t="s">
        <v>38</v>
      </c>
      <c r="E117" s="2" t="s">
        <v>55</v>
      </c>
      <c r="F117" s="2" t="s">
        <v>94</v>
      </c>
      <c r="G117">
        <v>1</v>
      </c>
      <c r="H117" s="2" t="s">
        <v>111</v>
      </c>
      <c r="I117">
        <v>67.09</v>
      </c>
      <c r="J117">
        <v>10</v>
      </c>
      <c r="K117">
        <v>6.71</v>
      </c>
      <c r="L117">
        <v>10.54</v>
      </c>
      <c r="M117">
        <v>26.96</v>
      </c>
      <c r="N117">
        <v>0</v>
      </c>
      <c r="O117">
        <v>2.0499999999999998</v>
      </c>
      <c r="P117" s="2" t="s">
        <v>42</v>
      </c>
      <c r="Q117">
        <v>0</v>
      </c>
      <c r="R117">
        <v>60.38</v>
      </c>
      <c r="S117">
        <v>39.549999999999997</v>
      </c>
      <c r="T117">
        <v>20.83</v>
      </c>
      <c r="U117">
        <f t="shared" si="1"/>
        <v>0</v>
      </c>
    </row>
    <row r="118" spans="1:21" x14ac:dyDescent="0.25">
      <c r="A118" s="2" t="s">
        <v>279</v>
      </c>
      <c r="B118" s="2" t="s">
        <v>280</v>
      </c>
      <c r="C118" s="1">
        <v>45867</v>
      </c>
      <c r="D118" s="2" t="s">
        <v>59</v>
      </c>
      <c r="E118" s="2" t="s">
        <v>46</v>
      </c>
      <c r="F118" s="2" t="s">
        <v>94</v>
      </c>
      <c r="G118">
        <v>5</v>
      </c>
      <c r="H118" s="2" t="s">
        <v>64</v>
      </c>
      <c r="I118">
        <v>283.01</v>
      </c>
      <c r="J118">
        <v>15</v>
      </c>
      <c r="K118">
        <v>42.45</v>
      </c>
      <c r="L118">
        <v>97.5</v>
      </c>
      <c r="M118">
        <v>110.54</v>
      </c>
      <c r="N118">
        <v>36.08</v>
      </c>
      <c r="O118">
        <v>7.28</v>
      </c>
      <c r="P118" s="2" t="s">
        <v>42</v>
      </c>
      <c r="Q118">
        <v>0</v>
      </c>
      <c r="R118">
        <v>240.56</v>
      </c>
      <c r="S118">
        <v>251.4</v>
      </c>
      <c r="T118">
        <v>-10.84</v>
      </c>
      <c r="U118">
        <f t="shared" si="1"/>
        <v>0</v>
      </c>
    </row>
    <row r="119" spans="1:21" x14ac:dyDescent="0.25">
      <c r="A119" s="2" t="s">
        <v>281</v>
      </c>
      <c r="B119" s="2" t="s">
        <v>143</v>
      </c>
      <c r="C119" s="1">
        <v>45801</v>
      </c>
      <c r="D119" s="2" t="s">
        <v>80</v>
      </c>
      <c r="E119" s="2" t="s">
        <v>67</v>
      </c>
      <c r="F119" s="2" t="s">
        <v>94</v>
      </c>
      <c r="G119">
        <v>2</v>
      </c>
      <c r="H119" s="2" t="s">
        <v>41</v>
      </c>
      <c r="I119">
        <v>99.76</v>
      </c>
      <c r="J119">
        <v>25</v>
      </c>
      <c r="K119">
        <v>24.94</v>
      </c>
      <c r="L119">
        <v>26</v>
      </c>
      <c r="M119">
        <v>42.47</v>
      </c>
      <c r="N119">
        <v>5.99</v>
      </c>
      <c r="O119">
        <v>2.4700000000000002</v>
      </c>
      <c r="P119" s="2" t="s">
        <v>42</v>
      </c>
      <c r="Q119">
        <v>0</v>
      </c>
      <c r="R119">
        <v>74.819999999999993</v>
      </c>
      <c r="S119">
        <v>76.930000000000007</v>
      </c>
      <c r="T119">
        <v>-2.11</v>
      </c>
      <c r="U119">
        <f t="shared" si="1"/>
        <v>0</v>
      </c>
    </row>
    <row r="120" spans="1:21" x14ac:dyDescent="0.25">
      <c r="A120" s="2" t="s">
        <v>282</v>
      </c>
      <c r="B120" s="2" t="s">
        <v>283</v>
      </c>
      <c r="C120" s="1">
        <v>45904</v>
      </c>
      <c r="D120" s="2" t="s">
        <v>45</v>
      </c>
      <c r="E120" s="2" t="s">
        <v>46</v>
      </c>
      <c r="F120" s="2" t="s">
        <v>40</v>
      </c>
      <c r="G120">
        <v>1</v>
      </c>
      <c r="H120" s="2" t="s">
        <v>64</v>
      </c>
      <c r="I120">
        <v>95.89</v>
      </c>
      <c r="J120">
        <v>0</v>
      </c>
      <c r="K120">
        <v>0</v>
      </c>
      <c r="L120">
        <v>9.34</v>
      </c>
      <c r="M120">
        <v>27.4</v>
      </c>
      <c r="N120">
        <v>0</v>
      </c>
      <c r="O120">
        <v>3.08</v>
      </c>
      <c r="P120" s="2" t="s">
        <v>42</v>
      </c>
      <c r="Q120">
        <v>0</v>
      </c>
      <c r="R120">
        <v>95.89</v>
      </c>
      <c r="S120">
        <v>39.82</v>
      </c>
      <c r="T120">
        <v>56.07</v>
      </c>
      <c r="U120">
        <f t="shared" si="1"/>
        <v>0</v>
      </c>
    </row>
    <row r="121" spans="1:21" x14ac:dyDescent="0.25">
      <c r="A121" s="2" t="s">
        <v>284</v>
      </c>
      <c r="B121" s="2" t="s">
        <v>285</v>
      </c>
      <c r="C121" s="1">
        <v>45602</v>
      </c>
      <c r="D121" s="2" t="s">
        <v>45</v>
      </c>
      <c r="E121" s="2" t="s">
        <v>71</v>
      </c>
      <c r="F121" s="2" t="s">
        <v>85</v>
      </c>
      <c r="G121">
        <v>1</v>
      </c>
      <c r="H121" s="2" t="s">
        <v>77</v>
      </c>
      <c r="I121">
        <v>16.8</v>
      </c>
      <c r="J121">
        <v>20</v>
      </c>
      <c r="K121">
        <v>3.36</v>
      </c>
      <c r="L121">
        <v>4.1399999999999997</v>
      </c>
      <c r="M121">
        <v>8.25</v>
      </c>
      <c r="N121">
        <v>0</v>
      </c>
      <c r="O121">
        <v>0.69</v>
      </c>
      <c r="P121" s="2" t="s">
        <v>42</v>
      </c>
      <c r="Q121">
        <v>0</v>
      </c>
      <c r="R121">
        <v>13.44</v>
      </c>
      <c r="S121">
        <v>13.08</v>
      </c>
      <c r="T121">
        <v>0.36</v>
      </c>
      <c r="U121">
        <f t="shared" si="1"/>
        <v>0</v>
      </c>
    </row>
    <row r="122" spans="1:21" x14ac:dyDescent="0.25">
      <c r="A122" s="2" t="s">
        <v>286</v>
      </c>
      <c r="B122" s="2" t="s">
        <v>287</v>
      </c>
      <c r="C122" s="1">
        <v>45917</v>
      </c>
      <c r="D122" s="2" t="s">
        <v>45</v>
      </c>
      <c r="E122" s="2" t="s">
        <v>67</v>
      </c>
      <c r="F122" s="2" t="s">
        <v>94</v>
      </c>
      <c r="G122">
        <v>1</v>
      </c>
      <c r="H122" s="2" t="s">
        <v>111</v>
      </c>
      <c r="I122">
        <v>54.48</v>
      </c>
      <c r="J122">
        <v>20</v>
      </c>
      <c r="K122">
        <v>10.9</v>
      </c>
      <c r="L122">
        <v>10.94</v>
      </c>
      <c r="M122">
        <v>21.25</v>
      </c>
      <c r="N122">
        <v>0</v>
      </c>
      <c r="O122">
        <v>1.56</v>
      </c>
      <c r="P122" s="2" t="s">
        <v>42</v>
      </c>
      <c r="Q122">
        <v>0</v>
      </c>
      <c r="R122">
        <v>43.58</v>
      </c>
      <c r="S122">
        <v>33.75</v>
      </c>
      <c r="T122">
        <v>9.83</v>
      </c>
      <c r="U122">
        <f t="shared" si="1"/>
        <v>0</v>
      </c>
    </row>
    <row r="123" spans="1:21" x14ac:dyDescent="0.25">
      <c r="A123" s="2" t="s">
        <v>288</v>
      </c>
      <c r="B123" s="2" t="s">
        <v>289</v>
      </c>
      <c r="C123" s="1">
        <v>45667</v>
      </c>
      <c r="D123" s="2" t="s">
        <v>45</v>
      </c>
      <c r="E123" s="2" t="s">
        <v>55</v>
      </c>
      <c r="F123" s="2" t="s">
        <v>85</v>
      </c>
      <c r="G123">
        <v>2</v>
      </c>
      <c r="H123" s="2" t="s">
        <v>111</v>
      </c>
      <c r="I123">
        <v>217.24</v>
      </c>
      <c r="J123">
        <v>0</v>
      </c>
      <c r="K123">
        <v>0</v>
      </c>
      <c r="L123">
        <v>15.62</v>
      </c>
      <c r="M123">
        <v>76.62</v>
      </c>
      <c r="N123">
        <v>0</v>
      </c>
      <c r="O123">
        <v>6.6</v>
      </c>
      <c r="P123" s="2" t="s">
        <v>42</v>
      </c>
      <c r="Q123">
        <v>0</v>
      </c>
      <c r="R123">
        <v>217.24</v>
      </c>
      <c r="S123">
        <v>98.84</v>
      </c>
      <c r="T123">
        <v>118.4</v>
      </c>
      <c r="U123">
        <f t="shared" si="1"/>
        <v>0</v>
      </c>
    </row>
    <row r="124" spans="1:21" x14ac:dyDescent="0.25">
      <c r="A124" s="2" t="s">
        <v>290</v>
      </c>
      <c r="B124" s="2" t="s">
        <v>291</v>
      </c>
      <c r="C124" s="1">
        <v>45741</v>
      </c>
      <c r="D124" s="2" t="s">
        <v>45</v>
      </c>
      <c r="E124" s="2" t="s">
        <v>71</v>
      </c>
      <c r="F124" s="2" t="s">
        <v>85</v>
      </c>
      <c r="G124">
        <v>2</v>
      </c>
      <c r="H124" s="2" t="s">
        <v>111</v>
      </c>
      <c r="I124">
        <v>109.58</v>
      </c>
      <c r="J124">
        <v>20</v>
      </c>
      <c r="K124">
        <v>21.92</v>
      </c>
      <c r="L124">
        <v>18.04</v>
      </c>
      <c r="M124">
        <v>59.35</v>
      </c>
      <c r="N124">
        <v>0</v>
      </c>
      <c r="O124">
        <v>2.84</v>
      </c>
      <c r="P124" s="2" t="s">
        <v>42</v>
      </c>
      <c r="Q124">
        <v>0</v>
      </c>
      <c r="R124">
        <v>87.66</v>
      </c>
      <c r="S124">
        <v>80.23</v>
      </c>
      <c r="T124">
        <v>7.43</v>
      </c>
      <c r="U124">
        <f t="shared" si="1"/>
        <v>0</v>
      </c>
    </row>
    <row r="125" spans="1:21" x14ac:dyDescent="0.25">
      <c r="A125" s="2" t="s">
        <v>292</v>
      </c>
      <c r="B125" s="2" t="s">
        <v>293</v>
      </c>
      <c r="C125" s="1">
        <v>45653</v>
      </c>
      <c r="D125" s="2" t="s">
        <v>45</v>
      </c>
      <c r="E125" s="2" t="s">
        <v>67</v>
      </c>
      <c r="F125" s="2" t="s">
        <v>40</v>
      </c>
      <c r="G125">
        <v>1</v>
      </c>
      <c r="H125" s="2" t="s">
        <v>77</v>
      </c>
      <c r="I125">
        <v>10.41</v>
      </c>
      <c r="J125">
        <v>0</v>
      </c>
      <c r="K125">
        <v>0</v>
      </c>
      <c r="L125">
        <v>9.58</v>
      </c>
      <c r="M125">
        <v>4.5599999999999996</v>
      </c>
      <c r="N125">
        <v>0</v>
      </c>
      <c r="O125">
        <v>0.6</v>
      </c>
      <c r="P125" s="2" t="s">
        <v>42</v>
      </c>
      <c r="Q125">
        <v>0</v>
      </c>
      <c r="R125">
        <v>10.41</v>
      </c>
      <c r="S125">
        <v>14.74</v>
      </c>
      <c r="T125">
        <v>-4.33</v>
      </c>
      <c r="U125">
        <f t="shared" si="1"/>
        <v>0</v>
      </c>
    </row>
    <row r="126" spans="1:21" x14ac:dyDescent="0.25">
      <c r="A126" s="2" t="s">
        <v>294</v>
      </c>
      <c r="B126" s="2" t="s">
        <v>295</v>
      </c>
      <c r="C126" s="1">
        <v>45708</v>
      </c>
      <c r="D126" s="2" t="s">
        <v>45</v>
      </c>
      <c r="E126" s="2" t="s">
        <v>46</v>
      </c>
      <c r="F126" s="2" t="s">
        <v>47</v>
      </c>
      <c r="G126">
        <v>3</v>
      </c>
      <c r="H126" s="2" t="s">
        <v>64</v>
      </c>
      <c r="I126">
        <v>125.28</v>
      </c>
      <c r="J126">
        <v>0</v>
      </c>
      <c r="K126">
        <v>0</v>
      </c>
      <c r="L126">
        <v>34.96</v>
      </c>
      <c r="M126">
        <v>49.27</v>
      </c>
      <c r="N126">
        <v>0</v>
      </c>
      <c r="O126">
        <v>3.93</v>
      </c>
      <c r="P126" s="2" t="s">
        <v>42</v>
      </c>
      <c r="Q126">
        <v>0</v>
      </c>
      <c r="R126">
        <v>125.28</v>
      </c>
      <c r="S126">
        <v>88.16</v>
      </c>
      <c r="T126">
        <v>37.119999999999997</v>
      </c>
      <c r="U126">
        <f t="shared" si="1"/>
        <v>0</v>
      </c>
    </row>
    <row r="127" spans="1:21" x14ac:dyDescent="0.25">
      <c r="A127" s="2" t="s">
        <v>296</v>
      </c>
      <c r="B127" s="2" t="s">
        <v>297</v>
      </c>
      <c r="C127" s="1">
        <v>45447</v>
      </c>
      <c r="D127" s="2" t="s">
        <v>38</v>
      </c>
      <c r="E127" s="2" t="s">
        <v>71</v>
      </c>
      <c r="F127" s="2" t="s">
        <v>47</v>
      </c>
      <c r="G127">
        <v>1</v>
      </c>
      <c r="H127" s="2" t="s">
        <v>74</v>
      </c>
      <c r="I127">
        <v>29.57</v>
      </c>
      <c r="J127">
        <v>10</v>
      </c>
      <c r="K127">
        <v>2.96</v>
      </c>
      <c r="L127">
        <v>12.14</v>
      </c>
      <c r="M127">
        <v>20.66</v>
      </c>
      <c r="N127">
        <v>0</v>
      </c>
      <c r="O127">
        <v>1.07</v>
      </c>
      <c r="P127" s="2" t="s">
        <v>42</v>
      </c>
      <c r="Q127">
        <v>0</v>
      </c>
      <c r="R127">
        <v>26.61</v>
      </c>
      <c r="S127">
        <v>33.869999999999997</v>
      </c>
      <c r="T127">
        <v>-7.26</v>
      </c>
      <c r="U127">
        <f t="shared" si="1"/>
        <v>0</v>
      </c>
    </row>
    <row r="128" spans="1:21" x14ac:dyDescent="0.25">
      <c r="A128" s="2" t="s">
        <v>298</v>
      </c>
      <c r="B128" s="2" t="s">
        <v>299</v>
      </c>
      <c r="C128" s="1">
        <v>45616</v>
      </c>
      <c r="D128" s="2" t="s">
        <v>38</v>
      </c>
      <c r="E128" s="2" t="s">
        <v>67</v>
      </c>
      <c r="F128" s="2" t="s">
        <v>40</v>
      </c>
      <c r="G128">
        <v>2</v>
      </c>
      <c r="H128" s="2" t="s">
        <v>41</v>
      </c>
      <c r="I128">
        <v>123.73</v>
      </c>
      <c r="J128">
        <v>10</v>
      </c>
      <c r="K128">
        <v>12.37</v>
      </c>
      <c r="L128">
        <v>47.6</v>
      </c>
      <c r="M128">
        <v>63.87</v>
      </c>
      <c r="N128">
        <v>0</v>
      </c>
      <c r="O128">
        <v>3.53</v>
      </c>
      <c r="P128" s="2" t="s">
        <v>42</v>
      </c>
      <c r="Q128">
        <v>0</v>
      </c>
      <c r="R128">
        <v>111.36</v>
      </c>
      <c r="S128">
        <v>115</v>
      </c>
      <c r="T128">
        <v>-3.64</v>
      </c>
      <c r="U128">
        <f t="shared" si="1"/>
        <v>0</v>
      </c>
    </row>
    <row r="129" spans="1:21" x14ac:dyDescent="0.25">
      <c r="A129" s="2" t="s">
        <v>300</v>
      </c>
      <c r="B129" s="2" t="s">
        <v>301</v>
      </c>
      <c r="C129" s="1">
        <v>45872</v>
      </c>
      <c r="D129" s="2" t="s">
        <v>45</v>
      </c>
      <c r="E129" s="2" t="s">
        <v>46</v>
      </c>
      <c r="F129" s="2" t="s">
        <v>51</v>
      </c>
      <c r="G129">
        <v>2</v>
      </c>
      <c r="H129" s="2" t="s">
        <v>56</v>
      </c>
      <c r="I129">
        <v>211.74</v>
      </c>
      <c r="J129">
        <v>0</v>
      </c>
      <c r="K129">
        <v>0</v>
      </c>
      <c r="L129">
        <v>53.36</v>
      </c>
      <c r="M129">
        <v>84.46</v>
      </c>
      <c r="N129">
        <v>0</v>
      </c>
      <c r="O129">
        <v>6.44</v>
      </c>
      <c r="P129" s="2" t="s">
        <v>68</v>
      </c>
      <c r="Q129">
        <v>211.74</v>
      </c>
      <c r="R129">
        <v>0</v>
      </c>
      <c r="S129">
        <v>144.26</v>
      </c>
      <c r="T129">
        <v>-144.26</v>
      </c>
      <c r="U129">
        <f t="shared" si="1"/>
        <v>0</v>
      </c>
    </row>
    <row r="130" spans="1:21" x14ac:dyDescent="0.25">
      <c r="A130" s="2" t="s">
        <v>302</v>
      </c>
      <c r="B130" s="2" t="s">
        <v>303</v>
      </c>
      <c r="C130" s="1">
        <v>45579</v>
      </c>
      <c r="D130" s="2" t="s">
        <v>38</v>
      </c>
      <c r="E130" s="2" t="s">
        <v>67</v>
      </c>
      <c r="F130" s="2" t="s">
        <v>40</v>
      </c>
      <c r="G130">
        <v>1</v>
      </c>
      <c r="H130" s="2" t="s">
        <v>111</v>
      </c>
      <c r="I130">
        <v>74.83</v>
      </c>
      <c r="J130">
        <v>0</v>
      </c>
      <c r="K130">
        <v>0</v>
      </c>
      <c r="L130">
        <v>4.78</v>
      </c>
      <c r="M130">
        <v>26.15</v>
      </c>
      <c r="N130">
        <v>0</v>
      </c>
      <c r="O130">
        <v>2.4700000000000002</v>
      </c>
      <c r="P130" s="2" t="s">
        <v>42</v>
      </c>
      <c r="Q130">
        <v>0</v>
      </c>
      <c r="R130">
        <v>74.83</v>
      </c>
      <c r="S130">
        <v>33.4</v>
      </c>
      <c r="T130">
        <v>41.43</v>
      </c>
      <c r="U130">
        <f t="shared" si="1"/>
        <v>0</v>
      </c>
    </row>
    <row r="131" spans="1:21" x14ac:dyDescent="0.25">
      <c r="A131" s="2" t="s">
        <v>304</v>
      </c>
      <c r="B131" s="2" t="s">
        <v>305</v>
      </c>
      <c r="C131" s="1">
        <v>45985</v>
      </c>
      <c r="D131" s="2" t="s">
        <v>45</v>
      </c>
      <c r="E131" s="2" t="s">
        <v>39</v>
      </c>
      <c r="F131" s="2" t="s">
        <v>47</v>
      </c>
      <c r="G131">
        <v>1</v>
      </c>
      <c r="H131" s="2" t="s">
        <v>64</v>
      </c>
      <c r="I131">
        <v>63.51</v>
      </c>
      <c r="J131">
        <v>5</v>
      </c>
      <c r="K131">
        <v>3.18</v>
      </c>
      <c r="L131">
        <v>7.9</v>
      </c>
      <c r="M131">
        <v>31.27</v>
      </c>
      <c r="N131">
        <v>0</v>
      </c>
      <c r="O131">
        <v>2.0499999999999998</v>
      </c>
      <c r="P131" s="2" t="s">
        <v>42</v>
      </c>
      <c r="Q131">
        <v>0</v>
      </c>
      <c r="R131">
        <v>60.33</v>
      </c>
      <c r="S131">
        <v>41.22</v>
      </c>
      <c r="T131">
        <v>19.11</v>
      </c>
      <c r="U131">
        <f t="shared" si="1"/>
        <v>1</v>
      </c>
    </row>
    <row r="132" spans="1:21" x14ac:dyDescent="0.25">
      <c r="A132" s="2" t="s">
        <v>306</v>
      </c>
      <c r="B132" s="2" t="s">
        <v>307</v>
      </c>
      <c r="C132" s="1">
        <v>45964</v>
      </c>
      <c r="D132" s="2" t="s">
        <v>59</v>
      </c>
      <c r="E132" s="2" t="s">
        <v>46</v>
      </c>
      <c r="F132" s="2" t="s">
        <v>94</v>
      </c>
      <c r="G132">
        <v>2</v>
      </c>
      <c r="H132" s="2" t="s">
        <v>74</v>
      </c>
      <c r="I132">
        <v>350.49</v>
      </c>
      <c r="J132">
        <v>0</v>
      </c>
      <c r="K132">
        <v>0</v>
      </c>
      <c r="L132">
        <v>38.96</v>
      </c>
      <c r="M132">
        <v>104.7</v>
      </c>
      <c r="N132">
        <v>52.57</v>
      </c>
      <c r="O132">
        <v>10.46</v>
      </c>
      <c r="P132" s="2" t="s">
        <v>42</v>
      </c>
      <c r="Q132">
        <v>0</v>
      </c>
      <c r="R132">
        <v>350.49</v>
      </c>
      <c r="S132">
        <v>206.69</v>
      </c>
      <c r="T132">
        <v>143.80000000000001</v>
      </c>
      <c r="U132">
        <f t="shared" si="1"/>
        <v>0</v>
      </c>
    </row>
    <row r="133" spans="1:21" x14ac:dyDescent="0.25">
      <c r="A133" s="2" t="s">
        <v>308</v>
      </c>
      <c r="B133" s="2" t="s">
        <v>309</v>
      </c>
      <c r="C133" s="1">
        <v>45800</v>
      </c>
      <c r="D133" s="2" t="s">
        <v>59</v>
      </c>
      <c r="E133" s="2" t="s">
        <v>46</v>
      </c>
      <c r="F133" s="2" t="s">
        <v>51</v>
      </c>
      <c r="G133">
        <v>2</v>
      </c>
      <c r="H133" s="2" t="s">
        <v>77</v>
      </c>
      <c r="I133">
        <v>58.02</v>
      </c>
      <c r="J133">
        <v>10</v>
      </c>
      <c r="K133">
        <v>5.8</v>
      </c>
      <c r="L133">
        <v>15</v>
      </c>
      <c r="M133">
        <v>33.92</v>
      </c>
      <c r="N133">
        <v>7.83</v>
      </c>
      <c r="O133">
        <v>1.81</v>
      </c>
      <c r="P133" s="2" t="s">
        <v>42</v>
      </c>
      <c r="Q133">
        <v>0</v>
      </c>
      <c r="R133">
        <v>52.22</v>
      </c>
      <c r="S133">
        <v>58.56</v>
      </c>
      <c r="T133">
        <v>-6.34</v>
      </c>
      <c r="U133">
        <f t="shared" ref="U133:U196" si="2">IF(P131="Yes", 1, 0)</f>
        <v>0</v>
      </c>
    </row>
    <row r="134" spans="1:21" x14ac:dyDescent="0.25">
      <c r="A134" s="2" t="s">
        <v>310</v>
      </c>
      <c r="B134" s="2" t="s">
        <v>249</v>
      </c>
      <c r="C134" s="1">
        <v>45802</v>
      </c>
      <c r="D134" s="2" t="s">
        <v>45</v>
      </c>
      <c r="E134" s="2" t="s">
        <v>55</v>
      </c>
      <c r="F134" s="2" t="s">
        <v>47</v>
      </c>
      <c r="G134">
        <v>1</v>
      </c>
      <c r="H134" s="2" t="s">
        <v>74</v>
      </c>
      <c r="I134">
        <v>54.32</v>
      </c>
      <c r="J134">
        <v>10</v>
      </c>
      <c r="K134">
        <v>5.43</v>
      </c>
      <c r="L134">
        <v>22.68</v>
      </c>
      <c r="M134">
        <v>27.28</v>
      </c>
      <c r="N134">
        <v>0</v>
      </c>
      <c r="O134">
        <v>1.72</v>
      </c>
      <c r="P134" s="2" t="s">
        <v>42</v>
      </c>
      <c r="Q134">
        <v>0</v>
      </c>
      <c r="R134">
        <v>48.89</v>
      </c>
      <c r="S134">
        <v>51.68</v>
      </c>
      <c r="T134">
        <v>-2.79</v>
      </c>
      <c r="U134">
        <f t="shared" si="2"/>
        <v>0</v>
      </c>
    </row>
    <row r="135" spans="1:21" x14ac:dyDescent="0.25">
      <c r="A135" s="2" t="s">
        <v>311</v>
      </c>
      <c r="B135" s="2" t="s">
        <v>312</v>
      </c>
      <c r="C135" s="1">
        <v>45487</v>
      </c>
      <c r="D135" s="2" t="s">
        <v>45</v>
      </c>
      <c r="E135" s="2" t="s">
        <v>71</v>
      </c>
      <c r="F135" s="2" t="s">
        <v>47</v>
      </c>
      <c r="G135">
        <v>3</v>
      </c>
      <c r="H135" s="2" t="s">
        <v>111</v>
      </c>
      <c r="I135">
        <v>141.63</v>
      </c>
      <c r="J135">
        <v>10</v>
      </c>
      <c r="K135">
        <v>14.16</v>
      </c>
      <c r="L135">
        <v>30.26</v>
      </c>
      <c r="M135">
        <v>69.34</v>
      </c>
      <c r="N135">
        <v>0</v>
      </c>
      <c r="O135">
        <v>4</v>
      </c>
      <c r="P135" s="2" t="s">
        <v>42</v>
      </c>
      <c r="Q135">
        <v>0</v>
      </c>
      <c r="R135">
        <v>127.47</v>
      </c>
      <c r="S135">
        <v>103.6</v>
      </c>
      <c r="T135">
        <v>23.87</v>
      </c>
      <c r="U135">
        <f t="shared" si="2"/>
        <v>0</v>
      </c>
    </row>
    <row r="136" spans="1:21" x14ac:dyDescent="0.25">
      <c r="A136" s="2" t="s">
        <v>313</v>
      </c>
      <c r="B136" s="2" t="s">
        <v>314</v>
      </c>
      <c r="C136" s="1">
        <v>45660</v>
      </c>
      <c r="D136" s="2" t="s">
        <v>45</v>
      </c>
      <c r="E136" s="2" t="s">
        <v>67</v>
      </c>
      <c r="F136" s="2" t="s">
        <v>51</v>
      </c>
      <c r="G136">
        <v>1</v>
      </c>
      <c r="H136" s="2" t="s">
        <v>77</v>
      </c>
      <c r="I136">
        <v>26.5</v>
      </c>
      <c r="J136">
        <v>20</v>
      </c>
      <c r="K136">
        <v>5.3</v>
      </c>
      <c r="L136">
        <v>5.5</v>
      </c>
      <c r="M136">
        <v>8.06</v>
      </c>
      <c r="N136">
        <v>0</v>
      </c>
      <c r="O136">
        <v>0.91</v>
      </c>
      <c r="P136" s="2" t="s">
        <v>42</v>
      </c>
      <c r="Q136">
        <v>0</v>
      </c>
      <c r="R136">
        <v>21.2</v>
      </c>
      <c r="S136">
        <v>14.47</v>
      </c>
      <c r="T136">
        <v>6.73</v>
      </c>
      <c r="U136">
        <f t="shared" si="2"/>
        <v>0</v>
      </c>
    </row>
    <row r="137" spans="1:21" x14ac:dyDescent="0.25">
      <c r="A137" s="2" t="s">
        <v>315</v>
      </c>
      <c r="B137" s="2" t="s">
        <v>316</v>
      </c>
      <c r="C137" s="1">
        <v>45734</v>
      </c>
      <c r="D137" s="2" t="s">
        <v>45</v>
      </c>
      <c r="E137" s="2" t="s">
        <v>67</v>
      </c>
      <c r="F137" s="2" t="s">
        <v>94</v>
      </c>
      <c r="G137">
        <v>2</v>
      </c>
      <c r="H137" s="2" t="s">
        <v>48</v>
      </c>
      <c r="I137">
        <v>38.24</v>
      </c>
      <c r="J137">
        <v>10</v>
      </c>
      <c r="K137">
        <v>3.82</v>
      </c>
      <c r="L137">
        <v>22.6</v>
      </c>
      <c r="M137">
        <v>19.510000000000002</v>
      </c>
      <c r="N137">
        <v>0</v>
      </c>
      <c r="O137">
        <v>1.3</v>
      </c>
      <c r="P137" s="2" t="s">
        <v>42</v>
      </c>
      <c r="Q137">
        <v>0</v>
      </c>
      <c r="R137">
        <v>34.42</v>
      </c>
      <c r="S137">
        <v>43.41</v>
      </c>
      <c r="T137">
        <v>-8.99</v>
      </c>
      <c r="U137">
        <f t="shared" si="2"/>
        <v>0</v>
      </c>
    </row>
    <row r="138" spans="1:21" x14ac:dyDescent="0.25">
      <c r="A138" s="2" t="s">
        <v>317</v>
      </c>
      <c r="B138" s="2" t="s">
        <v>318</v>
      </c>
      <c r="C138" s="1">
        <v>45860</v>
      </c>
      <c r="D138" s="2" t="s">
        <v>38</v>
      </c>
      <c r="E138" s="2" t="s">
        <v>71</v>
      </c>
      <c r="F138" s="2" t="s">
        <v>94</v>
      </c>
      <c r="G138">
        <v>5</v>
      </c>
      <c r="H138" s="2" t="s">
        <v>77</v>
      </c>
      <c r="I138">
        <v>177.3</v>
      </c>
      <c r="J138">
        <v>5</v>
      </c>
      <c r="K138">
        <v>8.8699999999999992</v>
      </c>
      <c r="L138">
        <v>93.06</v>
      </c>
      <c r="M138">
        <v>89.78</v>
      </c>
      <c r="N138">
        <v>0</v>
      </c>
      <c r="O138">
        <v>5.18</v>
      </c>
      <c r="P138" s="2" t="s">
        <v>42</v>
      </c>
      <c r="Q138">
        <v>0</v>
      </c>
      <c r="R138">
        <v>168.43</v>
      </c>
      <c r="S138">
        <v>188.02</v>
      </c>
      <c r="T138">
        <v>-19.59</v>
      </c>
      <c r="U138">
        <f t="shared" si="2"/>
        <v>0</v>
      </c>
    </row>
    <row r="139" spans="1:21" x14ac:dyDescent="0.25">
      <c r="A139" s="2" t="s">
        <v>319</v>
      </c>
      <c r="B139" s="2" t="s">
        <v>320</v>
      </c>
      <c r="C139" s="1">
        <v>45886</v>
      </c>
      <c r="D139" s="2" t="s">
        <v>45</v>
      </c>
      <c r="E139" s="2" t="s">
        <v>55</v>
      </c>
      <c r="F139" s="2" t="s">
        <v>94</v>
      </c>
      <c r="G139">
        <v>1</v>
      </c>
      <c r="H139" s="2" t="s">
        <v>52</v>
      </c>
      <c r="I139">
        <v>75.84</v>
      </c>
      <c r="J139">
        <v>0</v>
      </c>
      <c r="K139">
        <v>0</v>
      </c>
      <c r="L139">
        <v>12.3</v>
      </c>
      <c r="M139">
        <v>34.479999999999997</v>
      </c>
      <c r="N139">
        <v>0</v>
      </c>
      <c r="O139">
        <v>2.5</v>
      </c>
      <c r="P139" s="2" t="s">
        <v>42</v>
      </c>
      <c r="Q139">
        <v>0</v>
      </c>
      <c r="R139">
        <v>75.84</v>
      </c>
      <c r="S139">
        <v>49.28</v>
      </c>
      <c r="T139">
        <v>26.56</v>
      </c>
      <c r="U139">
        <f t="shared" si="2"/>
        <v>0</v>
      </c>
    </row>
    <row r="140" spans="1:21" x14ac:dyDescent="0.25">
      <c r="A140" s="2" t="s">
        <v>321</v>
      </c>
      <c r="B140" s="2" t="s">
        <v>322</v>
      </c>
      <c r="C140" s="1">
        <v>45816</v>
      </c>
      <c r="D140" s="2" t="s">
        <v>45</v>
      </c>
      <c r="E140" s="2" t="s">
        <v>46</v>
      </c>
      <c r="F140" s="2" t="s">
        <v>94</v>
      </c>
      <c r="G140">
        <v>2</v>
      </c>
      <c r="H140" s="2" t="s">
        <v>74</v>
      </c>
      <c r="I140">
        <v>261.08999999999997</v>
      </c>
      <c r="J140">
        <v>0</v>
      </c>
      <c r="K140">
        <v>0</v>
      </c>
      <c r="L140">
        <v>34.18</v>
      </c>
      <c r="M140">
        <v>87.23</v>
      </c>
      <c r="N140">
        <v>0</v>
      </c>
      <c r="O140">
        <v>7.87</v>
      </c>
      <c r="P140" s="2" t="s">
        <v>42</v>
      </c>
      <c r="Q140">
        <v>0</v>
      </c>
      <c r="R140">
        <v>261.08999999999997</v>
      </c>
      <c r="S140">
        <v>129.28</v>
      </c>
      <c r="T140">
        <v>131.81</v>
      </c>
      <c r="U140">
        <f t="shared" si="2"/>
        <v>0</v>
      </c>
    </row>
    <row r="141" spans="1:21" x14ac:dyDescent="0.25">
      <c r="A141" s="2" t="s">
        <v>323</v>
      </c>
      <c r="B141" s="2" t="s">
        <v>324</v>
      </c>
      <c r="C141" s="1">
        <v>45551</v>
      </c>
      <c r="D141" s="2" t="s">
        <v>45</v>
      </c>
      <c r="E141" s="2" t="s">
        <v>46</v>
      </c>
      <c r="F141" s="2" t="s">
        <v>85</v>
      </c>
      <c r="G141">
        <v>1</v>
      </c>
      <c r="H141" s="2" t="s">
        <v>41</v>
      </c>
      <c r="I141">
        <v>73.73</v>
      </c>
      <c r="J141">
        <v>5</v>
      </c>
      <c r="K141">
        <v>3.69</v>
      </c>
      <c r="L141">
        <v>9.34</v>
      </c>
      <c r="M141">
        <v>48.17</v>
      </c>
      <c r="N141">
        <v>0</v>
      </c>
      <c r="O141">
        <v>2.33</v>
      </c>
      <c r="P141" s="2" t="s">
        <v>42</v>
      </c>
      <c r="Q141">
        <v>0</v>
      </c>
      <c r="R141">
        <v>70.040000000000006</v>
      </c>
      <c r="S141">
        <v>59.84</v>
      </c>
      <c r="T141">
        <v>10.199999999999999</v>
      </c>
      <c r="U141">
        <f t="shared" si="2"/>
        <v>0</v>
      </c>
    </row>
    <row r="142" spans="1:21" x14ac:dyDescent="0.25">
      <c r="A142" s="2" t="s">
        <v>325</v>
      </c>
      <c r="B142" s="2" t="s">
        <v>326</v>
      </c>
      <c r="C142" s="1">
        <v>45801</v>
      </c>
      <c r="D142" s="2" t="s">
        <v>45</v>
      </c>
      <c r="E142" s="2" t="s">
        <v>46</v>
      </c>
      <c r="F142" s="2" t="s">
        <v>47</v>
      </c>
      <c r="G142">
        <v>2</v>
      </c>
      <c r="H142" s="2" t="s">
        <v>52</v>
      </c>
      <c r="I142">
        <v>118.09</v>
      </c>
      <c r="J142">
        <v>5</v>
      </c>
      <c r="K142">
        <v>5.9</v>
      </c>
      <c r="L142">
        <v>25.88</v>
      </c>
      <c r="M142">
        <v>57.43</v>
      </c>
      <c r="N142">
        <v>0</v>
      </c>
      <c r="O142">
        <v>3.55</v>
      </c>
      <c r="P142" s="2" t="s">
        <v>42</v>
      </c>
      <c r="Q142">
        <v>0</v>
      </c>
      <c r="R142">
        <v>112.19</v>
      </c>
      <c r="S142">
        <v>86.86</v>
      </c>
      <c r="T142">
        <v>25.33</v>
      </c>
      <c r="U142">
        <f t="shared" si="2"/>
        <v>0</v>
      </c>
    </row>
    <row r="143" spans="1:21" x14ac:dyDescent="0.25">
      <c r="A143" s="2" t="s">
        <v>327</v>
      </c>
      <c r="B143" s="2" t="s">
        <v>235</v>
      </c>
      <c r="C143" s="1">
        <v>46016</v>
      </c>
      <c r="D143" s="2" t="s">
        <v>38</v>
      </c>
      <c r="E143" s="2" t="s">
        <v>39</v>
      </c>
      <c r="F143" s="2" t="s">
        <v>40</v>
      </c>
      <c r="G143">
        <v>1</v>
      </c>
      <c r="H143" s="2" t="s">
        <v>48</v>
      </c>
      <c r="I143">
        <v>116.46</v>
      </c>
      <c r="J143">
        <v>10</v>
      </c>
      <c r="K143">
        <v>11.65</v>
      </c>
      <c r="L143">
        <v>26.84</v>
      </c>
      <c r="M143">
        <v>44.84</v>
      </c>
      <c r="N143">
        <v>0</v>
      </c>
      <c r="O143">
        <v>3.34</v>
      </c>
      <c r="P143" s="2" t="s">
        <v>42</v>
      </c>
      <c r="Q143">
        <v>0</v>
      </c>
      <c r="R143">
        <v>104.81</v>
      </c>
      <c r="S143">
        <v>75.02</v>
      </c>
      <c r="T143">
        <v>29.79</v>
      </c>
      <c r="U143">
        <f t="shared" si="2"/>
        <v>0</v>
      </c>
    </row>
    <row r="144" spans="1:21" x14ac:dyDescent="0.25">
      <c r="A144" s="2" t="s">
        <v>328</v>
      </c>
      <c r="B144" s="2" t="s">
        <v>163</v>
      </c>
      <c r="C144" s="1">
        <v>45787</v>
      </c>
      <c r="D144" s="2" t="s">
        <v>45</v>
      </c>
      <c r="E144" s="2" t="s">
        <v>46</v>
      </c>
      <c r="F144" s="2" t="s">
        <v>40</v>
      </c>
      <c r="G144">
        <v>2</v>
      </c>
      <c r="H144" s="2" t="s">
        <v>41</v>
      </c>
      <c r="I144">
        <v>278.70999999999998</v>
      </c>
      <c r="J144">
        <v>0</v>
      </c>
      <c r="K144">
        <v>0</v>
      </c>
      <c r="L144">
        <v>16</v>
      </c>
      <c r="M144">
        <v>109.1</v>
      </c>
      <c r="N144">
        <v>0</v>
      </c>
      <c r="O144">
        <v>8.3800000000000008</v>
      </c>
      <c r="P144" s="2" t="s">
        <v>42</v>
      </c>
      <c r="Q144">
        <v>0</v>
      </c>
      <c r="R144">
        <v>278.70999999999998</v>
      </c>
      <c r="S144">
        <v>133.47999999999999</v>
      </c>
      <c r="T144">
        <v>145.22999999999999</v>
      </c>
      <c r="U144">
        <f t="shared" si="2"/>
        <v>0</v>
      </c>
    </row>
    <row r="145" spans="1:21" x14ac:dyDescent="0.25">
      <c r="A145" s="2" t="s">
        <v>329</v>
      </c>
      <c r="B145" s="2" t="s">
        <v>330</v>
      </c>
      <c r="C145" s="1">
        <v>45629</v>
      </c>
      <c r="D145" s="2" t="s">
        <v>38</v>
      </c>
      <c r="E145" s="2" t="s">
        <v>46</v>
      </c>
      <c r="F145" s="2" t="s">
        <v>85</v>
      </c>
      <c r="G145">
        <v>1</v>
      </c>
      <c r="H145" s="2" t="s">
        <v>74</v>
      </c>
      <c r="I145">
        <v>18.440000000000001</v>
      </c>
      <c r="J145">
        <v>10</v>
      </c>
      <c r="K145">
        <v>1.84</v>
      </c>
      <c r="L145">
        <v>4.62</v>
      </c>
      <c r="M145">
        <v>5.64</v>
      </c>
      <c r="N145">
        <v>0</v>
      </c>
      <c r="O145">
        <v>0.78</v>
      </c>
      <c r="P145" s="2" t="s">
        <v>42</v>
      </c>
      <c r="Q145">
        <v>0</v>
      </c>
      <c r="R145">
        <v>16.600000000000001</v>
      </c>
      <c r="S145">
        <v>11.04</v>
      </c>
      <c r="T145">
        <v>5.56</v>
      </c>
      <c r="U145">
        <f t="shared" si="2"/>
        <v>0</v>
      </c>
    </row>
    <row r="146" spans="1:21" x14ac:dyDescent="0.25">
      <c r="A146" s="2" t="s">
        <v>331</v>
      </c>
      <c r="B146" s="2" t="s">
        <v>332</v>
      </c>
      <c r="C146" s="1">
        <v>45997</v>
      </c>
      <c r="D146" s="2" t="s">
        <v>59</v>
      </c>
      <c r="E146" s="2" t="s">
        <v>46</v>
      </c>
      <c r="F146" s="2" t="s">
        <v>47</v>
      </c>
      <c r="G146">
        <v>2</v>
      </c>
      <c r="H146" s="2" t="s">
        <v>74</v>
      </c>
      <c r="I146">
        <v>136.86000000000001</v>
      </c>
      <c r="J146">
        <v>0</v>
      </c>
      <c r="K146">
        <v>0</v>
      </c>
      <c r="L146">
        <v>10.6</v>
      </c>
      <c r="M146">
        <v>45.91</v>
      </c>
      <c r="N146">
        <v>20.53</v>
      </c>
      <c r="O146">
        <v>4.2699999999999996</v>
      </c>
      <c r="P146" s="2" t="s">
        <v>42</v>
      </c>
      <c r="Q146">
        <v>0</v>
      </c>
      <c r="R146">
        <v>136.86000000000001</v>
      </c>
      <c r="S146">
        <v>81.31</v>
      </c>
      <c r="T146">
        <v>55.55</v>
      </c>
      <c r="U146">
        <f t="shared" si="2"/>
        <v>0</v>
      </c>
    </row>
    <row r="147" spans="1:21" x14ac:dyDescent="0.25">
      <c r="A147" s="2" t="s">
        <v>333</v>
      </c>
      <c r="B147" s="2" t="s">
        <v>334</v>
      </c>
      <c r="C147" s="1">
        <v>45843</v>
      </c>
      <c r="D147" s="2" t="s">
        <v>45</v>
      </c>
      <c r="E147" s="2" t="s">
        <v>46</v>
      </c>
      <c r="F147" s="2" t="s">
        <v>85</v>
      </c>
      <c r="G147">
        <v>3</v>
      </c>
      <c r="H147" s="2" t="s">
        <v>111</v>
      </c>
      <c r="I147">
        <v>199.45</v>
      </c>
      <c r="J147">
        <v>0</v>
      </c>
      <c r="K147">
        <v>0</v>
      </c>
      <c r="L147">
        <v>36.32</v>
      </c>
      <c r="M147">
        <v>86.85</v>
      </c>
      <c r="N147">
        <v>0</v>
      </c>
      <c r="O147">
        <v>6.08</v>
      </c>
      <c r="P147" s="2" t="s">
        <v>42</v>
      </c>
      <c r="Q147">
        <v>0</v>
      </c>
      <c r="R147">
        <v>199.45</v>
      </c>
      <c r="S147">
        <v>129.25</v>
      </c>
      <c r="T147">
        <v>70.2</v>
      </c>
      <c r="U147">
        <f t="shared" si="2"/>
        <v>0</v>
      </c>
    </row>
    <row r="148" spans="1:21" x14ac:dyDescent="0.25">
      <c r="A148" s="2" t="s">
        <v>335</v>
      </c>
      <c r="B148" s="2" t="s">
        <v>336</v>
      </c>
      <c r="C148" s="1">
        <v>45733</v>
      </c>
      <c r="D148" s="2" t="s">
        <v>59</v>
      </c>
      <c r="E148" s="2" t="s">
        <v>71</v>
      </c>
      <c r="F148" s="2" t="s">
        <v>40</v>
      </c>
      <c r="G148">
        <v>2</v>
      </c>
      <c r="H148" s="2" t="s">
        <v>48</v>
      </c>
      <c r="I148">
        <v>90.7</v>
      </c>
      <c r="J148">
        <v>10</v>
      </c>
      <c r="K148">
        <v>9.07</v>
      </c>
      <c r="L148">
        <v>38.96</v>
      </c>
      <c r="M148">
        <v>51.2</v>
      </c>
      <c r="N148">
        <v>12.24</v>
      </c>
      <c r="O148">
        <v>2.67</v>
      </c>
      <c r="P148" s="2" t="s">
        <v>42</v>
      </c>
      <c r="Q148">
        <v>0</v>
      </c>
      <c r="R148">
        <v>81.63</v>
      </c>
      <c r="S148">
        <v>105.07</v>
      </c>
      <c r="T148">
        <v>-23.44</v>
      </c>
      <c r="U148">
        <f t="shared" si="2"/>
        <v>0</v>
      </c>
    </row>
    <row r="149" spans="1:21" x14ac:dyDescent="0.25">
      <c r="A149" s="2" t="s">
        <v>337</v>
      </c>
      <c r="B149" s="2" t="s">
        <v>338</v>
      </c>
      <c r="C149" s="1">
        <v>45366</v>
      </c>
      <c r="D149" s="2" t="s">
        <v>80</v>
      </c>
      <c r="E149" s="2" t="s">
        <v>46</v>
      </c>
      <c r="F149" s="2" t="s">
        <v>47</v>
      </c>
      <c r="G149">
        <v>1</v>
      </c>
      <c r="H149" s="2" t="s">
        <v>52</v>
      </c>
      <c r="I149">
        <v>63.63</v>
      </c>
      <c r="J149">
        <v>5</v>
      </c>
      <c r="K149">
        <v>3.18</v>
      </c>
      <c r="L149">
        <v>8.3800000000000008</v>
      </c>
      <c r="M149">
        <v>31.76</v>
      </c>
      <c r="N149">
        <v>4.84</v>
      </c>
      <c r="O149">
        <v>2.0499999999999998</v>
      </c>
      <c r="P149" s="2" t="s">
        <v>42</v>
      </c>
      <c r="Q149">
        <v>0</v>
      </c>
      <c r="R149">
        <v>60.45</v>
      </c>
      <c r="S149">
        <v>47.03</v>
      </c>
      <c r="T149">
        <v>13.42</v>
      </c>
      <c r="U149">
        <f t="shared" si="2"/>
        <v>0</v>
      </c>
    </row>
    <row r="150" spans="1:21" x14ac:dyDescent="0.25">
      <c r="A150" s="2" t="s">
        <v>339</v>
      </c>
      <c r="B150" s="2" t="s">
        <v>340</v>
      </c>
      <c r="C150" s="1">
        <v>45921</v>
      </c>
      <c r="D150" s="2" t="s">
        <v>38</v>
      </c>
      <c r="E150" s="2" t="s">
        <v>71</v>
      </c>
      <c r="F150" s="2" t="s">
        <v>40</v>
      </c>
      <c r="G150">
        <v>1</v>
      </c>
      <c r="H150" s="2" t="s">
        <v>74</v>
      </c>
      <c r="I150">
        <v>129.80000000000001</v>
      </c>
      <c r="J150">
        <v>15</v>
      </c>
      <c r="K150">
        <v>19.47</v>
      </c>
      <c r="L150">
        <v>3.82</v>
      </c>
      <c r="M150">
        <v>38.64</v>
      </c>
      <c r="N150">
        <v>0</v>
      </c>
      <c r="O150">
        <v>3.5</v>
      </c>
      <c r="P150" s="2" t="s">
        <v>42</v>
      </c>
      <c r="Q150">
        <v>0</v>
      </c>
      <c r="R150">
        <v>110.33</v>
      </c>
      <c r="S150">
        <v>45.96</v>
      </c>
      <c r="T150">
        <v>64.37</v>
      </c>
      <c r="U150">
        <f t="shared" si="2"/>
        <v>0</v>
      </c>
    </row>
    <row r="151" spans="1:21" x14ac:dyDescent="0.25">
      <c r="A151" s="2" t="s">
        <v>341</v>
      </c>
      <c r="B151" s="2" t="s">
        <v>342</v>
      </c>
      <c r="C151" s="1">
        <v>45592</v>
      </c>
      <c r="D151" s="2" t="s">
        <v>45</v>
      </c>
      <c r="E151" s="2" t="s">
        <v>71</v>
      </c>
      <c r="F151" s="2" t="s">
        <v>40</v>
      </c>
      <c r="G151">
        <v>1</v>
      </c>
      <c r="H151" s="2" t="s">
        <v>77</v>
      </c>
      <c r="I151">
        <v>69.540000000000006</v>
      </c>
      <c r="J151">
        <v>0</v>
      </c>
      <c r="K151">
        <v>0</v>
      </c>
      <c r="L151">
        <v>27.78</v>
      </c>
      <c r="M151">
        <v>28.65</v>
      </c>
      <c r="N151">
        <v>0</v>
      </c>
      <c r="O151">
        <v>2.3199999999999998</v>
      </c>
      <c r="P151" s="2" t="s">
        <v>68</v>
      </c>
      <c r="Q151">
        <v>69.540000000000006</v>
      </c>
      <c r="R151">
        <v>0</v>
      </c>
      <c r="S151">
        <v>58.75</v>
      </c>
      <c r="T151">
        <v>-58.75</v>
      </c>
      <c r="U151">
        <f t="shared" si="2"/>
        <v>0</v>
      </c>
    </row>
    <row r="152" spans="1:21" x14ac:dyDescent="0.25">
      <c r="A152" s="2" t="s">
        <v>343</v>
      </c>
      <c r="B152" s="2" t="s">
        <v>219</v>
      </c>
      <c r="C152" s="1">
        <v>45564</v>
      </c>
      <c r="D152" s="2" t="s">
        <v>45</v>
      </c>
      <c r="E152" s="2" t="s">
        <v>46</v>
      </c>
      <c r="F152" s="2" t="s">
        <v>85</v>
      </c>
      <c r="G152">
        <v>1</v>
      </c>
      <c r="H152" s="2" t="s">
        <v>52</v>
      </c>
      <c r="I152">
        <v>94.27</v>
      </c>
      <c r="J152">
        <v>25</v>
      </c>
      <c r="K152">
        <v>23.57</v>
      </c>
      <c r="L152">
        <v>7.98</v>
      </c>
      <c r="M152">
        <v>37.200000000000003</v>
      </c>
      <c r="N152">
        <v>0</v>
      </c>
      <c r="O152">
        <v>2.35</v>
      </c>
      <c r="P152" s="2" t="s">
        <v>42</v>
      </c>
      <c r="Q152">
        <v>0</v>
      </c>
      <c r="R152">
        <v>70.7</v>
      </c>
      <c r="S152">
        <v>47.53</v>
      </c>
      <c r="T152">
        <v>23.17</v>
      </c>
      <c r="U152">
        <f t="shared" si="2"/>
        <v>0</v>
      </c>
    </row>
    <row r="153" spans="1:21" x14ac:dyDescent="0.25">
      <c r="A153" s="2" t="s">
        <v>344</v>
      </c>
      <c r="B153" s="2" t="s">
        <v>239</v>
      </c>
      <c r="C153" s="1">
        <v>45864</v>
      </c>
      <c r="D153" s="2" t="s">
        <v>38</v>
      </c>
      <c r="E153" s="2" t="s">
        <v>46</v>
      </c>
      <c r="F153" s="2" t="s">
        <v>94</v>
      </c>
      <c r="G153">
        <v>1</v>
      </c>
      <c r="H153" s="2" t="s">
        <v>41</v>
      </c>
      <c r="I153">
        <v>521</v>
      </c>
      <c r="J153">
        <v>0</v>
      </c>
      <c r="K153">
        <v>0</v>
      </c>
      <c r="L153">
        <v>23.64</v>
      </c>
      <c r="M153">
        <v>157.84</v>
      </c>
      <c r="N153">
        <v>0</v>
      </c>
      <c r="O153">
        <v>15.41</v>
      </c>
      <c r="P153" s="2" t="s">
        <v>42</v>
      </c>
      <c r="Q153">
        <v>0</v>
      </c>
      <c r="R153">
        <v>521</v>
      </c>
      <c r="S153">
        <v>196.89</v>
      </c>
      <c r="T153">
        <v>324.11</v>
      </c>
      <c r="U153">
        <f t="shared" si="2"/>
        <v>1</v>
      </c>
    </row>
    <row r="154" spans="1:21" x14ac:dyDescent="0.25">
      <c r="A154" s="2" t="s">
        <v>345</v>
      </c>
      <c r="B154" s="2" t="s">
        <v>346</v>
      </c>
      <c r="C154" s="1">
        <v>45837</v>
      </c>
      <c r="D154" s="2" t="s">
        <v>45</v>
      </c>
      <c r="E154" s="2" t="s">
        <v>67</v>
      </c>
      <c r="F154" s="2" t="s">
        <v>94</v>
      </c>
      <c r="G154">
        <v>1</v>
      </c>
      <c r="H154" s="2" t="s">
        <v>77</v>
      </c>
      <c r="I154">
        <v>5.52</v>
      </c>
      <c r="J154">
        <v>10</v>
      </c>
      <c r="K154">
        <v>0.55000000000000004</v>
      </c>
      <c r="L154">
        <v>7.82</v>
      </c>
      <c r="M154">
        <v>3.38</v>
      </c>
      <c r="N154">
        <v>0</v>
      </c>
      <c r="O154">
        <v>0.44</v>
      </c>
      <c r="P154" s="2" t="s">
        <v>42</v>
      </c>
      <c r="Q154">
        <v>0</v>
      </c>
      <c r="R154">
        <v>4.97</v>
      </c>
      <c r="S154">
        <v>11.64</v>
      </c>
      <c r="T154">
        <v>-6.67</v>
      </c>
      <c r="U154">
        <f t="shared" si="2"/>
        <v>0</v>
      </c>
    </row>
    <row r="155" spans="1:21" x14ac:dyDescent="0.25">
      <c r="A155" s="2" t="s">
        <v>347</v>
      </c>
      <c r="B155" s="2" t="s">
        <v>348</v>
      </c>
      <c r="C155" s="1">
        <v>45932</v>
      </c>
      <c r="D155" s="2" t="s">
        <v>45</v>
      </c>
      <c r="E155" s="2" t="s">
        <v>46</v>
      </c>
      <c r="F155" s="2" t="s">
        <v>85</v>
      </c>
      <c r="G155">
        <v>2</v>
      </c>
      <c r="H155" s="2" t="s">
        <v>52</v>
      </c>
      <c r="I155">
        <v>99.89</v>
      </c>
      <c r="J155">
        <v>10</v>
      </c>
      <c r="K155">
        <v>9.99</v>
      </c>
      <c r="L155">
        <v>30.66</v>
      </c>
      <c r="M155">
        <v>45.02</v>
      </c>
      <c r="N155">
        <v>0</v>
      </c>
      <c r="O155">
        <v>2.91</v>
      </c>
      <c r="P155" s="2" t="s">
        <v>42</v>
      </c>
      <c r="Q155">
        <v>0</v>
      </c>
      <c r="R155">
        <v>89.9</v>
      </c>
      <c r="S155">
        <v>78.59</v>
      </c>
      <c r="T155">
        <v>11.31</v>
      </c>
      <c r="U155">
        <f t="shared" si="2"/>
        <v>0</v>
      </c>
    </row>
    <row r="156" spans="1:21" x14ac:dyDescent="0.25">
      <c r="A156" s="2" t="s">
        <v>349</v>
      </c>
      <c r="B156" s="2" t="s">
        <v>253</v>
      </c>
      <c r="C156" s="1">
        <v>45911</v>
      </c>
      <c r="D156" s="2" t="s">
        <v>45</v>
      </c>
      <c r="E156" s="2" t="s">
        <v>71</v>
      </c>
      <c r="F156" s="2" t="s">
        <v>85</v>
      </c>
      <c r="G156">
        <v>3</v>
      </c>
      <c r="H156" s="2" t="s">
        <v>64</v>
      </c>
      <c r="I156">
        <v>339.72</v>
      </c>
      <c r="J156">
        <v>10</v>
      </c>
      <c r="K156">
        <v>33.97</v>
      </c>
      <c r="L156">
        <v>55.56</v>
      </c>
      <c r="M156">
        <v>109.36</v>
      </c>
      <c r="N156">
        <v>0</v>
      </c>
      <c r="O156">
        <v>9.17</v>
      </c>
      <c r="P156" s="2" t="s">
        <v>68</v>
      </c>
      <c r="Q156">
        <v>305.75</v>
      </c>
      <c r="R156">
        <v>0</v>
      </c>
      <c r="S156">
        <v>174.09</v>
      </c>
      <c r="T156">
        <v>-174.09</v>
      </c>
      <c r="U156">
        <f t="shared" si="2"/>
        <v>0</v>
      </c>
    </row>
    <row r="157" spans="1:21" x14ac:dyDescent="0.25">
      <c r="A157" s="2" t="s">
        <v>350</v>
      </c>
      <c r="B157" s="2" t="s">
        <v>351</v>
      </c>
      <c r="C157" s="1">
        <v>45840</v>
      </c>
      <c r="D157" s="2" t="s">
        <v>45</v>
      </c>
      <c r="E157" s="2" t="s">
        <v>46</v>
      </c>
      <c r="F157" s="2" t="s">
        <v>47</v>
      </c>
      <c r="G157">
        <v>1</v>
      </c>
      <c r="H157" s="2" t="s">
        <v>56</v>
      </c>
      <c r="I157">
        <v>83.94</v>
      </c>
      <c r="J157">
        <v>20</v>
      </c>
      <c r="K157">
        <v>16.79</v>
      </c>
      <c r="L157">
        <v>26.84</v>
      </c>
      <c r="M157">
        <v>24.48</v>
      </c>
      <c r="N157">
        <v>0</v>
      </c>
      <c r="O157">
        <v>2.25</v>
      </c>
      <c r="P157" s="2" t="s">
        <v>42</v>
      </c>
      <c r="Q157">
        <v>0</v>
      </c>
      <c r="R157">
        <v>67.150000000000006</v>
      </c>
      <c r="S157">
        <v>53.57</v>
      </c>
      <c r="T157">
        <v>13.58</v>
      </c>
      <c r="U157">
        <f t="shared" si="2"/>
        <v>0</v>
      </c>
    </row>
    <row r="158" spans="1:21" x14ac:dyDescent="0.25">
      <c r="A158" s="2" t="s">
        <v>352</v>
      </c>
      <c r="B158" s="2" t="s">
        <v>353</v>
      </c>
      <c r="C158" s="1">
        <v>45759</v>
      </c>
      <c r="D158" s="2" t="s">
        <v>38</v>
      </c>
      <c r="E158" s="2" t="s">
        <v>55</v>
      </c>
      <c r="F158" s="2" t="s">
        <v>94</v>
      </c>
      <c r="G158">
        <v>5</v>
      </c>
      <c r="H158" s="2" t="s">
        <v>74</v>
      </c>
      <c r="I158">
        <v>323.66000000000003</v>
      </c>
      <c r="J158">
        <v>0</v>
      </c>
      <c r="K158">
        <v>0</v>
      </c>
      <c r="L158">
        <v>85.12</v>
      </c>
      <c r="M158">
        <v>126.87</v>
      </c>
      <c r="N158">
        <v>0</v>
      </c>
      <c r="O158">
        <v>9.69</v>
      </c>
      <c r="P158" s="2" t="s">
        <v>42</v>
      </c>
      <c r="Q158">
        <v>0</v>
      </c>
      <c r="R158">
        <v>323.66000000000003</v>
      </c>
      <c r="S158">
        <v>221.68</v>
      </c>
      <c r="T158">
        <v>101.98</v>
      </c>
      <c r="U158">
        <f t="shared" si="2"/>
        <v>1</v>
      </c>
    </row>
    <row r="159" spans="1:21" x14ac:dyDescent="0.25">
      <c r="A159" s="2" t="s">
        <v>354</v>
      </c>
      <c r="B159" s="2" t="s">
        <v>355</v>
      </c>
      <c r="C159" s="1">
        <v>45808</v>
      </c>
      <c r="D159" s="2" t="s">
        <v>80</v>
      </c>
      <c r="E159" s="2" t="s">
        <v>46</v>
      </c>
      <c r="F159" s="2" t="s">
        <v>40</v>
      </c>
      <c r="G159">
        <v>4</v>
      </c>
      <c r="H159" s="2" t="s">
        <v>77</v>
      </c>
      <c r="I159">
        <v>209.1</v>
      </c>
      <c r="J159">
        <v>5</v>
      </c>
      <c r="K159">
        <v>10.46</v>
      </c>
      <c r="L159">
        <v>48.86</v>
      </c>
      <c r="M159">
        <v>91.38</v>
      </c>
      <c r="N159">
        <v>15.89</v>
      </c>
      <c r="O159">
        <v>6.06</v>
      </c>
      <c r="P159" s="2" t="s">
        <v>42</v>
      </c>
      <c r="Q159">
        <v>0</v>
      </c>
      <c r="R159">
        <v>198.64</v>
      </c>
      <c r="S159">
        <v>162.19</v>
      </c>
      <c r="T159">
        <v>36.450000000000003</v>
      </c>
      <c r="U159">
        <f t="shared" si="2"/>
        <v>0</v>
      </c>
    </row>
    <row r="160" spans="1:21" x14ac:dyDescent="0.25">
      <c r="A160" s="2" t="s">
        <v>356</v>
      </c>
      <c r="B160" s="2" t="s">
        <v>357</v>
      </c>
      <c r="C160" s="1">
        <v>45880</v>
      </c>
      <c r="D160" s="2" t="s">
        <v>59</v>
      </c>
      <c r="E160" s="2" t="s">
        <v>46</v>
      </c>
      <c r="F160" s="2" t="s">
        <v>85</v>
      </c>
      <c r="G160">
        <v>1</v>
      </c>
      <c r="H160" s="2" t="s">
        <v>56</v>
      </c>
      <c r="I160">
        <v>242.06</v>
      </c>
      <c r="J160">
        <v>0</v>
      </c>
      <c r="K160">
        <v>0</v>
      </c>
      <c r="L160">
        <v>9.56</v>
      </c>
      <c r="M160">
        <v>75.52</v>
      </c>
      <c r="N160">
        <v>36.31</v>
      </c>
      <c r="O160">
        <v>7.32</v>
      </c>
      <c r="P160" s="2" t="s">
        <v>42</v>
      </c>
      <c r="Q160">
        <v>0</v>
      </c>
      <c r="R160">
        <v>242.06</v>
      </c>
      <c r="S160">
        <v>128.71</v>
      </c>
      <c r="T160">
        <v>113.35</v>
      </c>
      <c r="U160">
        <f t="shared" si="2"/>
        <v>0</v>
      </c>
    </row>
    <row r="161" spans="1:21" x14ac:dyDescent="0.25">
      <c r="A161" s="2" t="s">
        <v>358</v>
      </c>
      <c r="B161" s="2" t="s">
        <v>359</v>
      </c>
      <c r="C161" s="1">
        <v>45822</v>
      </c>
      <c r="D161" s="2" t="s">
        <v>38</v>
      </c>
      <c r="E161" s="2" t="s">
        <v>46</v>
      </c>
      <c r="F161" s="2" t="s">
        <v>40</v>
      </c>
      <c r="G161">
        <v>5</v>
      </c>
      <c r="H161" s="2" t="s">
        <v>56</v>
      </c>
      <c r="I161">
        <v>506.76</v>
      </c>
      <c r="J161">
        <v>20</v>
      </c>
      <c r="K161">
        <v>101.35</v>
      </c>
      <c r="L161">
        <v>60.32</v>
      </c>
      <c r="M161">
        <v>159.97999999999999</v>
      </c>
      <c r="N161">
        <v>0</v>
      </c>
      <c r="O161">
        <v>12.06</v>
      </c>
      <c r="P161" s="2" t="s">
        <v>42</v>
      </c>
      <c r="Q161">
        <v>0</v>
      </c>
      <c r="R161">
        <v>405.41</v>
      </c>
      <c r="S161">
        <v>232.36</v>
      </c>
      <c r="T161">
        <v>173.05</v>
      </c>
      <c r="U161">
        <f t="shared" si="2"/>
        <v>0</v>
      </c>
    </row>
    <row r="162" spans="1:21" x14ac:dyDescent="0.25">
      <c r="A162" s="2" t="s">
        <v>360</v>
      </c>
      <c r="B162" s="2" t="s">
        <v>361</v>
      </c>
      <c r="C162" s="1">
        <v>45691</v>
      </c>
      <c r="D162" s="2" t="s">
        <v>80</v>
      </c>
      <c r="E162" s="2" t="s">
        <v>46</v>
      </c>
      <c r="F162" s="2" t="s">
        <v>51</v>
      </c>
      <c r="G162">
        <v>1</v>
      </c>
      <c r="H162" s="2" t="s">
        <v>64</v>
      </c>
      <c r="I162">
        <v>63.94</v>
      </c>
      <c r="J162">
        <v>0</v>
      </c>
      <c r="K162">
        <v>0</v>
      </c>
      <c r="L162">
        <v>8.4600000000000009</v>
      </c>
      <c r="M162">
        <v>20.51</v>
      </c>
      <c r="N162">
        <v>5.12</v>
      </c>
      <c r="O162">
        <v>2.15</v>
      </c>
      <c r="P162" s="2" t="s">
        <v>68</v>
      </c>
      <c r="Q162">
        <v>63.94</v>
      </c>
      <c r="R162">
        <v>0</v>
      </c>
      <c r="S162">
        <v>36.24</v>
      </c>
      <c r="T162">
        <v>-36.24</v>
      </c>
      <c r="U162">
        <f t="shared" si="2"/>
        <v>0</v>
      </c>
    </row>
    <row r="163" spans="1:21" x14ac:dyDescent="0.25">
      <c r="A163" s="2" t="s">
        <v>362</v>
      </c>
      <c r="B163" s="2" t="s">
        <v>363</v>
      </c>
      <c r="C163" s="1">
        <v>45580</v>
      </c>
      <c r="D163" s="2" t="s">
        <v>38</v>
      </c>
      <c r="E163" s="2" t="s">
        <v>55</v>
      </c>
      <c r="F163" s="2" t="s">
        <v>51</v>
      </c>
      <c r="G163">
        <v>2</v>
      </c>
      <c r="H163" s="2" t="s">
        <v>77</v>
      </c>
      <c r="I163">
        <v>75.959999999999994</v>
      </c>
      <c r="J163">
        <v>15</v>
      </c>
      <c r="K163">
        <v>11.39</v>
      </c>
      <c r="L163">
        <v>25.14</v>
      </c>
      <c r="M163">
        <v>24.6</v>
      </c>
      <c r="N163">
        <v>0</v>
      </c>
      <c r="O163">
        <v>2.17</v>
      </c>
      <c r="P163" s="2" t="s">
        <v>68</v>
      </c>
      <c r="Q163">
        <v>64.569999999999993</v>
      </c>
      <c r="R163">
        <v>0</v>
      </c>
      <c r="S163">
        <v>51.91</v>
      </c>
      <c r="T163">
        <v>-51.91</v>
      </c>
      <c r="U163">
        <f t="shared" si="2"/>
        <v>0</v>
      </c>
    </row>
    <row r="164" spans="1:21" x14ac:dyDescent="0.25">
      <c r="A164" s="2" t="s">
        <v>364</v>
      </c>
      <c r="B164" s="2" t="s">
        <v>365</v>
      </c>
      <c r="C164" s="1">
        <v>45657</v>
      </c>
      <c r="D164" s="2" t="s">
        <v>59</v>
      </c>
      <c r="E164" s="2" t="s">
        <v>46</v>
      </c>
      <c r="F164" s="2" t="s">
        <v>85</v>
      </c>
      <c r="G164">
        <v>1</v>
      </c>
      <c r="H164" s="2" t="s">
        <v>52</v>
      </c>
      <c r="I164">
        <v>14.74</v>
      </c>
      <c r="J164">
        <v>5</v>
      </c>
      <c r="K164">
        <v>0.74</v>
      </c>
      <c r="L164">
        <v>5.58</v>
      </c>
      <c r="M164">
        <v>4.57</v>
      </c>
      <c r="N164">
        <v>2.1</v>
      </c>
      <c r="O164">
        <v>0.71</v>
      </c>
      <c r="P164" s="2" t="s">
        <v>42</v>
      </c>
      <c r="Q164">
        <v>0</v>
      </c>
      <c r="R164">
        <v>14</v>
      </c>
      <c r="S164">
        <v>12.96</v>
      </c>
      <c r="T164">
        <v>1.04</v>
      </c>
      <c r="U164">
        <f t="shared" si="2"/>
        <v>1</v>
      </c>
    </row>
    <row r="165" spans="1:21" x14ac:dyDescent="0.25">
      <c r="A165" s="2" t="s">
        <v>366</v>
      </c>
      <c r="B165" s="2" t="s">
        <v>367</v>
      </c>
      <c r="C165" s="1">
        <v>45450</v>
      </c>
      <c r="D165" s="2" t="s">
        <v>38</v>
      </c>
      <c r="E165" s="2" t="s">
        <v>46</v>
      </c>
      <c r="F165" s="2" t="s">
        <v>47</v>
      </c>
      <c r="G165">
        <v>3</v>
      </c>
      <c r="H165" s="2" t="s">
        <v>52</v>
      </c>
      <c r="I165">
        <v>143.13</v>
      </c>
      <c r="J165">
        <v>5</v>
      </c>
      <c r="K165">
        <v>7.16</v>
      </c>
      <c r="L165">
        <v>30.26</v>
      </c>
      <c r="M165">
        <v>79.48</v>
      </c>
      <c r="N165">
        <v>0</v>
      </c>
      <c r="O165">
        <v>4.24</v>
      </c>
      <c r="P165" s="2" t="s">
        <v>42</v>
      </c>
      <c r="Q165">
        <v>0</v>
      </c>
      <c r="R165">
        <v>135.97</v>
      </c>
      <c r="S165">
        <v>113.98</v>
      </c>
      <c r="T165">
        <v>21.99</v>
      </c>
      <c r="U165">
        <f t="shared" si="2"/>
        <v>1</v>
      </c>
    </row>
    <row r="166" spans="1:21" x14ac:dyDescent="0.25">
      <c r="A166" s="2" t="s">
        <v>368</v>
      </c>
      <c r="B166" s="2" t="s">
        <v>197</v>
      </c>
      <c r="C166" s="1">
        <v>45579</v>
      </c>
      <c r="D166" s="2" t="s">
        <v>80</v>
      </c>
      <c r="E166" s="2" t="s">
        <v>46</v>
      </c>
      <c r="F166" s="2" t="s">
        <v>51</v>
      </c>
      <c r="G166">
        <v>1</v>
      </c>
      <c r="H166" s="2" t="s">
        <v>77</v>
      </c>
      <c r="I166">
        <v>91.83</v>
      </c>
      <c r="J166">
        <v>20</v>
      </c>
      <c r="K166">
        <v>18.37</v>
      </c>
      <c r="L166">
        <v>29.7</v>
      </c>
      <c r="M166">
        <v>27.54</v>
      </c>
      <c r="N166">
        <v>5.88</v>
      </c>
      <c r="O166">
        <v>2.4300000000000002</v>
      </c>
      <c r="P166" s="2" t="s">
        <v>42</v>
      </c>
      <c r="Q166">
        <v>0</v>
      </c>
      <c r="R166">
        <v>73.459999999999994</v>
      </c>
      <c r="S166">
        <v>65.55</v>
      </c>
      <c r="T166">
        <v>7.91</v>
      </c>
      <c r="U166">
        <f t="shared" si="2"/>
        <v>0</v>
      </c>
    </row>
    <row r="167" spans="1:21" x14ac:dyDescent="0.25">
      <c r="A167" s="2" t="s">
        <v>369</v>
      </c>
      <c r="B167" s="2" t="s">
        <v>370</v>
      </c>
      <c r="C167" s="1">
        <v>45949</v>
      </c>
      <c r="D167" s="2" t="s">
        <v>45</v>
      </c>
      <c r="E167" s="2" t="s">
        <v>46</v>
      </c>
      <c r="F167" s="2" t="s">
        <v>40</v>
      </c>
      <c r="G167">
        <v>1</v>
      </c>
      <c r="H167" s="2" t="s">
        <v>64</v>
      </c>
      <c r="I167">
        <v>13.66</v>
      </c>
      <c r="J167">
        <v>10</v>
      </c>
      <c r="K167">
        <v>1.37</v>
      </c>
      <c r="L167">
        <v>10.62</v>
      </c>
      <c r="M167">
        <v>4.6900000000000004</v>
      </c>
      <c r="N167">
        <v>0</v>
      </c>
      <c r="O167">
        <v>0.66</v>
      </c>
      <c r="P167" s="2" t="s">
        <v>42</v>
      </c>
      <c r="Q167">
        <v>0</v>
      </c>
      <c r="R167">
        <v>12.29</v>
      </c>
      <c r="S167">
        <v>15.97</v>
      </c>
      <c r="T167">
        <v>-3.68</v>
      </c>
      <c r="U167">
        <f t="shared" si="2"/>
        <v>0</v>
      </c>
    </row>
    <row r="168" spans="1:21" x14ac:dyDescent="0.25">
      <c r="A168" s="2" t="s">
        <v>371</v>
      </c>
      <c r="B168" s="2" t="s">
        <v>372</v>
      </c>
      <c r="C168" s="1">
        <v>45562</v>
      </c>
      <c r="D168" s="2" t="s">
        <v>38</v>
      </c>
      <c r="E168" s="2" t="s">
        <v>67</v>
      </c>
      <c r="F168" s="2" t="s">
        <v>47</v>
      </c>
      <c r="G168">
        <v>2</v>
      </c>
      <c r="H168" s="2" t="s">
        <v>111</v>
      </c>
      <c r="I168">
        <v>330.03</v>
      </c>
      <c r="J168">
        <v>10</v>
      </c>
      <c r="K168">
        <v>33</v>
      </c>
      <c r="L168">
        <v>22.16</v>
      </c>
      <c r="M168">
        <v>113.12</v>
      </c>
      <c r="N168">
        <v>0</v>
      </c>
      <c r="O168">
        <v>8.91</v>
      </c>
      <c r="P168" s="2" t="s">
        <v>42</v>
      </c>
      <c r="Q168">
        <v>0</v>
      </c>
      <c r="R168">
        <v>297.02999999999997</v>
      </c>
      <c r="S168">
        <v>144.19</v>
      </c>
      <c r="T168">
        <v>152.84</v>
      </c>
      <c r="U168">
        <f t="shared" si="2"/>
        <v>0</v>
      </c>
    </row>
    <row r="169" spans="1:21" x14ac:dyDescent="0.25">
      <c r="A169" s="2" t="s">
        <v>373</v>
      </c>
      <c r="B169" s="2" t="s">
        <v>374</v>
      </c>
      <c r="C169" s="1">
        <v>45700</v>
      </c>
      <c r="D169" s="2" t="s">
        <v>80</v>
      </c>
      <c r="E169" s="2" t="s">
        <v>67</v>
      </c>
      <c r="F169" s="2" t="s">
        <v>40</v>
      </c>
      <c r="G169">
        <v>1</v>
      </c>
      <c r="H169" s="2" t="s">
        <v>111</v>
      </c>
      <c r="I169">
        <v>52.9</v>
      </c>
      <c r="J169">
        <v>5</v>
      </c>
      <c r="K169">
        <v>2.65</v>
      </c>
      <c r="L169">
        <v>9.26</v>
      </c>
      <c r="M169">
        <v>18.47</v>
      </c>
      <c r="N169">
        <v>4.0199999999999996</v>
      </c>
      <c r="O169">
        <v>1.76</v>
      </c>
      <c r="P169" s="2" t="s">
        <v>42</v>
      </c>
      <c r="Q169">
        <v>0</v>
      </c>
      <c r="R169">
        <v>50.25</v>
      </c>
      <c r="S169">
        <v>33.51</v>
      </c>
      <c r="T169">
        <v>16.739999999999998</v>
      </c>
      <c r="U169">
        <f t="shared" si="2"/>
        <v>0</v>
      </c>
    </row>
    <row r="170" spans="1:21" x14ac:dyDescent="0.25">
      <c r="A170" s="2" t="s">
        <v>375</v>
      </c>
      <c r="B170" s="2" t="s">
        <v>376</v>
      </c>
      <c r="C170" s="1">
        <v>45782</v>
      </c>
      <c r="D170" s="2" t="s">
        <v>45</v>
      </c>
      <c r="E170" s="2" t="s">
        <v>71</v>
      </c>
      <c r="F170" s="2" t="s">
        <v>47</v>
      </c>
      <c r="G170">
        <v>2</v>
      </c>
      <c r="H170" s="2" t="s">
        <v>64</v>
      </c>
      <c r="I170">
        <v>73.88</v>
      </c>
      <c r="J170">
        <v>10</v>
      </c>
      <c r="K170">
        <v>7.39</v>
      </c>
      <c r="L170">
        <v>15.8</v>
      </c>
      <c r="M170">
        <v>27.22</v>
      </c>
      <c r="N170">
        <v>0</v>
      </c>
      <c r="O170">
        <v>2.23</v>
      </c>
      <c r="P170" s="2" t="s">
        <v>42</v>
      </c>
      <c r="Q170">
        <v>0</v>
      </c>
      <c r="R170">
        <v>66.489999999999995</v>
      </c>
      <c r="S170">
        <v>45.25</v>
      </c>
      <c r="T170">
        <v>21.24</v>
      </c>
      <c r="U170">
        <f t="shared" si="2"/>
        <v>0</v>
      </c>
    </row>
    <row r="171" spans="1:21" x14ac:dyDescent="0.25">
      <c r="A171" s="2" t="s">
        <v>377</v>
      </c>
      <c r="B171" s="2" t="s">
        <v>378</v>
      </c>
      <c r="C171" s="1">
        <v>45738</v>
      </c>
      <c r="D171" s="2" t="s">
        <v>59</v>
      </c>
      <c r="E171" s="2" t="s">
        <v>71</v>
      </c>
      <c r="F171" s="2" t="s">
        <v>85</v>
      </c>
      <c r="G171">
        <v>1</v>
      </c>
      <c r="H171" s="2" t="s">
        <v>48</v>
      </c>
      <c r="I171">
        <v>106.23</v>
      </c>
      <c r="J171">
        <v>0</v>
      </c>
      <c r="K171">
        <v>0</v>
      </c>
      <c r="L171">
        <v>36.42</v>
      </c>
      <c r="M171">
        <v>56.67</v>
      </c>
      <c r="N171">
        <v>15.93</v>
      </c>
      <c r="O171">
        <v>3.38</v>
      </c>
      <c r="P171" s="2" t="s">
        <v>42</v>
      </c>
      <c r="Q171">
        <v>0</v>
      </c>
      <c r="R171">
        <v>106.23</v>
      </c>
      <c r="S171">
        <v>112.4</v>
      </c>
      <c r="T171">
        <v>-6.17</v>
      </c>
      <c r="U171">
        <f t="shared" si="2"/>
        <v>0</v>
      </c>
    </row>
    <row r="172" spans="1:21" x14ac:dyDescent="0.25">
      <c r="A172" s="2" t="s">
        <v>379</v>
      </c>
      <c r="B172" s="2" t="s">
        <v>380</v>
      </c>
      <c r="C172" s="1">
        <v>45722</v>
      </c>
      <c r="D172" s="2" t="s">
        <v>59</v>
      </c>
      <c r="E172" s="2" t="s">
        <v>46</v>
      </c>
      <c r="F172" s="2" t="s">
        <v>40</v>
      </c>
      <c r="G172">
        <v>1</v>
      </c>
      <c r="H172" s="2" t="s">
        <v>111</v>
      </c>
      <c r="I172">
        <v>494.55</v>
      </c>
      <c r="J172">
        <v>0</v>
      </c>
      <c r="K172">
        <v>0</v>
      </c>
      <c r="L172">
        <v>14.1</v>
      </c>
      <c r="M172">
        <v>149.63999999999999</v>
      </c>
      <c r="N172">
        <v>74.180000000000007</v>
      </c>
      <c r="O172">
        <v>14.64</v>
      </c>
      <c r="P172" s="2" t="s">
        <v>42</v>
      </c>
      <c r="Q172">
        <v>0</v>
      </c>
      <c r="R172">
        <v>494.55</v>
      </c>
      <c r="S172">
        <v>252.56</v>
      </c>
      <c r="T172">
        <v>241.99</v>
      </c>
      <c r="U172">
        <f t="shared" si="2"/>
        <v>0</v>
      </c>
    </row>
    <row r="173" spans="1:21" x14ac:dyDescent="0.25">
      <c r="A173" s="2" t="s">
        <v>381</v>
      </c>
      <c r="B173" s="2" t="s">
        <v>382</v>
      </c>
      <c r="C173" s="1">
        <v>45383</v>
      </c>
      <c r="D173" s="2" t="s">
        <v>38</v>
      </c>
      <c r="E173" s="2" t="s">
        <v>55</v>
      </c>
      <c r="F173" s="2" t="s">
        <v>94</v>
      </c>
      <c r="G173">
        <v>2</v>
      </c>
      <c r="H173" s="2" t="s">
        <v>74</v>
      </c>
      <c r="I173">
        <v>91.9</v>
      </c>
      <c r="J173">
        <v>10</v>
      </c>
      <c r="K173">
        <v>9.19</v>
      </c>
      <c r="L173">
        <v>15.64</v>
      </c>
      <c r="M173">
        <v>34.78</v>
      </c>
      <c r="N173">
        <v>0</v>
      </c>
      <c r="O173">
        <v>2.7</v>
      </c>
      <c r="P173" s="2" t="s">
        <v>42</v>
      </c>
      <c r="Q173">
        <v>0</v>
      </c>
      <c r="R173">
        <v>82.71</v>
      </c>
      <c r="S173">
        <v>53.12</v>
      </c>
      <c r="T173">
        <v>29.59</v>
      </c>
      <c r="U173">
        <f t="shared" si="2"/>
        <v>0</v>
      </c>
    </row>
    <row r="174" spans="1:21" x14ac:dyDescent="0.25">
      <c r="A174" s="2" t="s">
        <v>383</v>
      </c>
      <c r="B174" s="2" t="s">
        <v>384</v>
      </c>
      <c r="C174" s="1">
        <v>45661</v>
      </c>
      <c r="D174" s="2" t="s">
        <v>38</v>
      </c>
      <c r="E174" s="2" t="s">
        <v>67</v>
      </c>
      <c r="F174" s="2" t="s">
        <v>47</v>
      </c>
      <c r="G174">
        <v>1</v>
      </c>
      <c r="H174" s="2" t="s">
        <v>111</v>
      </c>
      <c r="I174">
        <v>78.75</v>
      </c>
      <c r="J174">
        <v>0</v>
      </c>
      <c r="K174">
        <v>0</v>
      </c>
      <c r="L174">
        <v>21.54</v>
      </c>
      <c r="M174">
        <v>32.340000000000003</v>
      </c>
      <c r="N174">
        <v>0</v>
      </c>
      <c r="O174">
        <v>2.58</v>
      </c>
      <c r="P174" s="2" t="s">
        <v>42</v>
      </c>
      <c r="Q174">
        <v>0</v>
      </c>
      <c r="R174">
        <v>78.75</v>
      </c>
      <c r="S174">
        <v>56.46</v>
      </c>
      <c r="T174">
        <v>22.29</v>
      </c>
      <c r="U174">
        <f t="shared" si="2"/>
        <v>0</v>
      </c>
    </row>
    <row r="175" spans="1:21" x14ac:dyDescent="0.25">
      <c r="A175" s="2" t="s">
        <v>385</v>
      </c>
      <c r="B175" s="2" t="s">
        <v>386</v>
      </c>
      <c r="C175" s="1">
        <v>45535</v>
      </c>
      <c r="D175" s="2" t="s">
        <v>45</v>
      </c>
      <c r="E175" s="2" t="s">
        <v>71</v>
      </c>
      <c r="F175" s="2" t="s">
        <v>94</v>
      </c>
      <c r="G175">
        <v>2</v>
      </c>
      <c r="H175" s="2" t="s">
        <v>56</v>
      </c>
      <c r="I175">
        <v>62.13</v>
      </c>
      <c r="J175">
        <v>20</v>
      </c>
      <c r="K175">
        <v>12.43</v>
      </c>
      <c r="L175">
        <v>19.399999999999999</v>
      </c>
      <c r="M175">
        <v>19.32</v>
      </c>
      <c r="N175">
        <v>0</v>
      </c>
      <c r="O175">
        <v>1.74</v>
      </c>
      <c r="P175" s="2" t="s">
        <v>42</v>
      </c>
      <c r="Q175">
        <v>0</v>
      </c>
      <c r="R175">
        <v>49.7</v>
      </c>
      <c r="S175">
        <v>40.46</v>
      </c>
      <c r="T175">
        <v>9.24</v>
      </c>
      <c r="U175">
        <f t="shared" si="2"/>
        <v>0</v>
      </c>
    </row>
    <row r="176" spans="1:21" x14ac:dyDescent="0.25">
      <c r="A176" s="2" t="s">
        <v>387</v>
      </c>
      <c r="B176" s="2" t="s">
        <v>388</v>
      </c>
      <c r="C176" s="1">
        <v>45872</v>
      </c>
      <c r="D176" s="2" t="s">
        <v>45</v>
      </c>
      <c r="E176" s="2" t="s">
        <v>46</v>
      </c>
      <c r="F176" s="2" t="s">
        <v>51</v>
      </c>
      <c r="G176">
        <v>1</v>
      </c>
      <c r="H176" s="2" t="s">
        <v>52</v>
      </c>
      <c r="I176">
        <v>63.63</v>
      </c>
      <c r="J176">
        <v>10</v>
      </c>
      <c r="K176">
        <v>6.36</v>
      </c>
      <c r="L176">
        <v>8.3800000000000008</v>
      </c>
      <c r="M176">
        <v>31.76</v>
      </c>
      <c r="N176">
        <v>0</v>
      </c>
      <c r="O176">
        <v>1.96</v>
      </c>
      <c r="P176" s="2" t="s">
        <v>68</v>
      </c>
      <c r="Q176">
        <v>57.27</v>
      </c>
      <c r="R176">
        <v>0</v>
      </c>
      <c r="S176">
        <v>42.1</v>
      </c>
      <c r="T176">
        <v>-42.1</v>
      </c>
      <c r="U176">
        <f t="shared" si="2"/>
        <v>0</v>
      </c>
    </row>
    <row r="177" spans="1:21" x14ac:dyDescent="0.25">
      <c r="A177" s="2" t="s">
        <v>389</v>
      </c>
      <c r="B177" s="2" t="s">
        <v>390</v>
      </c>
      <c r="C177" s="1">
        <v>45744</v>
      </c>
      <c r="D177" s="2" t="s">
        <v>38</v>
      </c>
      <c r="E177" s="2" t="s">
        <v>71</v>
      </c>
      <c r="F177" s="2" t="s">
        <v>94</v>
      </c>
      <c r="G177">
        <v>2</v>
      </c>
      <c r="H177" s="2" t="s">
        <v>41</v>
      </c>
      <c r="I177">
        <v>96.55</v>
      </c>
      <c r="J177">
        <v>5</v>
      </c>
      <c r="K177">
        <v>4.83</v>
      </c>
      <c r="L177">
        <v>25.16</v>
      </c>
      <c r="M177">
        <v>45.43</v>
      </c>
      <c r="N177">
        <v>0</v>
      </c>
      <c r="O177">
        <v>2.96</v>
      </c>
      <c r="P177" s="2" t="s">
        <v>68</v>
      </c>
      <c r="Q177">
        <v>91.72</v>
      </c>
      <c r="R177">
        <v>0</v>
      </c>
      <c r="S177">
        <v>73.55</v>
      </c>
      <c r="T177">
        <v>-73.55</v>
      </c>
      <c r="U177">
        <f t="shared" si="2"/>
        <v>0</v>
      </c>
    </row>
    <row r="178" spans="1:21" x14ac:dyDescent="0.25">
      <c r="A178" s="2" t="s">
        <v>391</v>
      </c>
      <c r="B178" s="2" t="s">
        <v>392</v>
      </c>
      <c r="C178" s="1">
        <v>45444</v>
      </c>
      <c r="D178" s="2" t="s">
        <v>45</v>
      </c>
      <c r="E178" s="2" t="s">
        <v>71</v>
      </c>
      <c r="F178" s="2" t="s">
        <v>85</v>
      </c>
      <c r="G178">
        <v>3</v>
      </c>
      <c r="H178" s="2" t="s">
        <v>64</v>
      </c>
      <c r="I178">
        <v>176.01</v>
      </c>
      <c r="J178">
        <v>10</v>
      </c>
      <c r="K178">
        <v>17.600000000000001</v>
      </c>
      <c r="L178">
        <v>38.5</v>
      </c>
      <c r="M178">
        <v>63.58</v>
      </c>
      <c r="N178">
        <v>0</v>
      </c>
      <c r="O178">
        <v>4.8899999999999997</v>
      </c>
      <c r="P178" s="2" t="s">
        <v>42</v>
      </c>
      <c r="Q178">
        <v>0</v>
      </c>
      <c r="R178">
        <v>158.41</v>
      </c>
      <c r="S178">
        <v>106.97</v>
      </c>
      <c r="T178">
        <v>51.44</v>
      </c>
      <c r="U178">
        <f t="shared" si="2"/>
        <v>1</v>
      </c>
    </row>
    <row r="179" spans="1:21" x14ac:dyDescent="0.25">
      <c r="A179" s="2" t="s">
        <v>393</v>
      </c>
      <c r="B179" s="2" t="s">
        <v>394</v>
      </c>
      <c r="C179" s="1">
        <v>45663</v>
      </c>
      <c r="D179" s="2" t="s">
        <v>59</v>
      </c>
      <c r="E179" s="2" t="s">
        <v>46</v>
      </c>
      <c r="F179" s="2" t="s">
        <v>40</v>
      </c>
      <c r="G179">
        <v>1</v>
      </c>
      <c r="H179" s="2" t="s">
        <v>41</v>
      </c>
      <c r="I179">
        <v>192.38</v>
      </c>
      <c r="J179">
        <v>20</v>
      </c>
      <c r="K179">
        <v>38.479999999999997</v>
      </c>
      <c r="L179">
        <v>10.06</v>
      </c>
      <c r="M179">
        <v>72.59</v>
      </c>
      <c r="N179">
        <v>23.09</v>
      </c>
      <c r="O179">
        <v>4.76</v>
      </c>
      <c r="P179" s="2" t="s">
        <v>68</v>
      </c>
      <c r="Q179">
        <v>153.9</v>
      </c>
      <c r="R179">
        <v>0</v>
      </c>
      <c r="S179">
        <v>110.5</v>
      </c>
      <c r="T179">
        <v>-110.5</v>
      </c>
      <c r="U179">
        <f t="shared" si="2"/>
        <v>1</v>
      </c>
    </row>
    <row r="180" spans="1:21" x14ac:dyDescent="0.25">
      <c r="A180" s="2" t="s">
        <v>395</v>
      </c>
      <c r="B180" s="2" t="s">
        <v>108</v>
      </c>
      <c r="C180" s="1">
        <v>45682</v>
      </c>
      <c r="D180" s="2" t="s">
        <v>45</v>
      </c>
      <c r="E180" s="2" t="s">
        <v>46</v>
      </c>
      <c r="F180" s="2" t="s">
        <v>85</v>
      </c>
      <c r="G180">
        <v>1</v>
      </c>
      <c r="H180" s="2" t="s">
        <v>56</v>
      </c>
      <c r="I180">
        <v>47.4</v>
      </c>
      <c r="J180">
        <v>10</v>
      </c>
      <c r="K180">
        <v>4.74</v>
      </c>
      <c r="L180">
        <v>11.98</v>
      </c>
      <c r="M180">
        <v>32.39</v>
      </c>
      <c r="N180">
        <v>0</v>
      </c>
      <c r="O180">
        <v>1.54</v>
      </c>
      <c r="P180" s="2" t="s">
        <v>42</v>
      </c>
      <c r="Q180">
        <v>0</v>
      </c>
      <c r="R180">
        <v>42.66</v>
      </c>
      <c r="S180">
        <v>45.91</v>
      </c>
      <c r="T180">
        <v>-3.25</v>
      </c>
      <c r="U180">
        <f t="shared" si="2"/>
        <v>0</v>
      </c>
    </row>
    <row r="181" spans="1:21" x14ac:dyDescent="0.25">
      <c r="A181" s="2" t="s">
        <v>396</v>
      </c>
      <c r="B181" s="2" t="s">
        <v>397</v>
      </c>
      <c r="C181" s="1">
        <v>45890</v>
      </c>
      <c r="D181" s="2" t="s">
        <v>38</v>
      </c>
      <c r="E181" s="2" t="s">
        <v>46</v>
      </c>
      <c r="F181" s="2" t="s">
        <v>51</v>
      </c>
      <c r="G181">
        <v>2</v>
      </c>
      <c r="H181" s="2" t="s">
        <v>52</v>
      </c>
      <c r="I181">
        <v>247.82</v>
      </c>
      <c r="J181">
        <v>10</v>
      </c>
      <c r="K181">
        <v>24.78</v>
      </c>
      <c r="L181">
        <v>43.34</v>
      </c>
      <c r="M181">
        <v>112.68</v>
      </c>
      <c r="N181">
        <v>0</v>
      </c>
      <c r="O181">
        <v>6.77</v>
      </c>
      <c r="P181" s="2" t="s">
        <v>42</v>
      </c>
      <c r="Q181">
        <v>0</v>
      </c>
      <c r="R181">
        <v>223.04</v>
      </c>
      <c r="S181">
        <v>162.79</v>
      </c>
      <c r="T181">
        <v>60.25</v>
      </c>
      <c r="U181">
        <f t="shared" si="2"/>
        <v>1</v>
      </c>
    </row>
    <row r="182" spans="1:21" x14ac:dyDescent="0.25">
      <c r="A182" s="2" t="s">
        <v>398</v>
      </c>
      <c r="B182" s="2" t="s">
        <v>136</v>
      </c>
      <c r="C182" s="1">
        <v>46002</v>
      </c>
      <c r="D182" s="2" t="s">
        <v>38</v>
      </c>
      <c r="E182" s="2" t="s">
        <v>67</v>
      </c>
      <c r="F182" s="2" t="s">
        <v>85</v>
      </c>
      <c r="G182">
        <v>1</v>
      </c>
      <c r="H182" s="2" t="s">
        <v>48</v>
      </c>
      <c r="I182">
        <v>39.11</v>
      </c>
      <c r="J182">
        <v>0</v>
      </c>
      <c r="K182">
        <v>0</v>
      </c>
      <c r="L182">
        <v>9.82</v>
      </c>
      <c r="M182">
        <v>15.9</v>
      </c>
      <c r="N182">
        <v>0</v>
      </c>
      <c r="O182">
        <v>1.43</v>
      </c>
      <c r="P182" s="2" t="s">
        <v>42</v>
      </c>
      <c r="Q182">
        <v>0</v>
      </c>
      <c r="R182">
        <v>39.11</v>
      </c>
      <c r="S182">
        <v>27.15</v>
      </c>
      <c r="T182">
        <v>11.96</v>
      </c>
      <c r="U182">
        <f t="shared" si="2"/>
        <v>0</v>
      </c>
    </row>
    <row r="183" spans="1:21" x14ac:dyDescent="0.25">
      <c r="A183" s="2" t="s">
        <v>399</v>
      </c>
      <c r="B183" s="2" t="s">
        <v>400</v>
      </c>
      <c r="C183" s="1">
        <v>45588</v>
      </c>
      <c r="D183" s="2" t="s">
        <v>45</v>
      </c>
      <c r="E183" s="2" t="s">
        <v>67</v>
      </c>
      <c r="F183" s="2" t="s">
        <v>47</v>
      </c>
      <c r="G183">
        <v>4</v>
      </c>
      <c r="H183" s="2" t="s">
        <v>74</v>
      </c>
      <c r="I183">
        <v>426.79</v>
      </c>
      <c r="J183">
        <v>0</v>
      </c>
      <c r="K183">
        <v>0</v>
      </c>
      <c r="L183">
        <v>40.68</v>
      </c>
      <c r="M183">
        <v>147.13999999999999</v>
      </c>
      <c r="N183">
        <v>0</v>
      </c>
      <c r="O183">
        <v>12.68</v>
      </c>
      <c r="P183" s="2" t="s">
        <v>42</v>
      </c>
      <c r="Q183">
        <v>0</v>
      </c>
      <c r="R183">
        <v>426.79</v>
      </c>
      <c r="S183">
        <v>200.5</v>
      </c>
      <c r="T183">
        <v>226.29</v>
      </c>
      <c r="U183">
        <f t="shared" si="2"/>
        <v>0</v>
      </c>
    </row>
    <row r="184" spans="1:21" x14ac:dyDescent="0.25">
      <c r="A184" s="2" t="s">
        <v>401</v>
      </c>
      <c r="B184" s="2" t="s">
        <v>402</v>
      </c>
      <c r="C184" s="1">
        <v>45879</v>
      </c>
      <c r="D184" s="2" t="s">
        <v>45</v>
      </c>
      <c r="E184" s="2" t="s">
        <v>55</v>
      </c>
      <c r="F184" s="2" t="s">
        <v>51</v>
      </c>
      <c r="G184">
        <v>2</v>
      </c>
      <c r="H184" s="2" t="s">
        <v>56</v>
      </c>
      <c r="I184">
        <v>20.65</v>
      </c>
      <c r="J184">
        <v>10</v>
      </c>
      <c r="K184">
        <v>2.06</v>
      </c>
      <c r="L184">
        <v>22.04</v>
      </c>
      <c r="M184">
        <v>8.5</v>
      </c>
      <c r="N184">
        <v>0</v>
      </c>
      <c r="O184">
        <v>0.84</v>
      </c>
      <c r="P184" s="2" t="s">
        <v>68</v>
      </c>
      <c r="Q184">
        <v>18.59</v>
      </c>
      <c r="R184">
        <v>0</v>
      </c>
      <c r="S184">
        <v>31.38</v>
      </c>
      <c r="T184">
        <v>-31.38</v>
      </c>
      <c r="U184">
        <f t="shared" si="2"/>
        <v>0</v>
      </c>
    </row>
    <row r="185" spans="1:21" x14ac:dyDescent="0.25">
      <c r="A185" s="2" t="s">
        <v>403</v>
      </c>
      <c r="B185" s="2" t="s">
        <v>404</v>
      </c>
      <c r="C185" s="1">
        <v>45697</v>
      </c>
      <c r="D185" s="2" t="s">
        <v>45</v>
      </c>
      <c r="E185" s="2" t="s">
        <v>71</v>
      </c>
      <c r="F185" s="2" t="s">
        <v>85</v>
      </c>
      <c r="G185">
        <v>1</v>
      </c>
      <c r="H185" s="2" t="s">
        <v>52</v>
      </c>
      <c r="I185">
        <v>40.89</v>
      </c>
      <c r="J185">
        <v>10</v>
      </c>
      <c r="K185">
        <v>4.09</v>
      </c>
      <c r="L185">
        <v>7.18</v>
      </c>
      <c r="M185">
        <v>11.78</v>
      </c>
      <c r="N185">
        <v>0</v>
      </c>
      <c r="O185">
        <v>1.37</v>
      </c>
      <c r="P185" s="2" t="s">
        <v>42</v>
      </c>
      <c r="Q185">
        <v>0</v>
      </c>
      <c r="R185">
        <v>36.799999999999997</v>
      </c>
      <c r="S185">
        <v>20.329999999999998</v>
      </c>
      <c r="T185">
        <v>16.47</v>
      </c>
      <c r="U185">
        <f t="shared" si="2"/>
        <v>0</v>
      </c>
    </row>
    <row r="186" spans="1:21" x14ac:dyDescent="0.25">
      <c r="A186" s="2" t="s">
        <v>405</v>
      </c>
      <c r="B186" s="2" t="s">
        <v>406</v>
      </c>
      <c r="C186" s="1">
        <v>45756</v>
      </c>
      <c r="D186" s="2" t="s">
        <v>80</v>
      </c>
      <c r="E186" s="2" t="s">
        <v>55</v>
      </c>
      <c r="F186" s="2" t="s">
        <v>85</v>
      </c>
      <c r="G186">
        <v>3</v>
      </c>
      <c r="H186" s="2" t="s">
        <v>48</v>
      </c>
      <c r="I186">
        <v>206.44</v>
      </c>
      <c r="J186">
        <v>0</v>
      </c>
      <c r="K186">
        <v>0</v>
      </c>
      <c r="L186">
        <v>34.5</v>
      </c>
      <c r="M186">
        <v>68.8</v>
      </c>
      <c r="N186">
        <v>16.52</v>
      </c>
      <c r="O186">
        <v>6.29</v>
      </c>
      <c r="P186" s="2" t="s">
        <v>42</v>
      </c>
      <c r="Q186">
        <v>0</v>
      </c>
      <c r="R186">
        <v>206.44</v>
      </c>
      <c r="S186">
        <v>126.11</v>
      </c>
      <c r="T186">
        <v>80.33</v>
      </c>
      <c r="U186">
        <f t="shared" si="2"/>
        <v>1</v>
      </c>
    </row>
    <row r="187" spans="1:21" x14ac:dyDescent="0.25">
      <c r="A187" s="2" t="s">
        <v>407</v>
      </c>
      <c r="B187" s="2" t="s">
        <v>408</v>
      </c>
      <c r="C187" s="1">
        <v>45838</v>
      </c>
      <c r="D187" s="2" t="s">
        <v>38</v>
      </c>
      <c r="E187" s="2" t="s">
        <v>71</v>
      </c>
      <c r="F187" s="2" t="s">
        <v>51</v>
      </c>
      <c r="G187">
        <v>1</v>
      </c>
      <c r="H187" s="2" t="s">
        <v>77</v>
      </c>
      <c r="I187">
        <v>61.22</v>
      </c>
      <c r="J187">
        <v>10</v>
      </c>
      <c r="K187">
        <v>6.12</v>
      </c>
      <c r="L187">
        <v>19.8</v>
      </c>
      <c r="M187">
        <v>18.36</v>
      </c>
      <c r="N187">
        <v>0</v>
      </c>
      <c r="O187">
        <v>1.9</v>
      </c>
      <c r="P187" s="2" t="s">
        <v>42</v>
      </c>
      <c r="Q187">
        <v>0</v>
      </c>
      <c r="R187">
        <v>55.1</v>
      </c>
      <c r="S187">
        <v>40.06</v>
      </c>
      <c r="T187">
        <v>15.04</v>
      </c>
      <c r="U187">
        <f t="shared" si="2"/>
        <v>0</v>
      </c>
    </row>
    <row r="188" spans="1:21" x14ac:dyDescent="0.25">
      <c r="A188" s="2" t="s">
        <v>409</v>
      </c>
      <c r="B188" s="2" t="s">
        <v>410</v>
      </c>
      <c r="C188" s="1">
        <v>45918</v>
      </c>
      <c r="D188" s="2" t="s">
        <v>59</v>
      </c>
      <c r="E188" s="2" t="s">
        <v>46</v>
      </c>
      <c r="F188" s="2" t="s">
        <v>47</v>
      </c>
      <c r="G188">
        <v>3</v>
      </c>
      <c r="H188" s="2" t="s">
        <v>56</v>
      </c>
      <c r="I188">
        <v>161.63</v>
      </c>
      <c r="J188">
        <v>15</v>
      </c>
      <c r="K188">
        <v>24.24</v>
      </c>
      <c r="L188">
        <v>42.48</v>
      </c>
      <c r="M188">
        <v>74.92</v>
      </c>
      <c r="N188">
        <v>20.61</v>
      </c>
      <c r="O188">
        <v>4.28</v>
      </c>
      <c r="P188" s="2" t="s">
        <v>68</v>
      </c>
      <c r="Q188">
        <v>137.38999999999999</v>
      </c>
      <c r="R188">
        <v>0</v>
      </c>
      <c r="S188">
        <v>142.29</v>
      </c>
      <c r="T188">
        <v>-142.29</v>
      </c>
      <c r="U188">
        <f t="shared" si="2"/>
        <v>0</v>
      </c>
    </row>
    <row r="189" spans="1:21" x14ac:dyDescent="0.25">
      <c r="A189" s="2" t="s">
        <v>411</v>
      </c>
      <c r="B189" s="2" t="s">
        <v>412</v>
      </c>
      <c r="C189" s="1">
        <v>45587</v>
      </c>
      <c r="D189" s="2" t="s">
        <v>45</v>
      </c>
      <c r="E189" s="2" t="s">
        <v>46</v>
      </c>
      <c r="F189" s="2" t="s">
        <v>40</v>
      </c>
      <c r="G189">
        <v>1</v>
      </c>
      <c r="H189" s="2" t="s">
        <v>74</v>
      </c>
      <c r="I189">
        <v>41.34</v>
      </c>
      <c r="J189">
        <v>10</v>
      </c>
      <c r="K189">
        <v>4.13</v>
      </c>
      <c r="L189">
        <v>11.18</v>
      </c>
      <c r="M189">
        <v>21.84</v>
      </c>
      <c r="N189">
        <v>0</v>
      </c>
      <c r="O189">
        <v>1.38</v>
      </c>
      <c r="P189" s="2" t="s">
        <v>42</v>
      </c>
      <c r="Q189">
        <v>0</v>
      </c>
      <c r="R189">
        <v>37.21</v>
      </c>
      <c r="S189">
        <v>34.4</v>
      </c>
      <c r="T189">
        <v>2.81</v>
      </c>
      <c r="U189">
        <f t="shared" si="2"/>
        <v>0</v>
      </c>
    </row>
    <row r="190" spans="1:21" x14ac:dyDescent="0.25">
      <c r="A190" s="2" t="s">
        <v>413</v>
      </c>
      <c r="B190" s="2" t="s">
        <v>414</v>
      </c>
      <c r="C190" s="1">
        <v>45879</v>
      </c>
      <c r="D190" s="2" t="s">
        <v>38</v>
      </c>
      <c r="E190" s="2" t="s">
        <v>46</v>
      </c>
      <c r="F190" s="2" t="s">
        <v>40</v>
      </c>
      <c r="G190">
        <v>2</v>
      </c>
      <c r="H190" s="2" t="s">
        <v>41</v>
      </c>
      <c r="I190">
        <v>227.32</v>
      </c>
      <c r="J190">
        <v>15</v>
      </c>
      <c r="K190">
        <v>34.1</v>
      </c>
      <c r="L190">
        <v>18.2</v>
      </c>
      <c r="M190">
        <v>92.03</v>
      </c>
      <c r="N190">
        <v>0</v>
      </c>
      <c r="O190">
        <v>5.9</v>
      </c>
      <c r="P190" s="2" t="s">
        <v>42</v>
      </c>
      <c r="Q190">
        <v>0</v>
      </c>
      <c r="R190">
        <v>193.22</v>
      </c>
      <c r="S190">
        <v>116.13</v>
      </c>
      <c r="T190">
        <v>77.09</v>
      </c>
      <c r="U190">
        <f t="shared" si="2"/>
        <v>1</v>
      </c>
    </row>
    <row r="191" spans="1:21" x14ac:dyDescent="0.25">
      <c r="A191" s="2" t="s">
        <v>415</v>
      </c>
      <c r="B191" s="2" t="s">
        <v>416</v>
      </c>
      <c r="C191" s="1">
        <v>45715</v>
      </c>
      <c r="D191" s="2" t="s">
        <v>38</v>
      </c>
      <c r="E191" s="2" t="s">
        <v>67</v>
      </c>
      <c r="F191" s="2" t="s">
        <v>94</v>
      </c>
      <c r="G191">
        <v>3</v>
      </c>
      <c r="H191" s="2" t="s">
        <v>77</v>
      </c>
      <c r="I191">
        <v>54.72</v>
      </c>
      <c r="J191">
        <v>0</v>
      </c>
      <c r="K191">
        <v>0</v>
      </c>
      <c r="L191">
        <v>20.420000000000002</v>
      </c>
      <c r="M191">
        <v>20.09</v>
      </c>
      <c r="N191">
        <v>0</v>
      </c>
      <c r="O191">
        <v>1.89</v>
      </c>
      <c r="P191" s="2" t="s">
        <v>42</v>
      </c>
      <c r="Q191">
        <v>0</v>
      </c>
      <c r="R191">
        <v>54.72</v>
      </c>
      <c r="S191">
        <v>42.4</v>
      </c>
      <c r="T191">
        <v>12.32</v>
      </c>
      <c r="U191">
        <f t="shared" si="2"/>
        <v>0</v>
      </c>
    </row>
    <row r="192" spans="1:21" x14ac:dyDescent="0.25">
      <c r="A192" s="2" t="s">
        <v>417</v>
      </c>
      <c r="B192" s="2" t="s">
        <v>418</v>
      </c>
      <c r="C192" s="1">
        <v>45433</v>
      </c>
      <c r="D192" s="2" t="s">
        <v>59</v>
      </c>
      <c r="E192" s="2" t="s">
        <v>46</v>
      </c>
      <c r="F192" s="2" t="s">
        <v>40</v>
      </c>
      <c r="G192">
        <v>3</v>
      </c>
      <c r="H192" s="2" t="s">
        <v>56</v>
      </c>
      <c r="I192">
        <v>284.23</v>
      </c>
      <c r="J192">
        <v>0</v>
      </c>
      <c r="K192">
        <v>0</v>
      </c>
      <c r="L192">
        <v>64.760000000000005</v>
      </c>
      <c r="M192">
        <v>124.51</v>
      </c>
      <c r="N192">
        <v>42.63</v>
      </c>
      <c r="O192">
        <v>8.5399999999999991</v>
      </c>
      <c r="P192" s="2" t="s">
        <v>42</v>
      </c>
      <c r="Q192">
        <v>0</v>
      </c>
      <c r="R192">
        <v>284.23</v>
      </c>
      <c r="S192">
        <v>240.44</v>
      </c>
      <c r="T192">
        <v>43.79</v>
      </c>
      <c r="U192">
        <f t="shared" si="2"/>
        <v>0</v>
      </c>
    </row>
    <row r="193" spans="1:21" x14ac:dyDescent="0.25">
      <c r="A193" s="2" t="s">
        <v>419</v>
      </c>
      <c r="B193" s="2" t="s">
        <v>420</v>
      </c>
      <c r="C193" s="1">
        <v>45911</v>
      </c>
      <c r="D193" s="2" t="s">
        <v>45</v>
      </c>
      <c r="E193" s="2" t="s">
        <v>71</v>
      </c>
      <c r="F193" s="2" t="s">
        <v>47</v>
      </c>
      <c r="G193">
        <v>3</v>
      </c>
      <c r="H193" s="2" t="s">
        <v>77</v>
      </c>
      <c r="I193">
        <v>187.36</v>
      </c>
      <c r="J193">
        <v>10</v>
      </c>
      <c r="K193">
        <v>18.739999999999998</v>
      </c>
      <c r="L193">
        <v>27.46</v>
      </c>
      <c r="M193">
        <v>58.43</v>
      </c>
      <c r="N193">
        <v>0</v>
      </c>
      <c r="O193">
        <v>5.19</v>
      </c>
      <c r="P193" s="2" t="s">
        <v>42</v>
      </c>
      <c r="Q193">
        <v>0</v>
      </c>
      <c r="R193">
        <v>168.62</v>
      </c>
      <c r="S193">
        <v>91.08</v>
      </c>
      <c r="T193">
        <v>77.540000000000006</v>
      </c>
      <c r="U193">
        <f t="shared" si="2"/>
        <v>0</v>
      </c>
    </row>
    <row r="194" spans="1:21" x14ac:dyDescent="0.25">
      <c r="A194" s="2" t="s">
        <v>421</v>
      </c>
      <c r="B194" s="2" t="s">
        <v>280</v>
      </c>
      <c r="C194" s="1">
        <v>45880</v>
      </c>
      <c r="D194" s="2" t="s">
        <v>59</v>
      </c>
      <c r="E194" s="2" t="s">
        <v>46</v>
      </c>
      <c r="F194" s="2" t="s">
        <v>51</v>
      </c>
      <c r="G194">
        <v>2</v>
      </c>
      <c r="H194" s="2" t="s">
        <v>64</v>
      </c>
      <c r="I194">
        <v>171.09</v>
      </c>
      <c r="J194">
        <v>0</v>
      </c>
      <c r="K194">
        <v>0</v>
      </c>
      <c r="L194">
        <v>21.08</v>
      </c>
      <c r="M194">
        <v>53.77</v>
      </c>
      <c r="N194">
        <v>25.66</v>
      </c>
      <c r="O194">
        <v>5.26</v>
      </c>
      <c r="P194" s="2" t="s">
        <v>42</v>
      </c>
      <c r="Q194">
        <v>0</v>
      </c>
      <c r="R194">
        <v>171.09</v>
      </c>
      <c r="S194">
        <v>105.77</v>
      </c>
      <c r="T194">
        <v>65.319999999999993</v>
      </c>
      <c r="U194">
        <f t="shared" si="2"/>
        <v>0</v>
      </c>
    </row>
    <row r="195" spans="1:21" x14ac:dyDescent="0.25">
      <c r="A195" s="2" t="s">
        <v>422</v>
      </c>
      <c r="B195" s="2" t="s">
        <v>423</v>
      </c>
      <c r="C195" s="1">
        <v>45490</v>
      </c>
      <c r="D195" s="2" t="s">
        <v>38</v>
      </c>
      <c r="E195" s="2" t="s">
        <v>46</v>
      </c>
      <c r="F195" s="2" t="s">
        <v>47</v>
      </c>
      <c r="G195">
        <v>1</v>
      </c>
      <c r="H195" s="2" t="s">
        <v>56</v>
      </c>
      <c r="I195">
        <v>62.94</v>
      </c>
      <c r="J195">
        <v>10</v>
      </c>
      <c r="K195">
        <v>6.29</v>
      </c>
      <c r="L195">
        <v>6.62</v>
      </c>
      <c r="M195">
        <v>26.48</v>
      </c>
      <c r="N195">
        <v>0</v>
      </c>
      <c r="O195">
        <v>1.94</v>
      </c>
      <c r="P195" s="2" t="s">
        <v>42</v>
      </c>
      <c r="Q195">
        <v>0</v>
      </c>
      <c r="R195">
        <v>56.65</v>
      </c>
      <c r="S195">
        <v>35.04</v>
      </c>
      <c r="T195">
        <v>21.61</v>
      </c>
      <c r="U195">
        <f t="shared" si="2"/>
        <v>0</v>
      </c>
    </row>
    <row r="196" spans="1:21" x14ac:dyDescent="0.25">
      <c r="A196" s="2" t="s">
        <v>424</v>
      </c>
      <c r="B196" s="2" t="s">
        <v>425</v>
      </c>
      <c r="C196" s="1">
        <v>46003</v>
      </c>
      <c r="D196" s="2" t="s">
        <v>45</v>
      </c>
      <c r="E196" s="2" t="s">
        <v>71</v>
      </c>
      <c r="F196" s="2" t="s">
        <v>85</v>
      </c>
      <c r="G196">
        <v>1</v>
      </c>
      <c r="H196" s="2" t="s">
        <v>64</v>
      </c>
      <c r="I196">
        <v>50.16</v>
      </c>
      <c r="J196">
        <v>10</v>
      </c>
      <c r="K196">
        <v>5.0199999999999996</v>
      </c>
      <c r="L196">
        <v>15.1</v>
      </c>
      <c r="M196">
        <v>23.95</v>
      </c>
      <c r="N196">
        <v>0</v>
      </c>
      <c r="O196">
        <v>1.61</v>
      </c>
      <c r="P196" s="2" t="s">
        <v>42</v>
      </c>
      <c r="Q196">
        <v>0</v>
      </c>
      <c r="R196">
        <v>45.14</v>
      </c>
      <c r="S196">
        <v>40.659999999999997</v>
      </c>
      <c r="T196">
        <v>4.4800000000000004</v>
      </c>
      <c r="U196">
        <f t="shared" si="2"/>
        <v>0</v>
      </c>
    </row>
    <row r="197" spans="1:21" x14ac:dyDescent="0.25">
      <c r="A197" s="2" t="s">
        <v>426</v>
      </c>
      <c r="B197" s="2" t="s">
        <v>427</v>
      </c>
      <c r="C197" s="1">
        <v>45852</v>
      </c>
      <c r="D197" s="2" t="s">
        <v>45</v>
      </c>
      <c r="E197" s="2" t="s">
        <v>67</v>
      </c>
      <c r="F197" s="2" t="s">
        <v>47</v>
      </c>
      <c r="G197">
        <v>2</v>
      </c>
      <c r="H197" s="2" t="s">
        <v>74</v>
      </c>
      <c r="I197">
        <v>190.43</v>
      </c>
      <c r="J197">
        <v>10</v>
      </c>
      <c r="K197">
        <v>19.04</v>
      </c>
      <c r="L197">
        <v>27.72</v>
      </c>
      <c r="M197">
        <v>69.2</v>
      </c>
      <c r="N197">
        <v>0</v>
      </c>
      <c r="O197">
        <v>5.27</v>
      </c>
      <c r="P197" s="2" t="s">
        <v>42</v>
      </c>
      <c r="Q197">
        <v>0</v>
      </c>
      <c r="R197">
        <v>171.39</v>
      </c>
      <c r="S197">
        <v>102.19</v>
      </c>
      <c r="T197">
        <v>69.2</v>
      </c>
      <c r="U197">
        <f t="shared" ref="U197:U260" si="3">IF(P195="Yes", 1, 0)</f>
        <v>0</v>
      </c>
    </row>
    <row r="198" spans="1:21" x14ac:dyDescent="0.25">
      <c r="A198" s="2" t="s">
        <v>428</v>
      </c>
      <c r="B198" s="2" t="s">
        <v>429</v>
      </c>
      <c r="C198" s="1">
        <v>45800</v>
      </c>
      <c r="D198" s="2" t="s">
        <v>59</v>
      </c>
      <c r="E198" s="2" t="s">
        <v>46</v>
      </c>
      <c r="F198" s="2" t="s">
        <v>40</v>
      </c>
      <c r="G198">
        <v>3</v>
      </c>
      <c r="H198" s="2" t="s">
        <v>56</v>
      </c>
      <c r="I198">
        <v>191.13</v>
      </c>
      <c r="J198">
        <v>20</v>
      </c>
      <c r="K198">
        <v>38.229999999999997</v>
      </c>
      <c r="L198">
        <v>27.86</v>
      </c>
      <c r="M198">
        <v>80.55</v>
      </c>
      <c r="N198">
        <v>22.93</v>
      </c>
      <c r="O198">
        <v>4.7300000000000004</v>
      </c>
      <c r="P198" s="2" t="s">
        <v>42</v>
      </c>
      <c r="Q198">
        <v>0</v>
      </c>
      <c r="R198">
        <v>152.9</v>
      </c>
      <c r="S198">
        <v>136.07</v>
      </c>
      <c r="T198">
        <v>16.829999999999998</v>
      </c>
      <c r="U198">
        <f t="shared" si="3"/>
        <v>0</v>
      </c>
    </row>
    <row r="199" spans="1:21" x14ac:dyDescent="0.25">
      <c r="A199" s="2" t="s">
        <v>430</v>
      </c>
      <c r="B199" s="2" t="s">
        <v>431</v>
      </c>
      <c r="C199" s="1">
        <v>45554</v>
      </c>
      <c r="D199" s="2" t="s">
        <v>45</v>
      </c>
      <c r="E199" s="2" t="s">
        <v>46</v>
      </c>
      <c r="F199" s="2" t="s">
        <v>94</v>
      </c>
      <c r="G199">
        <v>1</v>
      </c>
      <c r="H199" s="2" t="s">
        <v>74</v>
      </c>
      <c r="I199">
        <v>127.92</v>
      </c>
      <c r="J199">
        <v>10</v>
      </c>
      <c r="K199">
        <v>12.79</v>
      </c>
      <c r="L199">
        <v>22.84</v>
      </c>
      <c r="M199">
        <v>74.56</v>
      </c>
      <c r="N199">
        <v>0</v>
      </c>
      <c r="O199">
        <v>3.64</v>
      </c>
      <c r="P199" s="2" t="s">
        <v>42</v>
      </c>
      <c r="Q199">
        <v>0</v>
      </c>
      <c r="R199">
        <v>115.13</v>
      </c>
      <c r="S199">
        <v>101.04</v>
      </c>
      <c r="T199">
        <v>14.09</v>
      </c>
      <c r="U199">
        <f t="shared" si="3"/>
        <v>0</v>
      </c>
    </row>
    <row r="200" spans="1:21" x14ac:dyDescent="0.25">
      <c r="A200" s="2" t="s">
        <v>432</v>
      </c>
      <c r="B200" s="2" t="s">
        <v>433</v>
      </c>
      <c r="C200" s="1">
        <v>45609</v>
      </c>
      <c r="D200" s="2" t="s">
        <v>45</v>
      </c>
      <c r="E200" s="2" t="s">
        <v>46</v>
      </c>
      <c r="F200" s="2" t="s">
        <v>51</v>
      </c>
      <c r="G200">
        <v>2</v>
      </c>
      <c r="H200" s="2" t="s">
        <v>56</v>
      </c>
      <c r="I200">
        <v>89.15</v>
      </c>
      <c r="J200">
        <v>0</v>
      </c>
      <c r="K200">
        <v>0</v>
      </c>
      <c r="L200">
        <v>25</v>
      </c>
      <c r="M200">
        <v>31.24</v>
      </c>
      <c r="N200">
        <v>0</v>
      </c>
      <c r="O200">
        <v>2.89</v>
      </c>
      <c r="P200" s="2" t="s">
        <v>42</v>
      </c>
      <c r="Q200">
        <v>0</v>
      </c>
      <c r="R200">
        <v>89.15</v>
      </c>
      <c r="S200">
        <v>59.13</v>
      </c>
      <c r="T200">
        <v>30.02</v>
      </c>
      <c r="U200">
        <f t="shared" si="3"/>
        <v>0</v>
      </c>
    </row>
    <row r="201" spans="1:21" x14ac:dyDescent="0.25">
      <c r="A201" s="2" t="s">
        <v>434</v>
      </c>
      <c r="B201" s="2" t="s">
        <v>435</v>
      </c>
      <c r="C201" s="1">
        <v>45830</v>
      </c>
      <c r="D201" s="2" t="s">
        <v>59</v>
      </c>
      <c r="E201" s="2" t="s">
        <v>46</v>
      </c>
      <c r="F201" s="2" t="s">
        <v>51</v>
      </c>
      <c r="G201">
        <v>1</v>
      </c>
      <c r="H201" s="2" t="s">
        <v>41</v>
      </c>
      <c r="I201">
        <v>24.31</v>
      </c>
      <c r="J201">
        <v>15</v>
      </c>
      <c r="K201">
        <v>3.65</v>
      </c>
      <c r="L201">
        <v>5.74</v>
      </c>
      <c r="M201">
        <v>7.13</v>
      </c>
      <c r="N201">
        <v>3.1</v>
      </c>
      <c r="O201">
        <v>0.9</v>
      </c>
      <c r="P201" s="2" t="s">
        <v>42</v>
      </c>
      <c r="Q201">
        <v>0</v>
      </c>
      <c r="R201">
        <v>20.66</v>
      </c>
      <c r="S201">
        <v>16.87</v>
      </c>
      <c r="T201">
        <v>3.79</v>
      </c>
      <c r="U201">
        <f t="shared" si="3"/>
        <v>0</v>
      </c>
    </row>
    <row r="202" spans="1:21" x14ac:dyDescent="0.25">
      <c r="A202" s="2" t="s">
        <v>436</v>
      </c>
      <c r="B202" s="2" t="s">
        <v>437</v>
      </c>
      <c r="C202" s="1">
        <v>45720</v>
      </c>
      <c r="D202" s="2" t="s">
        <v>38</v>
      </c>
      <c r="E202" s="2" t="s">
        <v>55</v>
      </c>
      <c r="F202" s="2" t="s">
        <v>85</v>
      </c>
      <c r="G202">
        <v>3</v>
      </c>
      <c r="H202" s="2" t="s">
        <v>52</v>
      </c>
      <c r="I202">
        <v>435.11</v>
      </c>
      <c r="J202">
        <v>10</v>
      </c>
      <c r="K202">
        <v>43.51</v>
      </c>
      <c r="L202">
        <v>63.72</v>
      </c>
      <c r="M202">
        <v>197.13</v>
      </c>
      <c r="N202">
        <v>0</v>
      </c>
      <c r="O202">
        <v>11.66</v>
      </c>
      <c r="P202" s="2" t="s">
        <v>42</v>
      </c>
      <c r="Q202">
        <v>0</v>
      </c>
      <c r="R202">
        <v>391.6</v>
      </c>
      <c r="S202">
        <v>272.51</v>
      </c>
      <c r="T202">
        <v>119.09</v>
      </c>
      <c r="U202">
        <f t="shared" si="3"/>
        <v>0</v>
      </c>
    </row>
    <row r="203" spans="1:21" x14ac:dyDescent="0.25">
      <c r="A203" s="2" t="s">
        <v>438</v>
      </c>
      <c r="B203" s="2" t="s">
        <v>439</v>
      </c>
      <c r="C203" s="1">
        <v>45590</v>
      </c>
      <c r="D203" s="2" t="s">
        <v>38</v>
      </c>
      <c r="E203" s="2" t="s">
        <v>55</v>
      </c>
      <c r="F203" s="2" t="s">
        <v>47</v>
      </c>
      <c r="G203">
        <v>1</v>
      </c>
      <c r="H203" s="2" t="s">
        <v>111</v>
      </c>
      <c r="I203">
        <v>29.4</v>
      </c>
      <c r="J203">
        <v>20</v>
      </c>
      <c r="K203">
        <v>5.88</v>
      </c>
      <c r="L203">
        <v>6.22</v>
      </c>
      <c r="M203">
        <v>11.41</v>
      </c>
      <c r="N203">
        <v>0</v>
      </c>
      <c r="O203">
        <v>0.98</v>
      </c>
      <c r="P203" s="2" t="s">
        <v>42</v>
      </c>
      <c r="Q203">
        <v>0</v>
      </c>
      <c r="R203">
        <v>23.52</v>
      </c>
      <c r="S203">
        <v>18.61</v>
      </c>
      <c r="T203">
        <v>4.91</v>
      </c>
      <c r="U203">
        <f t="shared" si="3"/>
        <v>0</v>
      </c>
    </row>
    <row r="204" spans="1:21" x14ac:dyDescent="0.25">
      <c r="A204" s="2" t="s">
        <v>440</v>
      </c>
      <c r="B204" s="2" t="s">
        <v>186</v>
      </c>
      <c r="C204" s="1">
        <v>45579</v>
      </c>
      <c r="D204" s="2" t="s">
        <v>38</v>
      </c>
      <c r="E204" s="2" t="s">
        <v>67</v>
      </c>
      <c r="F204" s="2" t="s">
        <v>51</v>
      </c>
      <c r="G204">
        <v>2</v>
      </c>
      <c r="H204" s="2" t="s">
        <v>52</v>
      </c>
      <c r="I204">
        <v>161.57</v>
      </c>
      <c r="J204">
        <v>0</v>
      </c>
      <c r="K204">
        <v>0</v>
      </c>
      <c r="L204">
        <v>9</v>
      </c>
      <c r="M204">
        <v>50.8</v>
      </c>
      <c r="N204">
        <v>0</v>
      </c>
      <c r="O204">
        <v>4.99</v>
      </c>
      <c r="P204" s="2" t="s">
        <v>42</v>
      </c>
      <c r="Q204">
        <v>0</v>
      </c>
      <c r="R204">
        <v>161.57</v>
      </c>
      <c r="S204">
        <v>64.790000000000006</v>
      </c>
      <c r="T204">
        <v>96.78</v>
      </c>
      <c r="U204">
        <f t="shared" si="3"/>
        <v>0</v>
      </c>
    </row>
    <row r="205" spans="1:21" x14ac:dyDescent="0.25">
      <c r="A205" s="2" t="s">
        <v>441</v>
      </c>
      <c r="B205" s="2" t="s">
        <v>108</v>
      </c>
      <c r="C205" s="1">
        <v>45776</v>
      </c>
      <c r="D205" s="2" t="s">
        <v>45</v>
      </c>
      <c r="E205" s="2" t="s">
        <v>46</v>
      </c>
      <c r="F205" s="2" t="s">
        <v>94</v>
      </c>
      <c r="G205">
        <v>1</v>
      </c>
      <c r="H205" s="2" t="s">
        <v>56</v>
      </c>
      <c r="I205">
        <v>38.520000000000003</v>
      </c>
      <c r="J205">
        <v>15</v>
      </c>
      <c r="K205">
        <v>5.78</v>
      </c>
      <c r="L205">
        <v>10.52</v>
      </c>
      <c r="M205">
        <v>14.66</v>
      </c>
      <c r="N205">
        <v>0</v>
      </c>
      <c r="O205">
        <v>1.25</v>
      </c>
      <c r="P205" s="2" t="s">
        <v>68</v>
      </c>
      <c r="Q205">
        <v>32.74</v>
      </c>
      <c r="R205">
        <v>0</v>
      </c>
      <c r="S205">
        <v>26.43</v>
      </c>
      <c r="T205">
        <v>-26.43</v>
      </c>
      <c r="U205">
        <f t="shared" si="3"/>
        <v>0</v>
      </c>
    </row>
    <row r="206" spans="1:21" x14ac:dyDescent="0.25">
      <c r="A206" s="2" t="s">
        <v>442</v>
      </c>
      <c r="B206" s="2" t="s">
        <v>443</v>
      </c>
      <c r="C206" s="1">
        <v>45899</v>
      </c>
      <c r="D206" s="2" t="s">
        <v>45</v>
      </c>
      <c r="E206" s="2" t="s">
        <v>46</v>
      </c>
      <c r="F206" s="2" t="s">
        <v>40</v>
      </c>
      <c r="G206">
        <v>1</v>
      </c>
      <c r="H206" s="2" t="s">
        <v>56</v>
      </c>
      <c r="I206">
        <v>109.47</v>
      </c>
      <c r="J206">
        <v>20</v>
      </c>
      <c r="K206">
        <v>21.89</v>
      </c>
      <c r="L206">
        <v>37.14</v>
      </c>
      <c r="M206">
        <v>45.6</v>
      </c>
      <c r="N206">
        <v>0</v>
      </c>
      <c r="O206">
        <v>2.84</v>
      </c>
      <c r="P206" s="2" t="s">
        <v>42</v>
      </c>
      <c r="Q206">
        <v>0</v>
      </c>
      <c r="R206">
        <v>87.58</v>
      </c>
      <c r="S206">
        <v>85.58</v>
      </c>
      <c r="T206">
        <v>2</v>
      </c>
      <c r="U206">
        <f t="shared" si="3"/>
        <v>0</v>
      </c>
    </row>
    <row r="207" spans="1:21" x14ac:dyDescent="0.25">
      <c r="A207" s="2" t="s">
        <v>444</v>
      </c>
      <c r="B207" s="2" t="s">
        <v>445</v>
      </c>
      <c r="C207" s="1">
        <v>45790</v>
      </c>
      <c r="D207" s="2" t="s">
        <v>45</v>
      </c>
      <c r="E207" s="2" t="s">
        <v>71</v>
      </c>
      <c r="F207" s="2" t="s">
        <v>51</v>
      </c>
      <c r="G207">
        <v>3</v>
      </c>
      <c r="H207" s="2" t="s">
        <v>48</v>
      </c>
      <c r="I207">
        <v>279.11</v>
      </c>
      <c r="J207">
        <v>0</v>
      </c>
      <c r="K207">
        <v>0</v>
      </c>
      <c r="L207">
        <v>33.119999999999997</v>
      </c>
      <c r="M207">
        <v>94.32</v>
      </c>
      <c r="N207">
        <v>0</v>
      </c>
      <c r="O207">
        <v>8.39</v>
      </c>
      <c r="P207" s="2" t="s">
        <v>42</v>
      </c>
      <c r="Q207">
        <v>0</v>
      </c>
      <c r="R207">
        <v>279.11</v>
      </c>
      <c r="S207">
        <v>135.83000000000001</v>
      </c>
      <c r="T207">
        <v>143.28</v>
      </c>
      <c r="U207">
        <f t="shared" si="3"/>
        <v>1</v>
      </c>
    </row>
    <row r="208" spans="1:21" x14ac:dyDescent="0.25">
      <c r="A208" s="2" t="s">
        <v>446</v>
      </c>
      <c r="B208" s="2" t="s">
        <v>447</v>
      </c>
      <c r="C208" s="1">
        <v>45907</v>
      </c>
      <c r="D208" s="2" t="s">
        <v>38</v>
      </c>
      <c r="E208" s="2" t="s">
        <v>71</v>
      </c>
      <c r="F208" s="2" t="s">
        <v>94</v>
      </c>
      <c r="G208">
        <v>3</v>
      </c>
      <c r="H208" s="2" t="s">
        <v>52</v>
      </c>
      <c r="I208">
        <v>295.77</v>
      </c>
      <c r="J208">
        <v>10</v>
      </c>
      <c r="K208">
        <v>29.58</v>
      </c>
      <c r="L208">
        <v>61.1</v>
      </c>
      <c r="M208">
        <v>122.06</v>
      </c>
      <c r="N208">
        <v>0</v>
      </c>
      <c r="O208">
        <v>8.02</v>
      </c>
      <c r="P208" s="2" t="s">
        <v>42</v>
      </c>
      <c r="Q208">
        <v>0</v>
      </c>
      <c r="R208">
        <v>266.19</v>
      </c>
      <c r="S208">
        <v>191.18</v>
      </c>
      <c r="T208">
        <v>75.010000000000005</v>
      </c>
      <c r="U208">
        <f t="shared" si="3"/>
        <v>0</v>
      </c>
    </row>
    <row r="209" spans="1:21" x14ac:dyDescent="0.25">
      <c r="A209" s="2" t="s">
        <v>448</v>
      </c>
      <c r="B209" s="2" t="s">
        <v>449</v>
      </c>
      <c r="C209" s="1">
        <v>45580</v>
      </c>
      <c r="D209" s="2" t="s">
        <v>38</v>
      </c>
      <c r="E209" s="2" t="s">
        <v>71</v>
      </c>
      <c r="F209" s="2" t="s">
        <v>94</v>
      </c>
      <c r="G209">
        <v>2</v>
      </c>
      <c r="H209" s="2" t="s">
        <v>74</v>
      </c>
      <c r="I209">
        <v>191.14</v>
      </c>
      <c r="J209">
        <v>20</v>
      </c>
      <c r="K209">
        <v>38.229999999999997</v>
      </c>
      <c r="L209">
        <v>19.68</v>
      </c>
      <c r="M209">
        <v>59.97</v>
      </c>
      <c r="N209">
        <v>0</v>
      </c>
      <c r="O209">
        <v>4.7300000000000004</v>
      </c>
      <c r="P209" s="2" t="s">
        <v>42</v>
      </c>
      <c r="Q209">
        <v>0</v>
      </c>
      <c r="R209">
        <v>152.91</v>
      </c>
      <c r="S209">
        <v>84.38</v>
      </c>
      <c r="T209">
        <v>68.53</v>
      </c>
      <c r="U209">
        <f t="shared" si="3"/>
        <v>0</v>
      </c>
    </row>
    <row r="210" spans="1:21" x14ac:dyDescent="0.25">
      <c r="A210" s="2" t="s">
        <v>450</v>
      </c>
      <c r="B210" s="2" t="s">
        <v>451</v>
      </c>
      <c r="C210" s="1">
        <v>45403</v>
      </c>
      <c r="D210" s="2" t="s">
        <v>45</v>
      </c>
      <c r="E210" s="2" t="s">
        <v>46</v>
      </c>
      <c r="F210" s="2" t="s">
        <v>40</v>
      </c>
      <c r="G210">
        <v>2</v>
      </c>
      <c r="H210" s="2" t="s">
        <v>64</v>
      </c>
      <c r="I210">
        <v>158.58000000000001</v>
      </c>
      <c r="J210">
        <v>15</v>
      </c>
      <c r="K210">
        <v>23.79</v>
      </c>
      <c r="L210">
        <v>26.66</v>
      </c>
      <c r="M210">
        <v>62.39</v>
      </c>
      <c r="N210">
        <v>0</v>
      </c>
      <c r="O210">
        <v>4.21</v>
      </c>
      <c r="P210" s="2" t="s">
        <v>42</v>
      </c>
      <c r="Q210">
        <v>0</v>
      </c>
      <c r="R210">
        <v>134.79</v>
      </c>
      <c r="S210">
        <v>93.26</v>
      </c>
      <c r="T210">
        <v>41.53</v>
      </c>
      <c r="U210">
        <f t="shared" si="3"/>
        <v>0</v>
      </c>
    </row>
    <row r="211" spans="1:21" x14ac:dyDescent="0.25">
      <c r="A211" s="2" t="s">
        <v>452</v>
      </c>
      <c r="B211" s="2" t="s">
        <v>453</v>
      </c>
      <c r="C211" s="1">
        <v>45970</v>
      </c>
      <c r="D211" s="2" t="s">
        <v>38</v>
      </c>
      <c r="E211" s="2" t="s">
        <v>46</v>
      </c>
      <c r="F211" s="2" t="s">
        <v>47</v>
      </c>
      <c r="G211">
        <v>1</v>
      </c>
      <c r="H211" s="2" t="s">
        <v>48</v>
      </c>
      <c r="I211">
        <v>61.44</v>
      </c>
      <c r="J211">
        <v>10</v>
      </c>
      <c r="K211">
        <v>6.14</v>
      </c>
      <c r="L211">
        <v>12.06</v>
      </c>
      <c r="M211">
        <v>19.8</v>
      </c>
      <c r="N211">
        <v>0</v>
      </c>
      <c r="O211">
        <v>1.9</v>
      </c>
      <c r="P211" s="2" t="s">
        <v>42</v>
      </c>
      <c r="Q211">
        <v>0</v>
      </c>
      <c r="R211">
        <v>55.3</v>
      </c>
      <c r="S211">
        <v>33.76</v>
      </c>
      <c r="T211">
        <v>21.54</v>
      </c>
      <c r="U211">
        <f t="shared" si="3"/>
        <v>0</v>
      </c>
    </row>
    <row r="212" spans="1:21" x14ac:dyDescent="0.25">
      <c r="A212" s="2" t="s">
        <v>454</v>
      </c>
      <c r="B212" s="2" t="s">
        <v>455</v>
      </c>
      <c r="C212" s="1">
        <v>45874</v>
      </c>
      <c r="D212" s="2" t="s">
        <v>38</v>
      </c>
      <c r="E212" s="2" t="s">
        <v>55</v>
      </c>
      <c r="F212" s="2" t="s">
        <v>47</v>
      </c>
      <c r="G212">
        <v>1</v>
      </c>
      <c r="H212" s="2" t="s">
        <v>56</v>
      </c>
      <c r="I212">
        <v>69.38</v>
      </c>
      <c r="J212">
        <v>0</v>
      </c>
      <c r="K212">
        <v>0</v>
      </c>
      <c r="L212">
        <v>14.3</v>
      </c>
      <c r="M212">
        <v>27.03</v>
      </c>
      <c r="N212">
        <v>0</v>
      </c>
      <c r="O212">
        <v>2.31</v>
      </c>
      <c r="P212" s="2" t="s">
        <v>42</v>
      </c>
      <c r="Q212">
        <v>0</v>
      </c>
      <c r="R212">
        <v>69.38</v>
      </c>
      <c r="S212">
        <v>43.64</v>
      </c>
      <c r="T212">
        <v>25.74</v>
      </c>
      <c r="U212">
        <f t="shared" si="3"/>
        <v>0</v>
      </c>
    </row>
    <row r="213" spans="1:21" x14ac:dyDescent="0.25">
      <c r="A213" s="2" t="s">
        <v>456</v>
      </c>
      <c r="B213" s="2" t="s">
        <v>457</v>
      </c>
      <c r="C213" s="1">
        <v>45749</v>
      </c>
      <c r="D213" s="2" t="s">
        <v>38</v>
      </c>
      <c r="E213" s="2" t="s">
        <v>46</v>
      </c>
      <c r="F213" s="2" t="s">
        <v>40</v>
      </c>
      <c r="G213">
        <v>3</v>
      </c>
      <c r="H213" s="2" t="s">
        <v>52</v>
      </c>
      <c r="I213">
        <v>204.86</v>
      </c>
      <c r="J213">
        <v>0</v>
      </c>
      <c r="K213">
        <v>0</v>
      </c>
      <c r="L213">
        <v>46.62</v>
      </c>
      <c r="M213">
        <v>76.010000000000005</v>
      </c>
      <c r="N213">
        <v>0</v>
      </c>
      <c r="O213">
        <v>6.24</v>
      </c>
      <c r="P213" s="2" t="s">
        <v>42</v>
      </c>
      <c r="Q213">
        <v>0</v>
      </c>
      <c r="R213">
        <v>204.86</v>
      </c>
      <c r="S213">
        <v>128.87</v>
      </c>
      <c r="T213">
        <v>75.989999999999995</v>
      </c>
      <c r="U213">
        <f t="shared" si="3"/>
        <v>0</v>
      </c>
    </row>
    <row r="214" spans="1:21" x14ac:dyDescent="0.25">
      <c r="A214" s="2" t="s">
        <v>458</v>
      </c>
      <c r="B214" s="2" t="s">
        <v>459</v>
      </c>
      <c r="C214" s="1">
        <v>45611</v>
      </c>
      <c r="D214" s="2" t="s">
        <v>45</v>
      </c>
      <c r="E214" s="2" t="s">
        <v>55</v>
      </c>
      <c r="F214" s="2" t="s">
        <v>51</v>
      </c>
      <c r="G214">
        <v>3</v>
      </c>
      <c r="H214" s="2" t="s">
        <v>56</v>
      </c>
      <c r="I214">
        <v>109</v>
      </c>
      <c r="J214">
        <v>25</v>
      </c>
      <c r="K214">
        <v>27.25</v>
      </c>
      <c r="L214">
        <v>43.44</v>
      </c>
      <c r="M214">
        <v>54.64</v>
      </c>
      <c r="N214">
        <v>0</v>
      </c>
      <c r="O214">
        <v>2.67</v>
      </c>
      <c r="P214" s="2" t="s">
        <v>42</v>
      </c>
      <c r="Q214">
        <v>0</v>
      </c>
      <c r="R214">
        <v>81.75</v>
      </c>
      <c r="S214">
        <v>100.75</v>
      </c>
      <c r="T214">
        <v>-19</v>
      </c>
      <c r="U214">
        <f t="shared" si="3"/>
        <v>0</v>
      </c>
    </row>
    <row r="215" spans="1:21" x14ac:dyDescent="0.25">
      <c r="A215" s="2" t="s">
        <v>460</v>
      </c>
      <c r="B215" s="2" t="s">
        <v>461</v>
      </c>
      <c r="C215" s="1">
        <v>46020</v>
      </c>
      <c r="D215" s="2" t="s">
        <v>59</v>
      </c>
      <c r="E215" s="2" t="s">
        <v>39</v>
      </c>
      <c r="F215" s="2" t="s">
        <v>51</v>
      </c>
      <c r="G215">
        <v>3</v>
      </c>
      <c r="H215" s="2" t="s">
        <v>64</v>
      </c>
      <c r="I215">
        <v>183.24</v>
      </c>
      <c r="J215">
        <v>25</v>
      </c>
      <c r="K215">
        <v>45.81</v>
      </c>
      <c r="L215">
        <v>47.44</v>
      </c>
      <c r="M215">
        <v>67.040000000000006</v>
      </c>
      <c r="N215">
        <v>20.61</v>
      </c>
      <c r="O215">
        <v>4.29</v>
      </c>
      <c r="P215" s="2" t="s">
        <v>42</v>
      </c>
      <c r="Q215">
        <v>0</v>
      </c>
      <c r="R215">
        <v>137.43</v>
      </c>
      <c r="S215">
        <v>139.38</v>
      </c>
      <c r="T215">
        <v>-1.95</v>
      </c>
      <c r="U215">
        <f t="shared" si="3"/>
        <v>0</v>
      </c>
    </row>
    <row r="216" spans="1:21" x14ac:dyDescent="0.25">
      <c r="A216" s="2" t="s">
        <v>462</v>
      </c>
      <c r="B216" s="2" t="s">
        <v>463</v>
      </c>
      <c r="C216" s="1">
        <v>45791</v>
      </c>
      <c r="D216" s="2" t="s">
        <v>45</v>
      </c>
      <c r="E216" s="2" t="s">
        <v>71</v>
      </c>
      <c r="F216" s="2" t="s">
        <v>47</v>
      </c>
      <c r="G216">
        <v>3</v>
      </c>
      <c r="H216" s="2" t="s">
        <v>111</v>
      </c>
      <c r="I216">
        <v>60.69</v>
      </c>
      <c r="J216">
        <v>10</v>
      </c>
      <c r="K216">
        <v>6.07</v>
      </c>
      <c r="L216">
        <v>23.54</v>
      </c>
      <c r="M216">
        <v>28.36</v>
      </c>
      <c r="N216">
        <v>0</v>
      </c>
      <c r="O216">
        <v>1.88</v>
      </c>
      <c r="P216" s="2" t="s">
        <v>42</v>
      </c>
      <c r="Q216">
        <v>0</v>
      </c>
      <c r="R216">
        <v>54.62</v>
      </c>
      <c r="S216">
        <v>53.78</v>
      </c>
      <c r="T216">
        <v>0.84</v>
      </c>
      <c r="U216">
        <f t="shared" si="3"/>
        <v>0</v>
      </c>
    </row>
    <row r="217" spans="1:21" x14ac:dyDescent="0.25">
      <c r="A217" s="2" t="s">
        <v>464</v>
      </c>
      <c r="B217" s="2" t="s">
        <v>465</v>
      </c>
      <c r="C217" s="1">
        <v>45428</v>
      </c>
      <c r="D217" s="2" t="s">
        <v>45</v>
      </c>
      <c r="E217" s="2" t="s">
        <v>46</v>
      </c>
      <c r="F217" s="2" t="s">
        <v>40</v>
      </c>
      <c r="G217">
        <v>1</v>
      </c>
      <c r="H217" s="2" t="s">
        <v>41</v>
      </c>
      <c r="I217">
        <v>577.14</v>
      </c>
      <c r="J217">
        <v>0</v>
      </c>
      <c r="K217">
        <v>0</v>
      </c>
      <c r="L217">
        <v>30.18</v>
      </c>
      <c r="M217">
        <v>217.77</v>
      </c>
      <c r="N217">
        <v>0</v>
      </c>
      <c r="O217">
        <v>17.04</v>
      </c>
      <c r="P217" s="2" t="s">
        <v>42</v>
      </c>
      <c r="Q217">
        <v>0</v>
      </c>
      <c r="R217">
        <v>577.14</v>
      </c>
      <c r="S217">
        <v>264.99</v>
      </c>
      <c r="T217">
        <v>312.14999999999998</v>
      </c>
      <c r="U217">
        <f t="shared" si="3"/>
        <v>0</v>
      </c>
    </row>
    <row r="218" spans="1:21" x14ac:dyDescent="0.25">
      <c r="A218" s="2" t="s">
        <v>466</v>
      </c>
      <c r="B218" s="2" t="s">
        <v>467</v>
      </c>
      <c r="C218" s="1">
        <v>45531</v>
      </c>
      <c r="D218" s="2" t="s">
        <v>59</v>
      </c>
      <c r="E218" s="2" t="s">
        <v>39</v>
      </c>
      <c r="F218" s="2" t="s">
        <v>51</v>
      </c>
      <c r="G218">
        <v>1</v>
      </c>
      <c r="H218" s="2" t="s">
        <v>52</v>
      </c>
      <c r="I218">
        <v>40.89</v>
      </c>
      <c r="J218">
        <v>0</v>
      </c>
      <c r="K218">
        <v>0</v>
      </c>
      <c r="L218">
        <v>7.18</v>
      </c>
      <c r="M218">
        <v>11.78</v>
      </c>
      <c r="N218">
        <v>6.13</v>
      </c>
      <c r="O218">
        <v>1.49</v>
      </c>
      <c r="P218" s="2" t="s">
        <v>42</v>
      </c>
      <c r="Q218">
        <v>0</v>
      </c>
      <c r="R218">
        <v>40.89</v>
      </c>
      <c r="S218">
        <v>26.58</v>
      </c>
      <c r="T218">
        <v>14.31</v>
      </c>
      <c r="U218">
        <f t="shared" si="3"/>
        <v>0</v>
      </c>
    </row>
    <row r="219" spans="1:21" x14ac:dyDescent="0.25">
      <c r="A219" s="2" t="s">
        <v>468</v>
      </c>
      <c r="B219" s="2" t="s">
        <v>469</v>
      </c>
      <c r="C219" s="1">
        <v>45686</v>
      </c>
      <c r="D219" s="2" t="s">
        <v>45</v>
      </c>
      <c r="E219" s="2" t="s">
        <v>55</v>
      </c>
      <c r="F219" s="2" t="s">
        <v>51</v>
      </c>
      <c r="G219">
        <v>1</v>
      </c>
      <c r="H219" s="2" t="s">
        <v>41</v>
      </c>
      <c r="I219">
        <v>222.97</v>
      </c>
      <c r="J219">
        <v>0</v>
      </c>
      <c r="K219">
        <v>0</v>
      </c>
      <c r="L219">
        <v>12.94</v>
      </c>
      <c r="M219">
        <v>67.05</v>
      </c>
      <c r="N219">
        <v>0</v>
      </c>
      <c r="O219">
        <v>6.77</v>
      </c>
      <c r="P219" s="2" t="s">
        <v>42</v>
      </c>
      <c r="Q219">
        <v>0</v>
      </c>
      <c r="R219">
        <v>222.97</v>
      </c>
      <c r="S219">
        <v>86.76</v>
      </c>
      <c r="T219">
        <v>136.21</v>
      </c>
      <c r="U219">
        <f t="shared" si="3"/>
        <v>0</v>
      </c>
    </row>
    <row r="220" spans="1:21" x14ac:dyDescent="0.25">
      <c r="A220" s="2" t="s">
        <v>470</v>
      </c>
      <c r="B220" s="2" t="s">
        <v>471</v>
      </c>
      <c r="C220" s="1">
        <v>45870</v>
      </c>
      <c r="D220" s="2" t="s">
        <v>45</v>
      </c>
      <c r="E220" s="2" t="s">
        <v>55</v>
      </c>
      <c r="F220" s="2" t="s">
        <v>51</v>
      </c>
      <c r="G220">
        <v>1</v>
      </c>
      <c r="H220" s="2" t="s">
        <v>48</v>
      </c>
      <c r="I220">
        <v>8.3000000000000007</v>
      </c>
      <c r="J220">
        <v>10</v>
      </c>
      <c r="K220">
        <v>0.83</v>
      </c>
      <c r="L220">
        <v>13.18</v>
      </c>
      <c r="M220">
        <v>3.65</v>
      </c>
      <c r="N220">
        <v>0</v>
      </c>
      <c r="O220">
        <v>0.52</v>
      </c>
      <c r="P220" s="2" t="s">
        <v>42</v>
      </c>
      <c r="Q220">
        <v>0</v>
      </c>
      <c r="R220">
        <v>7.47</v>
      </c>
      <c r="S220">
        <v>17.350000000000001</v>
      </c>
      <c r="T220">
        <v>-9.8800000000000008</v>
      </c>
      <c r="U220">
        <f t="shared" si="3"/>
        <v>0</v>
      </c>
    </row>
    <row r="221" spans="1:21" x14ac:dyDescent="0.25">
      <c r="A221" s="2" t="s">
        <v>472</v>
      </c>
      <c r="B221" s="2" t="s">
        <v>276</v>
      </c>
      <c r="C221" s="1">
        <v>45561</v>
      </c>
      <c r="D221" s="2" t="s">
        <v>45</v>
      </c>
      <c r="E221" s="2" t="s">
        <v>55</v>
      </c>
      <c r="F221" s="2" t="s">
        <v>85</v>
      </c>
      <c r="G221">
        <v>3</v>
      </c>
      <c r="H221" s="2" t="s">
        <v>77</v>
      </c>
      <c r="I221">
        <v>40.29</v>
      </c>
      <c r="J221">
        <v>0</v>
      </c>
      <c r="K221">
        <v>0</v>
      </c>
      <c r="L221">
        <v>28.88</v>
      </c>
      <c r="M221">
        <v>19.7</v>
      </c>
      <c r="N221">
        <v>0</v>
      </c>
      <c r="O221">
        <v>1.47</v>
      </c>
      <c r="P221" s="2" t="s">
        <v>42</v>
      </c>
      <c r="Q221">
        <v>0</v>
      </c>
      <c r="R221">
        <v>40.29</v>
      </c>
      <c r="S221">
        <v>50.05</v>
      </c>
      <c r="T221">
        <v>-9.76</v>
      </c>
      <c r="U221">
        <f t="shared" si="3"/>
        <v>0</v>
      </c>
    </row>
    <row r="222" spans="1:21" x14ac:dyDescent="0.25">
      <c r="A222" s="2" t="s">
        <v>473</v>
      </c>
      <c r="B222" s="2" t="s">
        <v>259</v>
      </c>
      <c r="C222" s="1">
        <v>45990</v>
      </c>
      <c r="D222" s="2" t="s">
        <v>59</v>
      </c>
      <c r="E222" s="2" t="s">
        <v>71</v>
      </c>
      <c r="F222" s="2" t="s">
        <v>47</v>
      </c>
      <c r="G222">
        <v>1</v>
      </c>
      <c r="H222" s="2" t="s">
        <v>77</v>
      </c>
      <c r="I222">
        <v>31.86</v>
      </c>
      <c r="J222">
        <v>0</v>
      </c>
      <c r="K222">
        <v>0</v>
      </c>
      <c r="L222">
        <v>27.54</v>
      </c>
      <c r="M222">
        <v>16.14</v>
      </c>
      <c r="N222">
        <v>4.78</v>
      </c>
      <c r="O222">
        <v>1.22</v>
      </c>
      <c r="P222" s="2" t="s">
        <v>42</v>
      </c>
      <c r="Q222">
        <v>0</v>
      </c>
      <c r="R222">
        <v>31.86</v>
      </c>
      <c r="S222">
        <v>49.68</v>
      </c>
      <c r="T222">
        <v>-17.82</v>
      </c>
      <c r="U222">
        <f t="shared" si="3"/>
        <v>0</v>
      </c>
    </row>
    <row r="223" spans="1:21" x14ac:dyDescent="0.25">
      <c r="A223" s="2" t="s">
        <v>474</v>
      </c>
      <c r="B223" s="2" t="s">
        <v>475</v>
      </c>
      <c r="C223" s="1">
        <v>45806</v>
      </c>
      <c r="D223" s="2" t="s">
        <v>45</v>
      </c>
      <c r="E223" s="2" t="s">
        <v>46</v>
      </c>
      <c r="F223" s="2" t="s">
        <v>47</v>
      </c>
      <c r="G223">
        <v>3</v>
      </c>
      <c r="H223" s="2" t="s">
        <v>64</v>
      </c>
      <c r="I223">
        <v>366.09</v>
      </c>
      <c r="J223">
        <v>10</v>
      </c>
      <c r="K223">
        <v>36.61</v>
      </c>
      <c r="L223">
        <v>71.64</v>
      </c>
      <c r="M223">
        <v>137.02000000000001</v>
      </c>
      <c r="N223">
        <v>0</v>
      </c>
      <c r="O223">
        <v>9.85</v>
      </c>
      <c r="P223" s="2" t="s">
        <v>42</v>
      </c>
      <c r="Q223">
        <v>0</v>
      </c>
      <c r="R223">
        <v>329.48</v>
      </c>
      <c r="S223">
        <v>218.51</v>
      </c>
      <c r="T223">
        <v>110.97</v>
      </c>
      <c r="U223">
        <f t="shared" si="3"/>
        <v>0</v>
      </c>
    </row>
    <row r="224" spans="1:21" x14ac:dyDescent="0.25">
      <c r="A224" s="2" t="s">
        <v>476</v>
      </c>
      <c r="B224" s="2" t="s">
        <v>477</v>
      </c>
      <c r="C224" s="1">
        <v>45515</v>
      </c>
      <c r="D224" s="2" t="s">
        <v>45</v>
      </c>
      <c r="E224" s="2" t="s">
        <v>67</v>
      </c>
      <c r="F224" s="2" t="s">
        <v>47</v>
      </c>
      <c r="G224">
        <v>1</v>
      </c>
      <c r="H224" s="2" t="s">
        <v>74</v>
      </c>
      <c r="I224">
        <v>105.38</v>
      </c>
      <c r="J224">
        <v>5</v>
      </c>
      <c r="K224">
        <v>5.27</v>
      </c>
      <c r="L224">
        <v>11.64</v>
      </c>
      <c r="M224">
        <v>46.28</v>
      </c>
      <c r="N224">
        <v>0</v>
      </c>
      <c r="O224">
        <v>3.2</v>
      </c>
      <c r="P224" s="2" t="s">
        <v>42</v>
      </c>
      <c r="Q224">
        <v>0</v>
      </c>
      <c r="R224">
        <v>100.11</v>
      </c>
      <c r="S224">
        <v>61.12</v>
      </c>
      <c r="T224">
        <v>38.99</v>
      </c>
      <c r="U224">
        <f t="shared" si="3"/>
        <v>0</v>
      </c>
    </row>
    <row r="225" spans="1:21" x14ac:dyDescent="0.25">
      <c r="A225" s="2" t="s">
        <v>478</v>
      </c>
      <c r="B225" s="2" t="s">
        <v>479</v>
      </c>
      <c r="C225" s="1">
        <v>45866</v>
      </c>
      <c r="D225" s="2" t="s">
        <v>45</v>
      </c>
      <c r="E225" s="2" t="s">
        <v>71</v>
      </c>
      <c r="F225" s="2" t="s">
        <v>51</v>
      </c>
      <c r="G225">
        <v>2</v>
      </c>
      <c r="H225" s="2" t="s">
        <v>52</v>
      </c>
      <c r="I225">
        <v>232.21</v>
      </c>
      <c r="J225">
        <v>5</v>
      </c>
      <c r="K225">
        <v>11.61</v>
      </c>
      <c r="L225">
        <v>21.38</v>
      </c>
      <c r="M225">
        <v>99.09</v>
      </c>
      <c r="N225">
        <v>0</v>
      </c>
      <c r="O225">
        <v>6.7</v>
      </c>
      <c r="P225" s="2" t="s">
        <v>42</v>
      </c>
      <c r="Q225">
        <v>0</v>
      </c>
      <c r="R225">
        <v>220.6</v>
      </c>
      <c r="S225">
        <v>127.17</v>
      </c>
      <c r="T225">
        <v>93.43</v>
      </c>
      <c r="U225">
        <f t="shared" si="3"/>
        <v>0</v>
      </c>
    </row>
    <row r="226" spans="1:21" x14ac:dyDescent="0.25">
      <c r="A226" s="2" t="s">
        <v>480</v>
      </c>
      <c r="B226" s="2" t="s">
        <v>481</v>
      </c>
      <c r="C226" s="1">
        <v>45709</v>
      </c>
      <c r="D226" s="2" t="s">
        <v>45</v>
      </c>
      <c r="E226" s="2" t="s">
        <v>71</v>
      </c>
      <c r="F226" s="2" t="s">
        <v>40</v>
      </c>
      <c r="G226">
        <v>1</v>
      </c>
      <c r="H226" s="2" t="s">
        <v>64</v>
      </c>
      <c r="I226">
        <v>62.7</v>
      </c>
      <c r="J226">
        <v>0</v>
      </c>
      <c r="K226">
        <v>0</v>
      </c>
      <c r="L226">
        <v>7.5</v>
      </c>
      <c r="M226">
        <v>20.79</v>
      </c>
      <c r="N226">
        <v>0</v>
      </c>
      <c r="O226">
        <v>2.12</v>
      </c>
      <c r="P226" s="2" t="s">
        <v>42</v>
      </c>
      <c r="Q226">
        <v>0</v>
      </c>
      <c r="R226">
        <v>62.7</v>
      </c>
      <c r="S226">
        <v>30.41</v>
      </c>
      <c r="T226">
        <v>32.29</v>
      </c>
      <c r="U226">
        <f t="shared" si="3"/>
        <v>0</v>
      </c>
    </row>
    <row r="227" spans="1:21" x14ac:dyDescent="0.25">
      <c r="A227" s="2" t="s">
        <v>482</v>
      </c>
      <c r="B227" s="2" t="s">
        <v>483</v>
      </c>
      <c r="C227" s="1">
        <v>45723</v>
      </c>
      <c r="D227" s="2" t="s">
        <v>59</v>
      </c>
      <c r="E227" s="2" t="s">
        <v>71</v>
      </c>
      <c r="F227" s="2" t="s">
        <v>51</v>
      </c>
      <c r="G227">
        <v>1</v>
      </c>
      <c r="H227" s="2" t="s">
        <v>41</v>
      </c>
      <c r="I227">
        <v>365.2</v>
      </c>
      <c r="J227">
        <v>0</v>
      </c>
      <c r="K227">
        <v>0</v>
      </c>
      <c r="L227">
        <v>17.559999999999999</v>
      </c>
      <c r="M227">
        <v>121.88</v>
      </c>
      <c r="N227">
        <v>54.78</v>
      </c>
      <c r="O227">
        <v>10.89</v>
      </c>
      <c r="P227" s="2" t="s">
        <v>42</v>
      </c>
      <c r="Q227">
        <v>0</v>
      </c>
      <c r="R227">
        <v>365.2</v>
      </c>
      <c r="S227">
        <v>205.11</v>
      </c>
      <c r="T227">
        <v>160.09</v>
      </c>
      <c r="U227">
        <f t="shared" si="3"/>
        <v>0</v>
      </c>
    </row>
    <row r="228" spans="1:21" x14ac:dyDescent="0.25">
      <c r="A228" s="2" t="s">
        <v>484</v>
      </c>
      <c r="B228" s="2" t="s">
        <v>485</v>
      </c>
      <c r="C228" s="1">
        <v>45679</v>
      </c>
      <c r="D228" s="2" t="s">
        <v>45</v>
      </c>
      <c r="E228" s="2" t="s">
        <v>46</v>
      </c>
      <c r="F228" s="2" t="s">
        <v>85</v>
      </c>
      <c r="G228">
        <v>2</v>
      </c>
      <c r="H228" s="2" t="s">
        <v>48</v>
      </c>
      <c r="I228">
        <v>135.38</v>
      </c>
      <c r="J228">
        <v>5</v>
      </c>
      <c r="K228">
        <v>6.77</v>
      </c>
      <c r="L228">
        <v>27.3</v>
      </c>
      <c r="M228">
        <v>56.24</v>
      </c>
      <c r="N228">
        <v>0</v>
      </c>
      <c r="O228">
        <v>4.03</v>
      </c>
      <c r="P228" s="2" t="s">
        <v>42</v>
      </c>
      <c r="Q228">
        <v>0</v>
      </c>
      <c r="R228">
        <v>128.61000000000001</v>
      </c>
      <c r="S228">
        <v>87.57</v>
      </c>
      <c r="T228">
        <v>41.04</v>
      </c>
      <c r="U228">
        <f t="shared" si="3"/>
        <v>0</v>
      </c>
    </row>
    <row r="229" spans="1:21" x14ac:dyDescent="0.25">
      <c r="A229" s="2" t="s">
        <v>486</v>
      </c>
      <c r="B229" s="2" t="s">
        <v>301</v>
      </c>
      <c r="C229" s="1">
        <v>45870</v>
      </c>
      <c r="D229" s="2" t="s">
        <v>45</v>
      </c>
      <c r="E229" s="2" t="s">
        <v>46</v>
      </c>
      <c r="F229" s="2" t="s">
        <v>85</v>
      </c>
      <c r="G229">
        <v>2</v>
      </c>
      <c r="H229" s="2" t="s">
        <v>56</v>
      </c>
      <c r="I229">
        <v>152.94999999999999</v>
      </c>
      <c r="J229">
        <v>20</v>
      </c>
      <c r="K229">
        <v>30.59</v>
      </c>
      <c r="L229">
        <v>49.04</v>
      </c>
      <c r="M229">
        <v>60.53</v>
      </c>
      <c r="N229">
        <v>0</v>
      </c>
      <c r="O229">
        <v>3.85</v>
      </c>
      <c r="P229" s="2" t="s">
        <v>42</v>
      </c>
      <c r="Q229">
        <v>0</v>
      </c>
      <c r="R229">
        <v>122.36</v>
      </c>
      <c r="S229">
        <v>113.42</v>
      </c>
      <c r="T229">
        <v>8.94</v>
      </c>
      <c r="U229">
        <f t="shared" si="3"/>
        <v>0</v>
      </c>
    </row>
    <row r="230" spans="1:21" x14ac:dyDescent="0.25">
      <c r="A230" s="2" t="s">
        <v>487</v>
      </c>
      <c r="B230" s="2" t="s">
        <v>488</v>
      </c>
      <c r="C230" s="1">
        <v>45553</v>
      </c>
      <c r="D230" s="2" t="s">
        <v>45</v>
      </c>
      <c r="E230" s="2" t="s">
        <v>71</v>
      </c>
      <c r="F230" s="2" t="s">
        <v>47</v>
      </c>
      <c r="G230">
        <v>1</v>
      </c>
      <c r="H230" s="2" t="s">
        <v>64</v>
      </c>
      <c r="I230">
        <v>40.98</v>
      </c>
      <c r="J230">
        <v>0</v>
      </c>
      <c r="K230">
        <v>0</v>
      </c>
      <c r="L230">
        <v>31.86</v>
      </c>
      <c r="M230">
        <v>14.07</v>
      </c>
      <c r="N230">
        <v>0</v>
      </c>
      <c r="O230">
        <v>1.49</v>
      </c>
      <c r="P230" s="2" t="s">
        <v>42</v>
      </c>
      <c r="Q230">
        <v>0</v>
      </c>
      <c r="R230">
        <v>40.98</v>
      </c>
      <c r="S230">
        <v>47.42</v>
      </c>
      <c r="T230">
        <v>-6.44</v>
      </c>
      <c r="U230">
        <f t="shared" si="3"/>
        <v>0</v>
      </c>
    </row>
    <row r="231" spans="1:21" x14ac:dyDescent="0.25">
      <c r="A231" s="2" t="s">
        <v>489</v>
      </c>
      <c r="B231" s="2" t="s">
        <v>490</v>
      </c>
      <c r="C231" s="1">
        <v>45775</v>
      </c>
      <c r="D231" s="2" t="s">
        <v>38</v>
      </c>
      <c r="E231" s="2" t="s">
        <v>71</v>
      </c>
      <c r="F231" s="2" t="s">
        <v>40</v>
      </c>
      <c r="G231">
        <v>5</v>
      </c>
      <c r="H231" s="2" t="s">
        <v>77</v>
      </c>
      <c r="I231">
        <v>188.78</v>
      </c>
      <c r="J231">
        <v>10</v>
      </c>
      <c r="K231">
        <v>18.88</v>
      </c>
      <c r="L231">
        <v>56.92</v>
      </c>
      <c r="M231">
        <v>78.510000000000005</v>
      </c>
      <c r="N231">
        <v>0</v>
      </c>
      <c r="O231">
        <v>5.23</v>
      </c>
      <c r="P231" s="2" t="s">
        <v>42</v>
      </c>
      <c r="Q231">
        <v>0</v>
      </c>
      <c r="R231">
        <v>169.9</v>
      </c>
      <c r="S231">
        <v>140.66</v>
      </c>
      <c r="T231">
        <v>29.24</v>
      </c>
      <c r="U231">
        <f t="shared" si="3"/>
        <v>0</v>
      </c>
    </row>
    <row r="232" spans="1:21" x14ac:dyDescent="0.25">
      <c r="A232" s="2" t="s">
        <v>491</v>
      </c>
      <c r="B232" s="2" t="s">
        <v>467</v>
      </c>
      <c r="C232" s="1">
        <v>45648</v>
      </c>
      <c r="D232" s="2" t="s">
        <v>80</v>
      </c>
      <c r="E232" s="2" t="s">
        <v>46</v>
      </c>
      <c r="F232" s="2" t="s">
        <v>40</v>
      </c>
      <c r="G232">
        <v>2</v>
      </c>
      <c r="H232" s="2" t="s">
        <v>48</v>
      </c>
      <c r="I232">
        <v>77.489999999999995</v>
      </c>
      <c r="J232">
        <v>25</v>
      </c>
      <c r="K232">
        <v>19.37</v>
      </c>
      <c r="L232">
        <v>25.72</v>
      </c>
      <c r="M232">
        <v>30.85</v>
      </c>
      <c r="N232">
        <v>4.6500000000000004</v>
      </c>
      <c r="O232">
        <v>1.99</v>
      </c>
      <c r="P232" s="2" t="s">
        <v>42</v>
      </c>
      <c r="Q232">
        <v>0</v>
      </c>
      <c r="R232">
        <v>58.12</v>
      </c>
      <c r="S232">
        <v>63.21</v>
      </c>
      <c r="T232">
        <v>-5.09</v>
      </c>
      <c r="U232">
        <f t="shared" si="3"/>
        <v>0</v>
      </c>
    </row>
    <row r="233" spans="1:21" x14ac:dyDescent="0.25">
      <c r="A233" s="2" t="s">
        <v>492</v>
      </c>
      <c r="B233" s="2" t="s">
        <v>493</v>
      </c>
      <c r="C233" s="1">
        <v>45720</v>
      </c>
      <c r="D233" s="2" t="s">
        <v>45</v>
      </c>
      <c r="E233" s="2" t="s">
        <v>71</v>
      </c>
      <c r="F233" s="2" t="s">
        <v>94</v>
      </c>
      <c r="G233">
        <v>1</v>
      </c>
      <c r="H233" s="2" t="s">
        <v>52</v>
      </c>
      <c r="I233">
        <v>10.050000000000001</v>
      </c>
      <c r="J233">
        <v>10</v>
      </c>
      <c r="K233">
        <v>1</v>
      </c>
      <c r="L233">
        <v>9.18</v>
      </c>
      <c r="M233">
        <v>6.91</v>
      </c>
      <c r="N233">
        <v>0</v>
      </c>
      <c r="O233">
        <v>0.56000000000000005</v>
      </c>
      <c r="P233" s="2" t="s">
        <v>42</v>
      </c>
      <c r="Q233">
        <v>0</v>
      </c>
      <c r="R233">
        <v>9.0500000000000007</v>
      </c>
      <c r="S233">
        <v>16.649999999999999</v>
      </c>
      <c r="T233">
        <v>-7.6</v>
      </c>
      <c r="U233">
        <f t="shared" si="3"/>
        <v>0</v>
      </c>
    </row>
    <row r="234" spans="1:21" x14ac:dyDescent="0.25">
      <c r="A234" s="2" t="s">
        <v>494</v>
      </c>
      <c r="B234" s="2" t="s">
        <v>213</v>
      </c>
      <c r="C234" s="1">
        <v>45860</v>
      </c>
      <c r="D234" s="2" t="s">
        <v>45</v>
      </c>
      <c r="E234" s="2" t="s">
        <v>46</v>
      </c>
      <c r="F234" s="2" t="s">
        <v>47</v>
      </c>
      <c r="G234">
        <v>1</v>
      </c>
      <c r="H234" s="2" t="s">
        <v>77</v>
      </c>
      <c r="I234">
        <v>18.27</v>
      </c>
      <c r="J234">
        <v>0</v>
      </c>
      <c r="K234">
        <v>0</v>
      </c>
      <c r="L234">
        <v>9.26</v>
      </c>
      <c r="M234">
        <v>11.45</v>
      </c>
      <c r="N234">
        <v>0</v>
      </c>
      <c r="O234">
        <v>0.83</v>
      </c>
      <c r="P234" s="2" t="s">
        <v>42</v>
      </c>
      <c r="Q234">
        <v>0</v>
      </c>
      <c r="R234">
        <v>18.27</v>
      </c>
      <c r="S234">
        <v>21.54</v>
      </c>
      <c r="T234">
        <v>-3.27</v>
      </c>
      <c r="U234">
        <f t="shared" si="3"/>
        <v>0</v>
      </c>
    </row>
    <row r="235" spans="1:21" x14ac:dyDescent="0.25">
      <c r="A235" s="2" t="s">
        <v>495</v>
      </c>
      <c r="B235" s="2" t="s">
        <v>496</v>
      </c>
      <c r="C235" s="1">
        <v>45827</v>
      </c>
      <c r="D235" s="2" t="s">
        <v>59</v>
      </c>
      <c r="E235" s="2" t="s">
        <v>39</v>
      </c>
      <c r="F235" s="2" t="s">
        <v>85</v>
      </c>
      <c r="G235">
        <v>3</v>
      </c>
      <c r="H235" s="2" t="s">
        <v>56</v>
      </c>
      <c r="I235">
        <v>305.85000000000002</v>
      </c>
      <c r="J235">
        <v>15</v>
      </c>
      <c r="K235">
        <v>45.88</v>
      </c>
      <c r="L235">
        <v>38.56</v>
      </c>
      <c r="M235">
        <v>98.55</v>
      </c>
      <c r="N235">
        <v>39</v>
      </c>
      <c r="O235">
        <v>7.84</v>
      </c>
      <c r="P235" s="2" t="s">
        <v>42</v>
      </c>
      <c r="Q235">
        <v>0</v>
      </c>
      <c r="R235">
        <v>259.97000000000003</v>
      </c>
      <c r="S235">
        <v>183.95</v>
      </c>
      <c r="T235">
        <v>76.02</v>
      </c>
      <c r="U235">
        <f t="shared" si="3"/>
        <v>0</v>
      </c>
    </row>
    <row r="236" spans="1:21" x14ac:dyDescent="0.25">
      <c r="A236" s="2" t="s">
        <v>497</v>
      </c>
      <c r="B236" s="2" t="s">
        <v>498</v>
      </c>
      <c r="C236" s="1">
        <v>45955</v>
      </c>
      <c r="D236" s="2" t="s">
        <v>45</v>
      </c>
      <c r="E236" s="2" t="s">
        <v>67</v>
      </c>
      <c r="F236" s="2" t="s">
        <v>85</v>
      </c>
      <c r="G236">
        <v>5</v>
      </c>
      <c r="H236" s="2" t="s">
        <v>41</v>
      </c>
      <c r="I236">
        <v>235.3</v>
      </c>
      <c r="J236">
        <v>25</v>
      </c>
      <c r="K236">
        <v>58.83</v>
      </c>
      <c r="L236">
        <v>58.7</v>
      </c>
      <c r="M236">
        <v>99.37</v>
      </c>
      <c r="N236">
        <v>0</v>
      </c>
      <c r="O236">
        <v>5.42</v>
      </c>
      <c r="P236" s="2" t="s">
        <v>42</v>
      </c>
      <c r="Q236">
        <v>0</v>
      </c>
      <c r="R236">
        <v>176.47</v>
      </c>
      <c r="S236">
        <v>163.49</v>
      </c>
      <c r="T236">
        <v>12.98</v>
      </c>
      <c r="U236">
        <f t="shared" si="3"/>
        <v>0</v>
      </c>
    </row>
    <row r="237" spans="1:21" x14ac:dyDescent="0.25">
      <c r="A237" s="2" t="s">
        <v>499</v>
      </c>
      <c r="B237" s="2" t="s">
        <v>500</v>
      </c>
      <c r="C237" s="1">
        <v>45722</v>
      </c>
      <c r="D237" s="2" t="s">
        <v>45</v>
      </c>
      <c r="E237" s="2" t="s">
        <v>71</v>
      </c>
      <c r="F237" s="2" t="s">
        <v>51</v>
      </c>
      <c r="G237">
        <v>1</v>
      </c>
      <c r="H237" s="2" t="s">
        <v>56</v>
      </c>
      <c r="I237">
        <v>62.94</v>
      </c>
      <c r="J237">
        <v>15</v>
      </c>
      <c r="K237">
        <v>9.44</v>
      </c>
      <c r="L237">
        <v>6.62</v>
      </c>
      <c r="M237">
        <v>26.48</v>
      </c>
      <c r="N237">
        <v>0</v>
      </c>
      <c r="O237">
        <v>1.85</v>
      </c>
      <c r="P237" s="2" t="s">
        <v>42</v>
      </c>
      <c r="Q237">
        <v>0</v>
      </c>
      <c r="R237">
        <v>53.5</v>
      </c>
      <c r="S237">
        <v>34.950000000000003</v>
      </c>
      <c r="T237">
        <v>18.55</v>
      </c>
      <c r="U237">
        <f t="shared" si="3"/>
        <v>0</v>
      </c>
    </row>
    <row r="238" spans="1:21" x14ac:dyDescent="0.25">
      <c r="A238" s="2" t="s">
        <v>501</v>
      </c>
      <c r="B238" s="2" t="s">
        <v>502</v>
      </c>
      <c r="C238" s="1">
        <v>45841</v>
      </c>
      <c r="D238" s="2" t="s">
        <v>45</v>
      </c>
      <c r="E238" s="2" t="s">
        <v>46</v>
      </c>
      <c r="F238" s="2" t="s">
        <v>51</v>
      </c>
      <c r="G238">
        <v>2</v>
      </c>
      <c r="H238" s="2" t="s">
        <v>77</v>
      </c>
      <c r="I238">
        <v>54.76</v>
      </c>
      <c r="J238">
        <v>10</v>
      </c>
      <c r="K238">
        <v>5.48</v>
      </c>
      <c r="L238">
        <v>21.64</v>
      </c>
      <c r="M238">
        <v>26.65</v>
      </c>
      <c r="N238">
        <v>0</v>
      </c>
      <c r="O238">
        <v>1.73</v>
      </c>
      <c r="P238" s="2" t="s">
        <v>42</v>
      </c>
      <c r="Q238">
        <v>0</v>
      </c>
      <c r="R238">
        <v>49.28</v>
      </c>
      <c r="S238">
        <v>50.02</v>
      </c>
      <c r="T238">
        <v>-0.74</v>
      </c>
      <c r="U238">
        <f t="shared" si="3"/>
        <v>0</v>
      </c>
    </row>
    <row r="239" spans="1:21" x14ac:dyDescent="0.25">
      <c r="A239" s="2" t="s">
        <v>503</v>
      </c>
      <c r="B239" s="2" t="s">
        <v>136</v>
      </c>
      <c r="C239" s="1">
        <v>45545</v>
      </c>
      <c r="D239" s="2" t="s">
        <v>38</v>
      </c>
      <c r="E239" s="2" t="s">
        <v>67</v>
      </c>
      <c r="F239" s="2" t="s">
        <v>85</v>
      </c>
      <c r="G239">
        <v>3</v>
      </c>
      <c r="H239" s="2" t="s">
        <v>64</v>
      </c>
      <c r="I239">
        <v>100.51</v>
      </c>
      <c r="J239">
        <v>0</v>
      </c>
      <c r="K239">
        <v>0</v>
      </c>
      <c r="L239">
        <v>21.7</v>
      </c>
      <c r="M239">
        <v>55.48</v>
      </c>
      <c r="N239">
        <v>0</v>
      </c>
      <c r="O239">
        <v>3.21</v>
      </c>
      <c r="P239" s="2" t="s">
        <v>42</v>
      </c>
      <c r="Q239">
        <v>0</v>
      </c>
      <c r="R239">
        <v>100.51</v>
      </c>
      <c r="S239">
        <v>80.39</v>
      </c>
      <c r="T239">
        <v>20.12</v>
      </c>
      <c r="U239">
        <f t="shared" si="3"/>
        <v>0</v>
      </c>
    </row>
    <row r="240" spans="1:21" x14ac:dyDescent="0.25">
      <c r="A240" s="2" t="s">
        <v>504</v>
      </c>
      <c r="B240" s="2" t="s">
        <v>505</v>
      </c>
      <c r="C240" s="1">
        <v>45562</v>
      </c>
      <c r="D240" s="2" t="s">
        <v>59</v>
      </c>
      <c r="E240" s="2" t="s">
        <v>46</v>
      </c>
      <c r="F240" s="2" t="s">
        <v>94</v>
      </c>
      <c r="G240">
        <v>2</v>
      </c>
      <c r="H240" s="2" t="s">
        <v>56</v>
      </c>
      <c r="I240">
        <v>126.25</v>
      </c>
      <c r="J240">
        <v>25</v>
      </c>
      <c r="K240">
        <v>31.56</v>
      </c>
      <c r="L240">
        <v>19.079999999999998</v>
      </c>
      <c r="M240">
        <v>40.61</v>
      </c>
      <c r="N240">
        <v>14.2</v>
      </c>
      <c r="O240">
        <v>3.05</v>
      </c>
      <c r="P240" s="2" t="s">
        <v>42</v>
      </c>
      <c r="Q240">
        <v>0</v>
      </c>
      <c r="R240">
        <v>94.69</v>
      </c>
      <c r="S240">
        <v>76.94</v>
      </c>
      <c r="T240">
        <v>17.75</v>
      </c>
      <c r="U240">
        <f t="shared" si="3"/>
        <v>0</v>
      </c>
    </row>
    <row r="241" spans="1:21" x14ac:dyDescent="0.25">
      <c r="A241" s="2" t="s">
        <v>506</v>
      </c>
      <c r="B241" s="2" t="s">
        <v>507</v>
      </c>
      <c r="C241" s="1">
        <v>45577</v>
      </c>
      <c r="D241" s="2" t="s">
        <v>38</v>
      </c>
      <c r="E241" s="2" t="s">
        <v>46</v>
      </c>
      <c r="F241" s="2" t="s">
        <v>47</v>
      </c>
      <c r="G241">
        <v>1</v>
      </c>
      <c r="H241" s="2" t="s">
        <v>52</v>
      </c>
      <c r="I241">
        <v>84.04</v>
      </c>
      <c r="J241">
        <v>0</v>
      </c>
      <c r="K241">
        <v>0</v>
      </c>
      <c r="L241">
        <v>4.22</v>
      </c>
      <c r="M241">
        <v>25.97</v>
      </c>
      <c r="N241">
        <v>0</v>
      </c>
      <c r="O241">
        <v>2.74</v>
      </c>
      <c r="P241" s="2" t="s">
        <v>42</v>
      </c>
      <c r="Q241">
        <v>0</v>
      </c>
      <c r="R241">
        <v>84.04</v>
      </c>
      <c r="S241">
        <v>32.93</v>
      </c>
      <c r="T241">
        <v>51.11</v>
      </c>
      <c r="U241">
        <f t="shared" si="3"/>
        <v>0</v>
      </c>
    </row>
    <row r="242" spans="1:21" x14ac:dyDescent="0.25">
      <c r="A242" s="2" t="s">
        <v>508</v>
      </c>
      <c r="B242" s="2" t="s">
        <v>509</v>
      </c>
      <c r="C242" s="1">
        <v>45752</v>
      </c>
      <c r="D242" s="2" t="s">
        <v>45</v>
      </c>
      <c r="E242" s="2" t="s">
        <v>46</v>
      </c>
      <c r="F242" s="2" t="s">
        <v>47</v>
      </c>
      <c r="G242">
        <v>2</v>
      </c>
      <c r="H242" s="2" t="s">
        <v>52</v>
      </c>
      <c r="I242">
        <v>93.21</v>
      </c>
      <c r="J242">
        <v>10</v>
      </c>
      <c r="K242">
        <v>9.32</v>
      </c>
      <c r="L242">
        <v>25.24</v>
      </c>
      <c r="M242">
        <v>49.1</v>
      </c>
      <c r="N242">
        <v>0</v>
      </c>
      <c r="O242">
        <v>2.73</v>
      </c>
      <c r="P242" s="2" t="s">
        <v>42</v>
      </c>
      <c r="Q242">
        <v>0</v>
      </c>
      <c r="R242">
        <v>83.89</v>
      </c>
      <c r="S242">
        <v>77.069999999999993</v>
      </c>
      <c r="T242">
        <v>6.82</v>
      </c>
      <c r="U242">
        <f t="shared" si="3"/>
        <v>0</v>
      </c>
    </row>
    <row r="243" spans="1:21" x14ac:dyDescent="0.25">
      <c r="A243" s="2" t="s">
        <v>510</v>
      </c>
      <c r="B243" s="2" t="s">
        <v>511</v>
      </c>
      <c r="C243" s="1">
        <v>45826</v>
      </c>
      <c r="D243" s="2" t="s">
        <v>59</v>
      </c>
      <c r="E243" s="2" t="s">
        <v>55</v>
      </c>
      <c r="F243" s="2" t="s">
        <v>40</v>
      </c>
      <c r="G243">
        <v>3</v>
      </c>
      <c r="H243" s="2" t="s">
        <v>111</v>
      </c>
      <c r="I243">
        <v>184.37</v>
      </c>
      <c r="J243">
        <v>20</v>
      </c>
      <c r="K243">
        <v>36.869999999999997</v>
      </c>
      <c r="L243">
        <v>24.66</v>
      </c>
      <c r="M243">
        <v>75.459999999999994</v>
      </c>
      <c r="N243">
        <v>22.12</v>
      </c>
      <c r="O243">
        <v>4.58</v>
      </c>
      <c r="P243" s="2" t="s">
        <v>42</v>
      </c>
      <c r="Q243">
        <v>0</v>
      </c>
      <c r="R243">
        <v>147.5</v>
      </c>
      <c r="S243">
        <v>126.82</v>
      </c>
      <c r="T243">
        <v>20.68</v>
      </c>
      <c r="U243">
        <f t="shared" si="3"/>
        <v>0</v>
      </c>
    </row>
    <row r="244" spans="1:21" x14ac:dyDescent="0.25">
      <c r="A244" s="2" t="s">
        <v>512</v>
      </c>
      <c r="B244" s="2" t="s">
        <v>334</v>
      </c>
      <c r="C244" s="1">
        <v>45542</v>
      </c>
      <c r="D244" s="2" t="s">
        <v>45</v>
      </c>
      <c r="E244" s="2" t="s">
        <v>71</v>
      </c>
      <c r="F244" s="2" t="s">
        <v>40</v>
      </c>
      <c r="G244">
        <v>2</v>
      </c>
      <c r="H244" s="2" t="s">
        <v>48</v>
      </c>
      <c r="I244">
        <v>25.1</v>
      </c>
      <c r="J244">
        <v>10</v>
      </c>
      <c r="K244">
        <v>2.5099999999999998</v>
      </c>
      <c r="L244">
        <v>17.32</v>
      </c>
      <c r="M244">
        <v>11.9</v>
      </c>
      <c r="N244">
        <v>0</v>
      </c>
      <c r="O244">
        <v>0.96</v>
      </c>
      <c r="P244" s="2" t="s">
        <v>42</v>
      </c>
      <c r="Q244">
        <v>0</v>
      </c>
      <c r="R244">
        <v>22.59</v>
      </c>
      <c r="S244">
        <v>30.18</v>
      </c>
      <c r="T244">
        <v>-7.59</v>
      </c>
      <c r="U244">
        <f t="shared" si="3"/>
        <v>0</v>
      </c>
    </row>
    <row r="245" spans="1:21" x14ac:dyDescent="0.25">
      <c r="A245" s="2" t="s">
        <v>513</v>
      </c>
      <c r="B245" s="2" t="s">
        <v>207</v>
      </c>
      <c r="C245" s="1">
        <v>45551</v>
      </c>
      <c r="D245" s="2" t="s">
        <v>38</v>
      </c>
      <c r="E245" s="2" t="s">
        <v>39</v>
      </c>
      <c r="F245" s="2" t="s">
        <v>47</v>
      </c>
      <c r="G245">
        <v>1</v>
      </c>
      <c r="H245" s="2" t="s">
        <v>41</v>
      </c>
      <c r="I245">
        <v>68.98</v>
      </c>
      <c r="J245">
        <v>0</v>
      </c>
      <c r="K245">
        <v>0</v>
      </c>
      <c r="L245">
        <v>14.54</v>
      </c>
      <c r="M245">
        <v>25.39</v>
      </c>
      <c r="N245">
        <v>0</v>
      </c>
      <c r="O245">
        <v>2.2999999999999998</v>
      </c>
      <c r="P245" s="2" t="s">
        <v>42</v>
      </c>
      <c r="Q245">
        <v>0</v>
      </c>
      <c r="R245">
        <v>68.98</v>
      </c>
      <c r="S245">
        <v>42.23</v>
      </c>
      <c r="T245">
        <v>26.75</v>
      </c>
      <c r="U245">
        <f t="shared" si="3"/>
        <v>0</v>
      </c>
    </row>
    <row r="246" spans="1:21" x14ac:dyDescent="0.25">
      <c r="A246" s="2" t="s">
        <v>514</v>
      </c>
      <c r="B246" s="2" t="s">
        <v>515</v>
      </c>
      <c r="C246" s="1">
        <v>45986</v>
      </c>
      <c r="D246" s="2" t="s">
        <v>45</v>
      </c>
      <c r="E246" s="2" t="s">
        <v>67</v>
      </c>
      <c r="F246" s="2" t="s">
        <v>94</v>
      </c>
      <c r="G246">
        <v>1</v>
      </c>
      <c r="H246" s="2" t="s">
        <v>74</v>
      </c>
      <c r="I246">
        <v>331.08</v>
      </c>
      <c r="J246">
        <v>10</v>
      </c>
      <c r="K246">
        <v>33.11</v>
      </c>
      <c r="L246">
        <v>15.3</v>
      </c>
      <c r="M246">
        <v>113.55</v>
      </c>
      <c r="N246">
        <v>0</v>
      </c>
      <c r="O246">
        <v>8.94</v>
      </c>
      <c r="P246" s="2" t="s">
        <v>42</v>
      </c>
      <c r="Q246">
        <v>0</v>
      </c>
      <c r="R246">
        <v>297.97000000000003</v>
      </c>
      <c r="S246">
        <v>137.79</v>
      </c>
      <c r="T246">
        <v>160.18</v>
      </c>
      <c r="U246">
        <f t="shared" si="3"/>
        <v>0</v>
      </c>
    </row>
    <row r="247" spans="1:21" x14ac:dyDescent="0.25">
      <c r="A247" s="2" t="s">
        <v>516</v>
      </c>
      <c r="B247" s="2" t="s">
        <v>517</v>
      </c>
      <c r="C247" s="1">
        <v>45801</v>
      </c>
      <c r="D247" s="2" t="s">
        <v>45</v>
      </c>
      <c r="E247" s="2" t="s">
        <v>46</v>
      </c>
      <c r="F247" s="2" t="s">
        <v>47</v>
      </c>
      <c r="G247">
        <v>3</v>
      </c>
      <c r="H247" s="2" t="s">
        <v>56</v>
      </c>
      <c r="I247">
        <v>115.07</v>
      </c>
      <c r="J247">
        <v>0</v>
      </c>
      <c r="K247">
        <v>0</v>
      </c>
      <c r="L247">
        <v>48.16</v>
      </c>
      <c r="M247">
        <v>57.3</v>
      </c>
      <c r="N247">
        <v>0</v>
      </c>
      <c r="O247">
        <v>3.64</v>
      </c>
      <c r="P247" s="2" t="s">
        <v>42</v>
      </c>
      <c r="Q247">
        <v>0</v>
      </c>
      <c r="R247">
        <v>115.07</v>
      </c>
      <c r="S247">
        <v>109.1</v>
      </c>
      <c r="T247">
        <v>5.97</v>
      </c>
      <c r="U247">
        <f t="shared" si="3"/>
        <v>0</v>
      </c>
    </row>
    <row r="248" spans="1:21" x14ac:dyDescent="0.25">
      <c r="A248" s="2" t="s">
        <v>518</v>
      </c>
      <c r="B248" s="2" t="s">
        <v>330</v>
      </c>
      <c r="C248" s="1">
        <v>45838</v>
      </c>
      <c r="D248" s="2" t="s">
        <v>45</v>
      </c>
      <c r="E248" s="2" t="s">
        <v>55</v>
      </c>
      <c r="F248" s="2" t="s">
        <v>94</v>
      </c>
      <c r="G248">
        <v>2</v>
      </c>
      <c r="H248" s="2" t="s">
        <v>64</v>
      </c>
      <c r="I248">
        <v>97.72</v>
      </c>
      <c r="J248">
        <v>10</v>
      </c>
      <c r="K248">
        <v>9.77</v>
      </c>
      <c r="L248">
        <v>27.8</v>
      </c>
      <c r="M248">
        <v>31</v>
      </c>
      <c r="N248">
        <v>0</v>
      </c>
      <c r="O248">
        <v>2.85</v>
      </c>
      <c r="P248" s="2" t="s">
        <v>42</v>
      </c>
      <c r="Q248">
        <v>0</v>
      </c>
      <c r="R248">
        <v>87.95</v>
      </c>
      <c r="S248">
        <v>61.65</v>
      </c>
      <c r="T248">
        <v>26.3</v>
      </c>
      <c r="U248">
        <f t="shared" si="3"/>
        <v>0</v>
      </c>
    </row>
    <row r="249" spans="1:21" x14ac:dyDescent="0.25">
      <c r="A249" s="2" t="s">
        <v>519</v>
      </c>
      <c r="B249" s="2" t="s">
        <v>520</v>
      </c>
      <c r="C249" s="1">
        <v>45576</v>
      </c>
      <c r="D249" s="2" t="s">
        <v>59</v>
      </c>
      <c r="E249" s="2" t="s">
        <v>39</v>
      </c>
      <c r="F249" s="2" t="s">
        <v>40</v>
      </c>
      <c r="G249">
        <v>2</v>
      </c>
      <c r="H249" s="2" t="s">
        <v>41</v>
      </c>
      <c r="I249">
        <v>80.66</v>
      </c>
      <c r="J249">
        <v>0</v>
      </c>
      <c r="K249">
        <v>0</v>
      </c>
      <c r="L249">
        <v>25.7</v>
      </c>
      <c r="M249">
        <v>34.25</v>
      </c>
      <c r="N249">
        <v>12.1</v>
      </c>
      <c r="O249">
        <v>2.64</v>
      </c>
      <c r="P249" s="2" t="s">
        <v>42</v>
      </c>
      <c r="Q249">
        <v>0</v>
      </c>
      <c r="R249">
        <v>80.66</v>
      </c>
      <c r="S249">
        <v>74.69</v>
      </c>
      <c r="T249">
        <v>5.97</v>
      </c>
      <c r="U249">
        <f t="shared" si="3"/>
        <v>0</v>
      </c>
    </row>
    <row r="250" spans="1:21" x14ac:dyDescent="0.25">
      <c r="A250" s="2" t="s">
        <v>521</v>
      </c>
      <c r="B250" s="2" t="s">
        <v>522</v>
      </c>
      <c r="C250" s="1">
        <v>45554</v>
      </c>
      <c r="D250" s="2" t="s">
        <v>38</v>
      </c>
      <c r="E250" s="2" t="s">
        <v>46</v>
      </c>
      <c r="F250" s="2" t="s">
        <v>40</v>
      </c>
      <c r="G250">
        <v>1</v>
      </c>
      <c r="H250" s="2" t="s">
        <v>48</v>
      </c>
      <c r="I250">
        <v>36.6</v>
      </c>
      <c r="J250">
        <v>0</v>
      </c>
      <c r="K250">
        <v>0</v>
      </c>
      <c r="L250">
        <v>10.62</v>
      </c>
      <c r="M250">
        <v>14.64</v>
      </c>
      <c r="N250">
        <v>0</v>
      </c>
      <c r="O250">
        <v>1.36</v>
      </c>
      <c r="P250" s="2" t="s">
        <v>42</v>
      </c>
      <c r="Q250">
        <v>0</v>
      </c>
      <c r="R250">
        <v>36.6</v>
      </c>
      <c r="S250">
        <v>26.62</v>
      </c>
      <c r="T250">
        <v>9.98</v>
      </c>
      <c r="U250">
        <f t="shared" si="3"/>
        <v>0</v>
      </c>
    </row>
    <row r="251" spans="1:21" x14ac:dyDescent="0.25">
      <c r="A251" s="2" t="s">
        <v>523</v>
      </c>
      <c r="B251" s="2" t="s">
        <v>524</v>
      </c>
      <c r="C251" s="1">
        <v>45518</v>
      </c>
      <c r="D251" s="2" t="s">
        <v>45</v>
      </c>
      <c r="E251" s="2" t="s">
        <v>46</v>
      </c>
      <c r="F251" s="2" t="s">
        <v>51</v>
      </c>
      <c r="G251">
        <v>3</v>
      </c>
      <c r="H251" s="2" t="s">
        <v>41</v>
      </c>
      <c r="I251">
        <v>223.53</v>
      </c>
      <c r="J251">
        <v>5</v>
      </c>
      <c r="K251">
        <v>11.18</v>
      </c>
      <c r="L251">
        <v>61.74</v>
      </c>
      <c r="M251">
        <v>103.72</v>
      </c>
      <c r="N251">
        <v>0</v>
      </c>
      <c r="O251">
        <v>6.46</v>
      </c>
      <c r="P251" s="2" t="s">
        <v>42</v>
      </c>
      <c r="Q251">
        <v>0</v>
      </c>
      <c r="R251">
        <v>212.35</v>
      </c>
      <c r="S251">
        <v>171.92</v>
      </c>
      <c r="T251">
        <v>40.43</v>
      </c>
      <c r="U251">
        <f t="shared" si="3"/>
        <v>0</v>
      </c>
    </row>
    <row r="252" spans="1:21" x14ac:dyDescent="0.25">
      <c r="A252" s="2" t="s">
        <v>525</v>
      </c>
      <c r="B252" s="2" t="s">
        <v>526</v>
      </c>
      <c r="C252" s="1">
        <v>45695</v>
      </c>
      <c r="D252" s="2" t="s">
        <v>45</v>
      </c>
      <c r="E252" s="2" t="s">
        <v>71</v>
      </c>
      <c r="F252" s="2" t="s">
        <v>85</v>
      </c>
      <c r="G252">
        <v>1</v>
      </c>
      <c r="H252" s="2" t="s">
        <v>74</v>
      </c>
      <c r="I252">
        <v>106.92</v>
      </c>
      <c r="J252">
        <v>0</v>
      </c>
      <c r="K252">
        <v>0</v>
      </c>
      <c r="L252">
        <v>39.54</v>
      </c>
      <c r="M252">
        <v>31.32</v>
      </c>
      <c r="N252">
        <v>0</v>
      </c>
      <c r="O252">
        <v>3.4</v>
      </c>
      <c r="P252" s="2" t="s">
        <v>42</v>
      </c>
      <c r="Q252">
        <v>0</v>
      </c>
      <c r="R252">
        <v>106.92</v>
      </c>
      <c r="S252">
        <v>74.260000000000005</v>
      </c>
      <c r="T252">
        <v>32.659999999999997</v>
      </c>
      <c r="U252">
        <f t="shared" si="3"/>
        <v>0</v>
      </c>
    </row>
    <row r="253" spans="1:21" x14ac:dyDescent="0.25">
      <c r="A253" s="2" t="s">
        <v>527</v>
      </c>
      <c r="B253" s="2" t="s">
        <v>528</v>
      </c>
      <c r="C253" s="1">
        <v>45484</v>
      </c>
      <c r="D253" s="2" t="s">
        <v>45</v>
      </c>
      <c r="E253" s="2" t="s">
        <v>55</v>
      </c>
      <c r="F253" s="2" t="s">
        <v>51</v>
      </c>
      <c r="G253">
        <v>4</v>
      </c>
      <c r="H253" s="2" t="s">
        <v>77</v>
      </c>
      <c r="I253">
        <v>248.2</v>
      </c>
      <c r="J253">
        <v>0</v>
      </c>
      <c r="K253">
        <v>0</v>
      </c>
      <c r="L253">
        <v>61.26</v>
      </c>
      <c r="M253">
        <v>105.38</v>
      </c>
      <c r="N253">
        <v>0</v>
      </c>
      <c r="O253">
        <v>7.5</v>
      </c>
      <c r="P253" s="2" t="s">
        <v>42</v>
      </c>
      <c r="Q253">
        <v>0</v>
      </c>
      <c r="R253">
        <v>248.2</v>
      </c>
      <c r="S253">
        <v>174.14</v>
      </c>
      <c r="T253">
        <v>74.06</v>
      </c>
      <c r="U253">
        <f t="shared" si="3"/>
        <v>0</v>
      </c>
    </row>
    <row r="254" spans="1:21" x14ac:dyDescent="0.25">
      <c r="A254" s="2" t="s">
        <v>529</v>
      </c>
      <c r="B254" s="2" t="s">
        <v>530</v>
      </c>
      <c r="C254" s="1">
        <v>45839</v>
      </c>
      <c r="D254" s="2" t="s">
        <v>38</v>
      </c>
      <c r="E254" s="2" t="s">
        <v>46</v>
      </c>
      <c r="F254" s="2" t="s">
        <v>94</v>
      </c>
      <c r="G254">
        <v>2</v>
      </c>
      <c r="H254" s="2" t="s">
        <v>52</v>
      </c>
      <c r="I254">
        <v>216.14</v>
      </c>
      <c r="J254">
        <v>0</v>
      </c>
      <c r="K254">
        <v>0</v>
      </c>
      <c r="L254">
        <v>33.94</v>
      </c>
      <c r="M254">
        <v>72.849999999999994</v>
      </c>
      <c r="N254">
        <v>0</v>
      </c>
      <c r="O254">
        <v>6.57</v>
      </c>
      <c r="P254" s="2" t="s">
        <v>42</v>
      </c>
      <c r="Q254">
        <v>0</v>
      </c>
      <c r="R254">
        <v>216.14</v>
      </c>
      <c r="S254">
        <v>113.36</v>
      </c>
      <c r="T254">
        <v>102.78</v>
      </c>
      <c r="U254">
        <f t="shared" si="3"/>
        <v>0</v>
      </c>
    </row>
    <row r="255" spans="1:21" x14ac:dyDescent="0.25">
      <c r="A255" s="2" t="s">
        <v>531</v>
      </c>
      <c r="B255" s="2" t="s">
        <v>532</v>
      </c>
      <c r="C255" s="1">
        <v>45956</v>
      </c>
      <c r="D255" s="2" t="s">
        <v>45</v>
      </c>
      <c r="E255" s="2" t="s">
        <v>71</v>
      </c>
      <c r="F255" s="2" t="s">
        <v>51</v>
      </c>
      <c r="G255">
        <v>2</v>
      </c>
      <c r="H255" s="2" t="s">
        <v>77</v>
      </c>
      <c r="I255">
        <v>211.04</v>
      </c>
      <c r="J255">
        <v>10</v>
      </c>
      <c r="K255">
        <v>21.1</v>
      </c>
      <c r="L255">
        <v>43.36</v>
      </c>
      <c r="M255">
        <v>85.37</v>
      </c>
      <c r="N255">
        <v>0</v>
      </c>
      <c r="O255">
        <v>5.81</v>
      </c>
      <c r="P255" s="2" t="s">
        <v>42</v>
      </c>
      <c r="Q255">
        <v>0</v>
      </c>
      <c r="R255">
        <v>189.94</v>
      </c>
      <c r="S255">
        <v>134.54</v>
      </c>
      <c r="T255">
        <v>55.4</v>
      </c>
      <c r="U255">
        <f t="shared" si="3"/>
        <v>0</v>
      </c>
    </row>
    <row r="256" spans="1:21" x14ac:dyDescent="0.25">
      <c r="A256" s="2" t="s">
        <v>533</v>
      </c>
      <c r="B256" s="2" t="s">
        <v>534</v>
      </c>
      <c r="C256" s="1">
        <v>45966</v>
      </c>
      <c r="D256" s="2" t="s">
        <v>38</v>
      </c>
      <c r="E256" s="2" t="s">
        <v>71</v>
      </c>
      <c r="F256" s="2" t="s">
        <v>94</v>
      </c>
      <c r="G256">
        <v>1</v>
      </c>
      <c r="H256" s="2" t="s">
        <v>64</v>
      </c>
      <c r="I256">
        <v>40.89</v>
      </c>
      <c r="J256">
        <v>5</v>
      </c>
      <c r="K256">
        <v>2.04</v>
      </c>
      <c r="L256">
        <v>15.1</v>
      </c>
      <c r="M256">
        <v>16.21</v>
      </c>
      <c r="N256">
        <v>0</v>
      </c>
      <c r="O256">
        <v>1.43</v>
      </c>
      <c r="P256" s="2" t="s">
        <v>42</v>
      </c>
      <c r="Q256">
        <v>0</v>
      </c>
      <c r="R256">
        <v>38.85</v>
      </c>
      <c r="S256">
        <v>32.74</v>
      </c>
      <c r="T256">
        <v>6.11</v>
      </c>
      <c r="U256">
        <f t="shared" si="3"/>
        <v>0</v>
      </c>
    </row>
    <row r="257" spans="1:21" x14ac:dyDescent="0.25">
      <c r="A257" s="2" t="s">
        <v>535</v>
      </c>
      <c r="B257" s="2" t="s">
        <v>536</v>
      </c>
      <c r="C257" s="1">
        <v>45863</v>
      </c>
      <c r="D257" s="2" t="s">
        <v>45</v>
      </c>
      <c r="E257" s="2" t="s">
        <v>46</v>
      </c>
      <c r="F257" s="2" t="s">
        <v>85</v>
      </c>
      <c r="G257">
        <v>1</v>
      </c>
      <c r="H257" s="2" t="s">
        <v>52</v>
      </c>
      <c r="I257">
        <v>72.56</v>
      </c>
      <c r="J257">
        <v>10</v>
      </c>
      <c r="K257">
        <v>7.26</v>
      </c>
      <c r="L257">
        <v>8.6999999999999993</v>
      </c>
      <c r="M257">
        <v>35.81</v>
      </c>
      <c r="N257">
        <v>0</v>
      </c>
      <c r="O257">
        <v>2.19</v>
      </c>
      <c r="P257" s="2" t="s">
        <v>42</v>
      </c>
      <c r="Q257">
        <v>0</v>
      </c>
      <c r="R257">
        <v>65.3</v>
      </c>
      <c r="S257">
        <v>46.7</v>
      </c>
      <c r="T257">
        <v>18.600000000000001</v>
      </c>
      <c r="U257">
        <f t="shared" si="3"/>
        <v>0</v>
      </c>
    </row>
    <row r="258" spans="1:21" x14ac:dyDescent="0.25">
      <c r="A258" s="2" t="s">
        <v>537</v>
      </c>
      <c r="B258" s="2" t="s">
        <v>538</v>
      </c>
      <c r="C258" s="1">
        <v>45806</v>
      </c>
      <c r="D258" s="2" t="s">
        <v>45</v>
      </c>
      <c r="E258" s="2" t="s">
        <v>71</v>
      </c>
      <c r="F258" s="2" t="s">
        <v>40</v>
      </c>
      <c r="G258">
        <v>1</v>
      </c>
      <c r="H258" s="2" t="s">
        <v>52</v>
      </c>
      <c r="I258">
        <v>272.49</v>
      </c>
      <c r="J258">
        <v>5</v>
      </c>
      <c r="K258">
        <v>13.62</v>
      </c>
      <c r="L258">
        <v>46.26</v>
      </c>
      <c r="M258">
        <v>80.040000000000006</v>
      </c>
      <c r="N258">
        <v>0</v>
      </c>
      <c r="O258">
        <v>7.81</v>
      </c>
      <c r="P258" s="2" t="s">
        <v>42</v>
      </c>
      <c r="Q258">
        <v>0</v>
      </c>
      <c r="R258">
        <v>258.87</v>
      </c>
      <c r="S258">
        <v>134.11000000000001</v>
      </c>
      <c r="T258">
        <v>124.76</v>
      </c>
      <c r="U258">
        <f t="shared" si="3"/>
        <v>0</v>
      </c>
    </row>
    <row r="259" spans="1:21" x14ac:dyDescent="0.25">
      <c r="A259" s="2" t="s">
        <v>539</v>
      </c>
      <c r="B259" s="2" t="s">
        <v>540</v>
      </c>
      <c r="C259" s="1">
        <v>45960</v>
      </c>
      <c r="D259" s="2" t="s">
        <v>45</v>
      </c>
      <c r="E259" s="2" t="s">
        <v>46</v>
      </c>
      <c r="F259" s="2" t="s">
        <v>94</v>
      </c>
      <c r="G259">
        <v>4</v>
      </c>
      <c r="H259" s="2" t="s">
        <v>56</v>
      </c>
      <c r="I259">
        <v>404.63</v>
      </c>
      <c r="J259">
        <v>0</v>
      </c>
      <c r="K259">
        <v>0</v>
      </c>
      <c r="L259">
        <v>43.56</v>
      </c>
      <c r="M259">
        <v>159.63</v>
      </c>
      <c r="N259">
        <v>0</v>
      </c>
      <c r="O259">
        <v>12.03</v>
      </c>
      <c r="P259" s="2" t="s">
        <v>42</v>
      </c>
      <c r="Q259">
        <v>0</v>
      </c>
      <c r="R259">
        <v>404.63</v>
      </c>
      <c r="S259">
        <v>215.22</v>
      </c>
      <c r="T259">
        <v>189.41</v>
      </c>
      <c r="U259">
        <f t="shared" si="3"/>
        <v>0</v>
      </c>
    </row>
    <row r="260" spans="1:21" x14ac:dyDescent="0.25">
      <c r="A260" s="2" t="s">
        <v>541</v>
      </c>
      <c r="B260" s="2" t="s">
        <v>289</v>
      </c>
      <c r="C260" s="1">
        <v>45721</v>
      </c>
      <c r="D260" s="2" t="s">
        <v>45</v>
      </c>
      <c r="E260" s="2" t="s">
        <v>46</v>
      </c>
      <c r="F260" s="2" t="s">
        <v>51</v>
      </c>
      <c r="G260">
        <v>3</v>
      </c>
      <c r="H260" s="2" t="s">
        <v>41</v>
      </c>
      <c r="I260">
        <v>135.87</v>
      </c>
      <c r="J260">
        <v>20</v>
      </c>
      <c r="K260">
        <v>27.17</v>
      </c>
      <c r="L260">
        <v>34.020000000000003</v>
      </c>
      <c r="M260">
        <v>52.84</v>
      </c>
      <c r="N260">
        <v>0</v>
      </c>
      <c r="O260">
        <v>3.45</v>
      </c>
      <c r="P260" s="2" t="s">
        <v>42</v>
      </c>
      <c r="Q260">
        <v>0</v>
      </c>
      <c r="R260">
        <v>108.7</v>
      </c>
      <c r="S260">
        <v>90.31</v>
      </c>
      <c r="T260">
        <v>18.39</v>
      </c>
      <c r="U260">
        <f t="shared" si="3"/>
        <v>0</v>
      </c>
    </row>
    <row r="261" spans="1:21" x14ac:dyDescent="0.25">
      <c r="A261" s="2" t="s">
        <v>542</v>
      </c>
      <c r="B261" s="2" t="s">
        <v>543</v>
      </c>
      <c r="C261" s="1">
        <v>45922</v>
      </c>
      <c r="D261" s="2" t="s">
        <v>38</v>
      </c>
      <c r="E261" s="2" t="s">
        <v>46</v>
      </c>
      <c r="F261" s="2" t="s">
        <v>51</v>
      </c>
      <c r="G261">
        <v>1</v>
      </c>
      <c r="H261" s="2" t="s">
        <v>56</v>
      </c>
      <c r="I261">
        <v>36.01</v>
      </c>
      <c r="J261">
        <v>0</v>
      </c>
      <c r="K261">
        <v>0</v>
      </c>
      <c r="L261">
        <v>9.66</v>
      </c>
      <c r="M261">
        <v>11.64</v>
      </c>
      <c r="N261">
        <v>0</v>
      </c>
      <c r="O261">
        <v>1.34</v>
      </c>
      <c r="P261" s="2" t="s">
        <v>42</v>
      </c>
      <c r="Q261">
        <v>0</v>
      </c>
      <c r="R261">
        <v>36.01</v>
      </c>
      <c r="S261">
        <v>22.64</v>
      </c>
      <c r="T261">
        <v>13.37</v>
      </c>
      <c r="U261">
        <f t="shared" ref="U261:U324" si="4">IF(P259="Yes", 1, 0)</f>
        <v>0</v>
      </c>
    </row>
    <row r="262" spans="1:21" x14ac:dyDescent="0.25">
      <c r="A262" s="2" t="s">
        <v>544</v>
      </c>
      <c r="B262" s="2" t="s">
        <v>149</v>
      </c>
      <c r="C262" s="1">
        <v>45900</v>
      </c>
      <c r="D262" s="2" t="s">
        <v>38</v>
      </c>
      <c r="E262" s="2" t="s">
        <v>55</v>
      </c>
      <c r="F262" s="2" t="s">
        <v>51</v>
      </c>
      <c r="G262">
        <v>1</v>
      </c>
      <c r="H262" s="2" t="s">
        <v>64</v>
      </c>
      <c r="I262">
        <v>62.28</v>
      </c>
      <c r="J262">
        <v>0</v>
      </c>
      <c r="K262">
        <v>0</v>
      </c>
      <c r="L262">
        <v>10.54</v>
      </c>
      <c r="M262">
        <v>23.32</v>
      </c>
      <c r="N262">
        <v>0</v>
      </c>
      <c r="O262">
        <v>2.11</v>
      </c>
      <c r="P262" s="2" t="s">
        <v>42</v>
      </c>
      <c r="Q262">
        <v>0</v>
      </c>
      <c r="R262">
        <v>62.28</v>
      </c>
      <c r="S262">
        <v>35.97</v>
      </c>
      <c r="T262">
        <v>26.31</v>
      </c>
      <c r="U262">
        <f t="shared" si="4"/>
        <v>0</v>
      </c>
    </row>
    <row r="263" spans="1:21" x14ac:dyDescent="0.25">
      <c r="A263" s="2" t="s">
        <v>545</v>
      </c>
      <c r="B263" s="2" t="s">
        <v>170</v>
      </c>
      <c r="C263" s="1">
        <v>45720</v>
      </c>
      <c r="D263" s="2" t="s">
        <v>45</v>
      </c>
      <c r="E263" s="2" t="s">
        <v>46</v>
      </c>
      <c r="F263" s="2" t="s">
        <v>47</v>
      </c>
      <c r="G263">
        <v>1</v>
      </c>
      <c r="H263" s="2" t="s">
        <v>64</v>
      </c>
      <c r="I263">
        <v>13.66</v>
      </c>
      <c r="J263">
        <v>0</v>
      </c>
      <c r="K263">
        <v>0</v>
      </c>
      <c r="L263">
        <v>10.62</v>
      </c>
      <c r="M263">
        <v>4.6900000000000004</v>
      </c>
      <c r="N263">
        <v>0</v>
      </c>
      <c r="O263">
        <v>0.7</v>
      </c>
      <c r="P263" s="2" t="s">
        <v>42</v>
      </c>
      <c r="Q263">
        <v>0</v>
      </c>
      <c r="R263">
        <v>13.66</v>
      </c>
      <c r="S263">
        <v>16.010000000000002</v>
      </c>
      <c r="T263">
        <v>-2.35</v>
      </c>
      <c r="U263">
        <f t="shared" si="4"/>
        <v>0</v>
      </c>
    </row>
    <row r="264" spans="1:21" x14ac:dyDescent="0.25">
      <c r="A264" s="2" t="s">
        <v>546</v>
      </c>
      <c r="B264" s="2" t="s">
        <v>547</v>
      </c>
      <c r="C264" s="1">
        <v>45726</v>
      </c>
      <c r="D264" s="2" t="s">
        <v>45</v>
      </c>
      <c r="E264" s="2" t="s">
        <v>46</v>
      </c>
      <c r="F264" s="2" t="s">
        <v>40</v>
      </c>
      <c r="G264">
        <v>1</v>
      </c>
      <c r="H264" s="2" t="s">
        <v>48</v>
      </c>
      <c r="I264">
        <v>37.659999999999997</v>
      </c>
      <c r="J264">
        <v>5</v>
      </c>
      <c r="K264">
        <v>1.88</v>
      </c>
      <c r="L264">
        <v>19.8</v>
      </c>
      <c r="M264">
        <v>22.08</v>
      </c>
      <c r="N264">
        <v>0</v>
      </c>
      <c r="O264">
        <v>1.34</v>
      </c>
      <c r="P264" s="2" t="s">
        <v>42</v>
      </c>
      <c r="Q264">
        <v>0</v>
      </c>
      <c r="R264">
        <v>35.78</v>
      </c>
      <c r="S264">
        <v>43.22</v>
      </c>
      <c r="T264">
        <v>-7.44</v>
      </c>
      <c r="U264">
        <f t="shared" si="4"/>
        <v>0</v>
      </c>
    </row>
    <row r="265" spans="1:21" x14ac:dyDescent="0.25">
      <c r="A265" s="2" t="s">
        <v>548</v>
      </c>
      <c r="B265" s="2" t="s">
        <v>549</v>
      </c>
      <c r="C265" s="1">
        <v>45915</v>
      </c>
      <c r="D265" s="2" t="s">
        <v>45</v>
      </c>
      <c r="E265" s="2" t="s">
        <v>46</v>
      </c>
      <c r="F265" s="2" t="s">
        <v>47</v>
      </c>
      <c r="G265">
        <v>1</v>
      </c>
      <c r="H265" s="2" t="s">
        <v>56</v>
      </c>
      <c r="I265">
        <v>62.32</v>
      </c>
      <c r="J265">
        <v>0</v>
      </c>
      <c r="K265">
        <v>0</v>
      </c>
      <c r="L265">
        <v>13.18</v>
      </c>
      <c r="M265">
        <v>34.79</v>
      </c>
      <c r="N265">
        <v>0</v>
      </c>
      <c r="O265">
        <v>2.11</v>
      </c>
      <c r="P265" s="2" t="s">
        <v>42</v>
      </c>
      <c r="Q265">
        <v>0</v>
      </c>
      <c r="R265">
        <v>62.32</v>
      </c>
      <c r="S265">
        <v>50.08</v>
      </c>
      <c r="T265">
        <v>12.24</v>
      </c>
      <c r="U265">
        <f t="shared" si="4"/>
        <v>0</v>
      </c>
    </row>
    <row r="266" spans="1:21" x14ac:dyDescent="0.25">
      <c r="A266" s="2" t="s">
        <v>550</v>
      </c>
      <c r="B266" s="2" t="s">
        <v>443</v>
      </c>
      <c r="C266" s="1">
        <v>45900</v>
      </c>
      <c r="D266" s="2" t="s">
        <v>45</v>
      </c>
      <c r="E266" s="2" t="s">
        <v>55</v>
      </c>
      <c r="F266" s="2" t="s">
        <v>85</v>
      </c>
      <c r="G266">
        <v>2</v>
      </c>
      <c r="H266" s="2" t="s">
        <v>41</v>
      </c>
      <c r="I266">
        <v>52.19</v>
      </c>
      <c r="J266">
        <v>0</v>
      </c>
      <c r="K266">
        <v>0</v>
      </c>
      <c r="L266">
        <v>20.92</v>
      </c>
      <c r="M266">
        <v>29.66</v>
      </c>
      <c r="N266">
        <v>0</v>
      </c>
      <c r="O266">
        <v>1.81</v>
      </c>
      <c r="P266" s="2" t="s">
        <v>42</v>
      </c>
      <c r="Q266">
        <v>0</v>
      </c>
      <c r="R266">
        <v>52.19</v>
      </c>
      <c r="S266">
        <v>52.39</v>
      </c>
      <c r="T266">
        <v>-0.2</v>
      </c>
      <c r="U266">
        <f t="shared" si="4"/>
        <v>0</v>
      </c>
    </row>
    <row r="267" spans="1:21" x14ac:dyDescent="0.25">
      <c r="A267" s="2" t="s">
        <v>551</v>
      </c>
      <c r="B267" s="2" t="s">
        <v>552</v>
      </c>
      <c r="C267" s="1">
        <v>45881</v>
      </c>
      <c r="D267" s="2" t="s">
        <v>45</v>
      </c>
      <c r="E267" s="2" t="s">
        <v>46</v>
      </c>
      <c r="F267" s="2" t="s">
        <v>40</v>
      </c>
      <c r="G267">
        <v>3</v>
      </c>
      <c r="H267" s="2" t="s">
        <v>111</v>
      </c>
      <c r="I267">
        <v>176.91</v>
      </c>
      <c r="J267">
        <v>25</v>
      </c>
      <c r="K267">
        <v>44.23</v>
      </c>
      <c r="L267">
        <v>54.56</v>
      </c>
      <c r="M267">
        <v>59.99</v>
      </c>
      <c r="N267">
        <v>0</v>
      </c>
      <c r="O267">
        <v>4.1500000000000004</v>
      </c>
      <c r="P267" s="2" t="s">
        <v>68</v>
      </c>
      <c r="Q267">
        <v>132.68</v>
      </c>
      <c r="R267">
        <v>0</v>
      </c>
      <c r="S267">
        <v>118.7</v>
      </c>
      <c r="T267">
        <v>-118.7</v>
      </c>
      <c r="U267">
        <f t="shared" si="4"/>
        <v>0</v>
      </c>
    </row>
    <row r="268" spans="1:21" x14ac:dyDescent="0.25">
      <c r="A268" s="2" t="s">
        <v>553</v>
      </c>
      <c r="B268" s="2" t="s">
        <v>554</v>
      </c>
      <c r="C268" s="1">
        <v>45735</v>
      </c>
      <c r="D268" s="2" t="s">
        <v>38</v>
      </c>
      <c r="E268" s="2" t="s">
        <v>71</v>
      </c>
      <c r="F268" s="2" t="s">
        <v>40</v>
      </c>
      <c r="G268">
        <v>3</v>
      </c>
      <c r="H268" s="2" t="s">
        <v>64</v>
      </c>
      <c r="I268">
        <v>263.27999999999997</v>
      </c>
      <c r="J268">
        <v>0</v>
      </c>
      <c r="K268">
        <v>0</v>
      </c>
      <c r="L268">
        <v>27.12</v>
      </c>
      <c r="M268">
        <v>111.79</v>
      </c>
      <c r="N268">
        <v>0</v>
      </c>
      <c r="O268">
        <v>7.94</v>
      </c>
      <c r="P268" s="2" t="s">
        <v>42</v>
      </c>
      <c r="Q268">
        <v>0</v>
      </c>
      <c r="R268">
        <v>263.27999999999997</v>
      </c>
      <c r="S268">
        <v>146.85</v>
      </c>
      <c r="T268">
        <v>116.43</v>
      </c>
      <c r="U268">
        <f t="shared" si="4"/>
        <v>0</v>
      </c>
    </row>
    <row r="269" spans="1:21" x14ac:dyDescent="0.25">
      <c r="A269" s="2" t="s">
        <v>555</v>
      </c>
      <c r="B269" s="2" t="s">
        <v>211</v>
      </c>
      <c r="C269" s="1">
        <v>45527</v>
      </c>
      <c r="D269" s="2" t="s">
        <v>59</v>
      </c>
      <c r="E269" s="2" t="s">
        <v>46</v>
      </c>
      <c r="F269" s="2" t="s">
        <v>40</v>
      </c>
      <c r="G269">
        <v>2</v>
      </c>
      <c r="H269" s="2" t="s">
        <v>111</v>
      </c>
      <c r="I269">
        <v>238.27</v>
      </c>
      <c r="J269">
        <v>10</v>
      </c>
      <c r="K269">
        <v>23.83</v>
      </c>
      <c r="L269">
        <v>37.6</v>
      </c>
      <c r="M269">
        <v>89.9</v>
      </c>
      <c r="N269">
        <v>32.17</v>
      </c>
      <c r="O269">
        <v>6.52</v>
      </c>
      <c r="P269" s="2" t="s">
        <v>42</v>
      </c>
      <c r="Q269">
        <v>0</v>
      </c>
      <c r="R269">
        <v>214.44</v>
      </c>
      <c r="S269">
        <v>166.19</v>
      </c>
      <c r="T269">
        <v>48.25</v>
      </c>
      <c r="U269">
        <f t="shared" si="4"/>
        <v>1</v>
      </c>
    </row>
    <row r="270" spans="1:21" x14ac:dyDescent="0.25">
      <c r="A270" s="2" t="s">
        <v>556</v>
      </c>
      <c r="B270" s="2" t="s">
        <v>557</v>
      </c>
      <c r="C270" s="1">
        <v>45929</v>
      </c>
      <c r="D270" s="2" t="s">
        <v>59</v>
      </c>
      <c r="E270" s="2" t="s">
        <v>55</v>
      </c>
      <c r="F270" s="2" t="s">
        <v>85</v>
      </c>
      <c r="G270">
        <v>4</v>
      </c>
      <c r="H270" s="2" t="s">
        <v>48</v>
      </c>
      <c r="I270">
        <v>444.78</v>
      </c>
      <c r="J270">
        <v>10</v>
      </c>
      <c r="K270">
        <v>44.48</v>
      </c>
      <c r="L270">
        <v>65.599999999999994</v>
      </c>
      <c r="M270">
        <v>198.38</v>
      </c>
      <c r="N270">
        <v>60.05</v>
      </c>
      <c r="O270">
        <v>11.91</v>
      </c>
      <c r="P270" s="2" t="s">
        <v>42</v>
      </c>
      <c r="Q270">
        <v>0</v>
      </c>
      <c r="R270">
        <v>400.3</v>
      </c>
      <c r="S270">
        <v>335.94</v>
      </c>
      <c r="T270">
        <v>64.36</v>
      </c>
      <c r="U270">
        <f t="shared" si="4"/>
        <v>0</v>
      </c>
    </row>
    <row r="271" spans="1:21" x14ac:dyDescent="0.25">
      <c r="A271" s="2" t="s">
        <v>558</v>
      </c>
      <c r="B271" s="2" t="s">
        <v>348</v>
      </c>
      <c r="C271" s="1">
        <v>45740</v>
      </c>
      <c r="D271" s="2" t="s">
        <v>45</v>
      </c>
      <c r="E271" s="2" t="s">
        <v>55</v>
      </c>
      <c r="F271" s="2" t="s">
        <v>94</v>
      </c>
      <c r="G271">
        <v>1</v>
      </c>
      <c r="H271" s="2" t="s">
        <v>41</v>
      </c>
      <c r="I271">
        <v>135.82</v>
      </c>
      <c r="J271">
        <v>0</v>
      </c>
      <c r="K271">
        <v>0</v>
      </c>
      <c r="L271">
        <v>5.82</v>
      </c>
      <c r="M271">
        <v>43.05</v>
      </c>
      <c r="N271">
        <v>0</v>
      </c>
      <c r="O271">
        <v>4.24</v>
      </c>
      <c r="P271" s="2" t="s">
        <v>68</v>
      </c>
      <c r="Q271">
        <v>135.82</v>
      </c>
      <c r="R271">
        <v>0</v>
      </c>
      <c r="S271">
        <v>53.11</v>
      </c>
      <c r="T271">
        <v>-53.11</v>
      </c>
      <c r="U271">
        <f t="shared" si="4"/>
        <v>0</v>
      </c>
    </row>
    <row r="272" spans="1:21" x14ac:dyDescent="0.25">
      <c r="A272" s="2" t="s">
        <v>559</v>
      </c>
      <c r="B272" s="2" t="s">
        <v>560</v>
      </c>
      <c r="C272" s="1">
        <v>45769</v>
      </c>
      <c r="D272" s="2" t="s">
        <v>59</v>
      </c>
      <c r="E272" s="2" t="s">
        <v>46</v>
      </c>
      <c r="F272" s="2" t="s">
        <v>85</v>
      </c>
      <c r="G272">
        <v>2</v>
      </c>
      <c r="H272" s="2" t="s">
        <v>41</v>
      </c>
      <c r="I272">
        <v>227.41</v>
      </c>
      <c r="J272">
        <v>0</v>
      </c>
      <c r="K272">
        <v>0</v>
      </c>
      <c r="L272">
        <v>20.04</v>
      </c>
      <c r="M272">
        <v>84.13</v>
      </c>
      <c r="N272">
        <v>34.11</v>
      </c>
      <c r="O272">
        <v>6.89</v>
      </c>
      <c r="P272" s="2" t="s">
        <v>42</v>
      </c>
      <c r="Q272">
        <v>0</v>
      </c>
      <c r="R272">
        <v>227.41</v>
      </c>
      <c r="S272">
        <v>145.16999999999999</v>
      </c>
      <c r="T272">
        <v>82.24</v>
      </c>
      <c r="U272">
        <f t="shared" si="4"/>
        <v>0</v>
      </c>
    </row>
    <row r="273" spans="1:21" x14ac:dyDescent="0.25">
      <c r="A273" s="2" t="s">
        <v>561</v>
      </c>
      <c r="B273" s="2" t="s">
        <v>562</v>
      </c>
      <c r="C273" s="1">
        <v>45867</v>
      </c>
      <c r="D273" s="2" t="s">
        <v>45</v>
      </c>
      <c r="E273" s="2" t="s">
        <v>46</v>
      </c>
      <c r="F273" s="2" t="s">
        <v>94</v>
      </c>
      <c r="G273">
        <v>5</v>
      </c>
      <c r="H273" s="2" t="s">
        <v>74</v>
      </c>
      <c r="I273">
        <v>380.79</v>
      </c>
      <c r="J273">
        <v>10</v>
      </c>
      <c r="K273">
        <v>38.08</v>
      </c>
      <c r="L273">
        <v>43.02</v>
      </c>
      <c r="M273">
        <v>134.94</v>
      </c>
      <c r="N273">
        <v>0</v>
      </c>
      <c r="O273">
        <v>10.24</v>
      </c>
      <c r="P273" s="2" t="s">
        <v>42</v>
      </c>
      <c r="Q273">
        <v>0</v>
      </c>
      <c r="R273">
        <v>342.71</v>
      </c>
      <c r="S273">
        <v>188.2</v>
      </c>
      <c r="T273">
        <v>154.51</v>
      </c>
      <c r="U273">
        <f t="shared" si="4"/>
        <v>1</v>
      </c>
    </row>
    <row r="274" spans="1:21" x14ac:dyDescent="0.25">
      <c r="A274" s="2" t="s">
        <v>563</v>
      </c>
      <c r="B274" s="2" t="s">
        <v>564</v>
      </c>
      <c r="C274" s="1">
        <v>45928</v>
      </c>
      <c r="D274" s="2" t="s">
        <v>45</v>
      </c>
      <c r="E274" s="2" t="s">
        <v>39</v>
      </c>
      <c r="F274" s="2" t="s">
        <v>51</v>
      </c>
      <c r="G274">
        <v>1</v>
      </c>
      <c r="H274" s="2" t="s">
        <v>48</v>
      </c>
      <c r="I274">
        <v>35.409999999999997</v>
      </c>
      <c r="J274">
        <v>10</v>
      </c>
      <c r="K274">
        <v>3.54</v>
      </c>
      <c r="L274">
        <v>12.14</v>
      </c>
      <c r="M274">
        <v>18.89</v>
      </c>
      <c r="N274">
        <v>0</v>
      </c>
      <c r="O274">
        <v>1.22</v>
      </c>
      <c r="P274" s="2" t="s">
        <v>42</v>
      </c>
      <c r="Q274">
        <v>0</v>
      </c>
      <c r="R274">
        <v>31.87</v>
      </c>
      <c r="S274">
        <v>32.25</v>
      </c>
      <c r="T274">
        <v>-0.38</v>
      </c>
      <c r="U274">
        <f t="shared" si="4"/>
        <v>0</v>
      </c>
    </row>
    <row r="275" spans="1:21" x14ac:dyDescent="0.25">
      <c r="A275" s="2" t="s">
        <v>565</v>
      </c>
      <c r="B275" s="2" t="s">
        <v>566</v>
      </c>
      <c r="C275" s="1">
        <v>45793</v>
      </c>
      <c r="D275" s="2" t="s">
        <v>80</v>
      </c>
      <c r="E275" s="2" t="s">
        <v>46</v>
      </c>
      <c r="F275" s="2" t="s">
        <v>47</v>
      </c>
      <c r="G275">
        <v>2</v>
      </c>
      <c r="H275" s="2" t="s">
        <v>77</v>
      </c>
      <c r="I275">
        <v>66</v>
      </c>
      <c r="J275">
        <v>0</v>
      </c>
      <c r="K275">
        <v>0</v>
      </c>
      <c r="L275">
        <v>21.48</v>
      </c>
      <c r="M275">
        <v>31.98</v>
      </c>
      <c r="N275">
        <v>5.28</v>
      </c>
      <c r="O275">
        <v>2.21</v>
      </c>
      <c r="P275" s="2" t="s">
        <v>42</v>
      </c>
      <c r="Q275">
        <v>0</v>
      </c>
      <c r="R275">
        <v>66</v>
      </c>
      <c r="S275">
        <v>60.95</v>
      </c>
      <c r="T275">
        <v>5.05</v>
      </c>
      <c r="U275">
        <f t="shared" si="4"/>
        <v>0</v>
      </c>
    </row>
    <row r="276" spans="1:21" x14ac:dyDescent="0.25">
      <c r="A276" s="2" t="s">
        <v>567</v>
      </c>
      <c r="B276" s="2" t="s">
        <v>568</v>
      </c>
      <c r="C276" s="1">
        <v>45810</v>
      </c>
      <c r="D276" s="2" t="s">
        <v>38</v>
      </c>
      <c r="E276" s="2" t="s">
        <v>46</v>
      </c>
      <c r="F276" s="2" t="s">
        <v>85</v>
      </c>
      <c r="G276">
        <v>4</v>
      </c>
      <c r="H276" s="2" t="s">
        <v>77</v>
      </c>
      <c r="I276">
        <v>301.87</v>
      </c>
      <c r="J276">
        <v>0</v>
      </c>
      <c r="K276">
        <v>0</v>
      </c>
      <c r="L276">
        <v>72.52</v>
      </c>
      <c r="M276">
        <v>122.66</v>
      </c>
      <c r="N276">
        <v>0</v>
      </c>
      <c r="O276">
        <v>9.0500000000000007</v>
      </c>
      <c r="P276" s="2" t="s">
        <v>42</v>
      </c>
      <c r="Q276">
        <v>0</v>
      </c>
      <c r="R276">
        <v>301.87</v>
      </c>
      <c r="S276">
        <v>204.23</v>
      </c>
      <c r="T276">
        <v>97.64</v>
      </c>
      <c r="U276">
        <f t="shared" si="4"/>
        <v>0</v>
      </c>
    </row>
    <row r="277" spans="1:21" x14ac:dyDescent="0.25">
      <c r="A277" s="2" t="s">
        <v>569</v>
      </c>
      <c r="B277" s="2" t="s">
        <v>570</v>
      </c>
      <c r="C277" s="1">
        <v>45869</v>
      </c>
      <c r="D277" s="2" t="s">
        <v>38</v>
      </c>
      <c r="E277" s="2" t="s">
        <v>46</v>
      </c>
      <c r="F277" s="2" t="s">
        <v>47</v>
      </c>
      <c r="G277">
        <v>2</v>
      </c>
      <c r="H277" s="2" t="s">
        <v>56</v>
      </c>
      <c r="I277">
        <v>129.9</v>
      </c>
      <c r="J277">
        <v>15</v>
      </c>
      <c r="K277">
        <v>19.48</v>
      </c>
      <c r="L277">
        <v>15.8</v>
      </c>
      <c r="M277">
        <v>44.45</v>
      </c>
      <c r="N277">
        <v>0</v>
      </c>
      <c r="O277">
        <v>3.5</v>
      </c>
      <c r="P277" s="2" t="s">
        <v>68</v>
      </c>
      <c r="Q277">
        <v>110.42</v>
      </c>
      <c r="R277">
        <v>0</v>
      </c>
      <c r="S277">
        <v>63.75</v>
      </c>
      <c r="T277">
        <v>-63.75</v>
      </c>
      <c r="U277">
        <f t="shared" si="4"/>
        <v>0</v>
      </c>
    </row>
    <row r="278" spans="1:21" x14ac:dyDescent="0.25">
      <c r="A278" s="2" t="s">
        <v>571</v>
      </c>
      <c r="B278" s="2" t="s">
        <v>572</v>
      </c>
      <c r="C278" s="1">
        <v>45912</v>
      </c>
      <c r="D278" s="2" t="s">
        <v>59</v>
      </c>
      <c r="E278" s="2" t="s">
        <v>46</v>
      </c>
      <c r="F278" s="2" t="s">
        <v>47</v>
      </c>
      <c r="G278">
        <v>1</v>
      </c>
      <c r="H278" s="2" t="s">
        <v>56</v>
      </c>
      <c r="I278">
        <v>48.46</v>
      </c>
      <c r="J278">
        <v>0</v>
      </c>
      <c r="K278">
        <v>0</v>
      </c>
      <c r="L278">
        <v>13.4</v>
      </c>
      <c r="M278">
        <v>25.94</v>
      </c>
      <c r="N278">
        <v>7.27</v>
      </c>
      <c r="O278">
        <v>1.71</v>
      </c>
      <c r="P278" s="2" t="s">
        <v>42</v>
      </c>
      <c r="Q278">
        <v>0</v>
      </c>
      <c r="R278">
        <v>48.46</v>
      </c>
      <c r="S278">
        <v>48.32</v>
      </c>
      <c r="T278">
        <v>0.14000000000000001</v>
      </c>
      <c r="U278">
        <f t="shared" si="4"/>
        <v>0</v>
      </c>
    </row>
    <row r="279" spans="1:21" x14ac:dyDescent="0.25">
      <c r="A279" s="2" t="s">
        <v>573</v>
      </c>
      <c r="B279" s="2" t="s">
        <v>574</v>
      </c>
      <c r="C279" s="1">
        <v>45664</v>
      </c>
      <c r="D279" s="2" t="s">
        <v>45</v>
      </c>
      <c r="E279" s="2" t="s">
        <v>46</v>
      </c>
      <c r="F279" s="2" t="s">
        <v>51</v>
      </c>
      <c r="G279">
        <v>1</v>
      </c>
      <c r="H279" s="2" t="s">
        <v>77</v>
      </c>
      <c r="I279">
        <v>52.77</v>
      </c>
      <c r="J279">
        <v>0</v>
      </c>
      <c r="K279">
        <v>0</v>
      </c>
      <c r="L279">
        <v>44.34</v>
      </c>
      <c r="M279">
        <v>18.93</v>
      </c>
      <c r="N279">
        <v>0</v>
      </c>
      <c r="O279">
        <v>1.83</v>
      </c>
      <c r="P279" s="2" t="s">
        <v>42</v>
      </c>
      <c r="Q279">
        <v>0</v>
      </c>
      <c r="R279">
        <v>52.77</v>
      </c>
      <c r="S279">
        <v>65.099999999999994</v>
      </c>
      <c r="T279">
        <v>-12.33</v>
      </c>
      <c r="U279">
        <f t="shared" si="4"/>
        <v>1</v>
      </c>
    </row>
    <row r="280" spans="1:21" x14ac:dyDescent="0.25">
      <c r="A280" s="2" t="s">
        <v>575</v>
      </c>
      <c r="B280" s="2" t="s">
        <v>576</v>
      </c>
      <c r="C280" s="1">
        <v>45585</v>
      </c>
      <c r="D280" s="2" t="s">
        <v>45</v>
      </c>
      <c r="E280" s="2" t="s">
        <v>71</v>
      </c>
      <c r="F280" s="2" t="s">
        <v>40</v>
      </c>
      <c r="G280">
        <v>1</v>
      </c>
      <c r="H280" s="2" t="s">
        <v>77</v>
      </c>
      <c r="I280">
        <v>26.5</v>
      </c>
      <c r="J280">
        <v>15</v>
      </c>
      <c r="K280">
        <v>3.98</v>
      </c>
      <c r="L280">
        <v>5.5</v>
      </c>
      <c r="M280">
        <v>8.06</v>
      </c>
      <c r="N280">
        <v>0</v>
      </c>
      <c r="O280">
        <v>0.95</v>
      </c>
      <c r="P280" s="2" t="s">
        <v>42</v>
      </c>
      <c r="Q280">
        <v>0</v>
      </c>
      <c r="R280">
        <v>22.52</v>
      </c>
      <c r="S280">
        <v>14.51</v>
      </c>
      <c r="T280">
        <v>8.01</v>
      </c>
      <c r="U280">
        <f t="shared" si="4"/>
        <v>0</v>
      </c>
    </row>
    <row r="281" spans="1:21" x14ac:dyDescent="0.25">
      <c r="A281" s="2" t="s">
        <v>577</v>
      </c>
      <c r="B281" s="2" t="s">
        <v>578</v>
      </c>
      <c r="C281" s="1">
        <v>45639</v>
      </c>
      <c r="D281" s="2" t="s">
        <v>59</v>
      </c>
      <c r="E281" s="2" t="s">
        <v>55</v>
      </c>
      <c r="F281" s="2" t="s">
        <v>40</v>
      </c>
      <c r="G281">
        <v>3</v>
      </c>
      <c r="H281" s="2" t="s">
        <v>111</v>
      </c>
      <c r="I281">
        <v>109.44</v>
      </c>
      <c r="J281">
        <v>5</v>
      </c>
      <c r="K281">
        <v>5.47</v>
      </c>
      <c r="L281">
        <v>44.08</v>
      </c>
      <c r="M281">
        <v>40.44</v>
      </c>
      <c r="N281">
        <v>15.6</v>
      </c>
      <c r="O281">
        <v>3.32</v>
      </c>
      <c r="P281" s="2" t="s">
        <v>42</v>
      </c>
      <c r="Q281">
        <v>0</v>
      </c>
      <c r="R281">
        <v>103.97</v>
      </c>
      <c r="S281">
        <v>103.44</v>
      </c>
      <c r="T281">
        <v>0.53</v>
      </c>
      <c r="U281">
        <f t="shared" si="4"/>
        <v>0</v>
      </c>
    </row>
    <row r="282" spans="1:21" x14ac:dyDescent="0.25">
      <c r="A282" s="2" t="s">
        <v>579</v>
      </c>
      <c r="B282" s="2" t="s">
        <v>580</v>
      </c>
      <c r="C282" s="1">
        <v>45869</v>
      </c>
      <c r="D282" s="2" t="s">
        <v>38</v>
      </c>
      <c r="E282" s="2" t="s">
        <v>46</v>
      </c>
      <c r="F282" s="2" t="s">
        <v>47</v>
      </c>
      <c r="G282">
        <v>2</v>
      </c>
      <c r="H282" s="2" t="s">
        <v>56</v>
      </c>
      <c r="I282">
        <v>72.760000000000005</v>
      </c>
      <c r="J282">
        <v>0</v>
      </c>
      <c r="K282">
        <v>0</v>
      </c>
      <c r="L282">
        <v>17.62</v>
      </c>
      <c r="M282">
        <v>29.88</v>
      </c>
      <c r="N282">
        <v>0</v>
      </c>
      <c r="O282">
        <v>2.41</v>
      </c>
      <c r="P282" s="2" t="s">
        <v>68</v>
      </c>
      <c r="Q282">
        <v>72.760000000000005</v>
      </c>
      <c r="R282">
        <v>0</v>
      </c>
      <c r="S282">
        <v>49.91</v>
      </c>
      <c r="T282">
        <v>-49.91</v>
      </c>
      <c r="U282">
        <f t="shared" si="4"/>
        <v>0</v>
      </c>
    </row>
    <row r="283" spans="1:21" x14ac:dyDescent="0.25">
      <c r="A283" s="2" t="s">
        <v>581</v>
      </c>
      <c r="B283" s="2" t="s">
        <v>367</v>
      </c>
      <c r="C283" s="1">
        <v>45798</v>
      </c>
      <c r="D283" s="2" t="s">
        <v>38</v>
      </c>
      <c r="E283" s="2" t="s">
        <v>46</v>
      </c>
      <c r="F283" s="2" t="s">
        <v>40</v>
      </c>
      <c r="G283">
        <v>2</v>
      </c>
      <c r="H283" s="2" t="s">
        <v>52</v>
      </c>
      <c r="I283">
        <v>116.3</v>
      </c>
      <c r="J283">
        <v>10</v>
      </c>
      <c r="K283">
        <v>11.63</v>
      </c>
      <c r="L283">
        <v>8.2799999999999994</v>
      </c>
      <c r="M283">
        <v>45.44</v>
      </c>
      <c r="N283">
        <v>0</v>
      </c>
      <c r="O283">
        <v>3.34</v>
      </c>
      <c r="P283" s="2" t="s">
        <v>42</v>
      </c>
      <c r="Q283">
        <v>0</v>
      </c>
      <c r="R283">
        <v>104.67</v>
      </c>
      <c r="S283">
        <v>57.06</v>
      </c>
      <c r="T283">
        <v>47.61</v>
      </c>
      <c r="U283">
        <f t="shared" si="4"/>
        <v>0</v>
      </c>
    </row>
    <row r="284" spans="1:21" x14ac:dyDescent="0.25">
      <c r="A284" s="2" t="s">
        <v>582</v>
      </c>
      <c r="B284" s="2" t="s">
        <v>583</v>
      </c>
      <c r="C284" s="1">
        <v>45819</v>
      </c>
      <c r="D284" s="2" t="s">
        <v>80</v>
      </c>
      <c r="E284" s="2" t="s">
        <v>46</v>
      </c>
      <c r="F284" s="2" t="s">
        <v>51</v>
      </c>
      <c r="G284">
        <v>1</v>
      </c>
      <c r="H284" s="2" t="s">
        <v>111</v>
      </c>
      <c r="I284">
        <v>36.86</v>
      </c>
      <c r="J284">
        <v>5</v>
      </c>
      <c r="K284">
        <v>1.84</v>
      </c>
      <c r="L284">
        <v>5.5</v>
      </c>
      <c r="M284">
        <v>19.670000000000002</v>
      </c>
      <c r="N284">
        <v>2.8</v>
      </c>
      <c r="O284">
        <v>1.32</v>
      </c>
      <c r="P284" s="2" t="s">
        <v>42</v>
      </c>
      <c r="Q284">
        <v>0</v>
      </c>
      <c r="R284">
        <v>35.020000000000003</v>
      </c>
      <c r="S284">
        <v>29.29</v>
      </c>
      <c r="T284">
        <v>5.73</v>
      </c>
      <c r="U284">
        <f t="shared" si="4"/>
        <v>1</v>
      </c>
    </row>
    <row r="285" spans="1:21" x14ac:dyDescent="0.25">
      <c r="A285" s="2" t="s">
        <v>584</v>
      </c>
      <c r="B285" s="2" t="s">
        <v>585</v>
      </c>
      <c r="C285" s="1">
        <v>45432</v>
      </c>
      <c r="D285" s="2" t="s">
        <v>80</v>
      </c>
      <c r="E285" s="2" t="s">
        <v>46</v>
      </c>
      <c r="F285" s="2" t="s">
        <v>94</v>
      </c>
      <c r="G285">
        <v>5</v>
      </c>
      <c r="H285" s="2" t="s">
        <v>41</v>
      </c>
      <c r="I285">
        <v>876.75</v>
      </c>
      <c r="J285">
        <v>10</v>
      </c>
      <c r="K285">
        <v>87.67</v>
      </c>
      <c r="L285">
        <v>79.14</v>
      </c>
      <c r="M285">
        <v>288.27</v>
      </c>
      <c r="N285">
        <v>63.13</v>
      </c>
      <c r="O285">
        <v>23.18</v>
      </c>
      <c r="P285" s="2" t="s">
        <v>42</v>
      </c>
      <c r="Q285">
        <v>0</v>
      </c>
      <c r="R285">
        <v>789.08</v>
      </c>
      <c r="S285">
        <v>453.72</v>
      </c>
      <c r="T285">
        <v>335.36</v>
      </c>
      <c r="U285">
        <f t="shared" si="4"/>
        <v>0</v>
      </c>
    </row>
    <row r="286" spans="1:21" x14ac:dyDescent="0.25">
      <c r="A286" s="2" t="s">
        <v>586</v>
      </c>
      <c r="B286" s="2" t="s">
        <v>587</v>
      </c>
      <c r="C286" s="1">
        <v>45734</v>
      </c>
      <c r="D286" s="2" t="s">
        <v>80</v>
      </c>
      <c r="E286" s="2" t="s">
        <v>46</v>
      </c>
      <c r="F286" s="2" t="s">
        <v>40</v>
      </c>
      <c r="G286">
        <v>3</v>
      </c>
      <c r="H286" s="2" t="s">
        <v>48</v>
      </c>
      <c r="I286">
        <v>68.22</v>
      </c>
      <c r="J286">
        <v>0</v>
      </c>
      <c r="K286">
        <v>0</v>
      </c>
      <c r="L286">
        <v>30.1</v>
      </c>
      <c r="M286">
        <v>34.82</v>
      </c>
      <c r="N286">
        <v>5.46</v>
      </c>
      <c r="O286">
        <v>2.2799999999999998</v>
      </c>
      <c r="P286" s="2" t="s">
        <v>42</v>
      </c>
      <c r="Q286">
        <v>0</v>
      </c>
      <c r="R286">
        <v>68.22</v>
      </c>
      <c r="S286">
        <v>72.66</v>
      </c>
      <c r="T286">
        <v>-4.4400000000000004</v>
      </c>
      <c r="U286">
        <f t="shared" si="4"/>
        <v>0</v>
      </c>
    </row>
    <row r="287" spans="1:21" x14ac:dyDescent="0.25">
      <c r="A287" s="2" t="s">
        <v>588</v>
      </c>
      <c r="B287" s="2" t="s">
        <v>589</v>
      </c>
      <c r="C287" s="1">
        <v>45813</v>
      </c>
      <c r="D287" s="2" t="s">
        <v>38</v>
      </c>
      <c r="E287" s="2" t="s">
        <v>39</v>
      </c>
      <c r="F287" s="2" t="s">
        <v>94</v>
      </c>
      <c r="G287">
        <v>1</v>
      </c>
      <c r="H287" s="2" t="s">
        <v>41</v>
      </c>
      <c r="I287">
        <v>91.57</v>
      </c>
      <c r="J287">
        <v>0</v>
      </c>
      <c r="K287">
        <v>0</v>
      </c>
      <c r="L287">
        <v>15.5</v>
      </c>
      <c r="M287">
        <v>26.92</v>
      </c>
      <c r="N287">
        <v>0</v>
      </c>
      <c r="O287">
        <v>2.96</v>
      </c>
      <c r="P287" s="2" t="s">
        <v>42</v>
      </c>
      <c r="Q287">
        <v>0</v>
      </c>
      <c r="R287">
        <v>91.57</v>
      </c>
      <c r="S287">
        <v>45.38</v>
      </c>
      <c r="T287">
        <v>46.19</v>
      </c>
      <c r="U287">
        <f t="shared" si="4"/>
        <v>0</v>
      </c>
    </row>
    <row r="288" spans="1:21" x14ac:dyDescent="0.25">
      <c r="A288" s="2" t="s">
        <v>590</v>
      </c>
      <c r="B288" s="2" t="s">
        <v>591</v>
      </c>
      <c r="C288" s="1">
        <v>45782</v>
      </c>
      <c r="D288" s="2" t="s">
        <v>38</v>
      </c>
      <c r="E288" s="2" t="s">
        <v>39</v>
      </c>
      <c r="F288" s="2" t="s">
        <v>47</v>
      </c>
      <c r="G288">
        <v>4</v>
      </c>
      <c r="H288" s="2" t="s">
        <v>74</v>
      </c>
      <c r="I288">
        <v>121.12</v>
      </c>
      <c r="J288">
        <v>5</v>
      </c>
      <c r="K288">
        <v>6.06</v>
      </c>
      <c r="L288">
        <v>49.42</v>
      </c>
      <c r="M288">
        <v>59.64</v>
      </c>
      <c r="N288">
        <v>0</v>
      </c>
      <c r="O288">
        <v>3.64</v>
      </c>
      <c r="P288" s="2" t="s">
        <v>42</v>
      </c>
      <c r="Q288">
        <v>0</v>
      </c>
      <c r="R288">
        <v>115.06</v>
      </c>
      <c r="S288">
        <v>112.7</v>
      </c>
      <c r="T288">
        <v>2.36</v>
      </c>
      <c r="U288">
        <f t="shared" si="4"/>
        <v>0</v>
      </c>
    </row>
    <row r="289" spans="1:21" x14ac:dyDescent="0.25">
      <c r="A289" s="2" t="s">
        <v>592</v>
      </c>
      <c r="B289" s="2" t="s">
        <v>593</v>
      </c>
      <c r="C289" s="1">
        <v>45722</v>
      </c>
      <c r="D289" s="2" t="s">
        <v>80</v>
      </c>
      <c r="E289" s="2" t="s">
        <v>55</v>
      </c>
      <c r="F289" s="2" t="s">
        <v>85</v>
      </c>
      <c r="G289">
        <v>2</v>
      </c>
      <c r="H289" s="2" t="s">
        <v>41</v>
      </c>
      <c r="I289">
        <v>145.65</v>
      </c>
      <c r="J289">
        <v>0</v>
      </c>
      <c r="K289">
        <v>0</v>
      </c>
      <c r="L289">
        <v>46.44</v>
      </c>
      <c r="M289">
        <v>54.27</v>
      </c>
      <c r="N289">
        <v>11.65</v>
      </c>
      <c r="O289">
        <v>4.5199999999999996</v>
      </c>
      <c r="P289" s="2" t="s">
        <v>42</v>
      </c>
      <c r="Q289">
        <v>0</v>
      </c>
      <c r="R289">
        <v>145.65</v>
      </c>
      <c r="S289">
        <v>116.88</v>
      </c>
      <c r="T289">
        <v>28.77</v>
      </c>
      <c r="U289">
        <f t="shared" si="4"/>
        <v>0</v>
      </c>
    </row>
    <row r="290" spans="1:21" x14ac:dyDescent="0.25">
      <c r="A290" s="2" t="s">
        <v>594</v>
      </c>
      <c r="B290" s="2" t="s">
        <v>595</v>
      </c>
      <c r="C290" s="1">
        <v>45767</v>
      </c>
      <c r="D290" s="2" t="s">
        <v>45</v>
      </c>
      <c r="E290" s="2" t="s">
        <v>71</v>
      </c>
      <c r="F290" s="2" t="s">
        <v>51</v>
      </c>
      <c r="G290">
        <v>1</v>
      </c>
      <c r="H290" s="2" t="s">
        <v>64</v>
      </c>
      <c r="I290">
        <v>147.02000000000001</v>
      </c>
      <c r="J290">
        <v>10</v>
      </c>
      <c r="K290">
        <v>14.7</v>
      </c>
      <c r="L290">
        <v>21.08</v>
      </c>
      <c r="M290">
        <v>50.04</v>
      </c>
      <c r="N290">
        <v>0</v>
      </c>
      <c r="O290">
        <v>4.1399999999999997</v>
      </c>
      <c r="P290" s="2" t="s">
        <v>42</v>
      </c>
      <c r="Q290">
        <v>0</v>
      </c>
      <c r="R290">
        <v>132.32</v>
      </c>
      <c r="S290">
        <v>75.260000000000005</v>
      </c>
      <c r="T290">
        <v>57.06</v>
      </c>
      <c r="U290">
        <f t="shared" si="4"/>
        <v>0</v>
      </c>
    </row>
    <row r="291" spans="1:21" x14ac:dyDescent="0.25">
      <c r="A291" s="2" t="s">
        <v>596</v>
      </c>
      <c r="B291" s="2" t="s">
        <v>530</v>
      </c>
      <c r="C291" s="1">
        <v>45849</v>
      </c>
      <c r="D291" s="2" t="s">
        <v>80</v>
      </c>
      <c r="E291" s="2" t="s">
        <v>55</v>
      </c>
      <c r="F291" s="2" t="s">
        <v>85</v>
      </c>
      <c r="G291">
        <v>1</v>
      </c>
      <c r="H291" s="2" t="s">
        <v>41</v>
      </c>
      <c r="I291">
        <v>24.38</v>
      </c>
      <c r="J291">
        <v>25</v>
      </c>
      <c r="K291">
        <v>6.09</v>
      </c>
      <c r="L291">
        <v>13.9</v>
      </c>
      <c r="M291">
        <v>16.190000000000001</v>
      </c>
      <c r="N291">
        <v>1.46</v>
      </c>
      <c r="O291">
        <v>0.83</v>
      </c>
      <c r="P291" s="2" t="s">
        <v>68</v>
      </c>
      <c r="Q291">
        <v>18.29</v>
      </c>
      <c r="R291">
        <v>0</v>
      </c>
      <c r="S291">
        <v>32.380000000000003</v>
      </c>
      <c r="T291">
        <v>-32.380000000000003</v>
      </c>
      <c r="U291">
        <f t="shared" si="4"/>
        <v>0</v>
      </c>
    </row>
    <row r="292" spans="1:21" x14ac:dyDescent="0.25">
      <c r="A292" s="2" t="s">
        <v>597</v>
      </c>
      <c r="B292" s="2" t="s">
        <v>598</v>
      </c>
      <c r="C292" s="1">
        <v>45848</v>
      </c>
      <c r="D292" s="2" t="s">
        <v>59</v>
      </c>
      <c r="E292" s="2" t="s">
        <v>55</v>
      </c>
      <c r="F292" s="2" t="s">
        <v>51</v>
      </c>
      <c r="G292">
        <v>1</v>
      </c>
      <c r="H292" s="2" t="s">
        <v>56</v>
      </c>
      <c r="I292">
        <v>36.01</v>
      </c>
      <c r="J292">
        <v>25</v>
      </c>
      <c r="K292">
        <v>9</v>
      </c>
      <c r="L292">
        <v>9.66</v>
      </c>
      <c r="M292">
        <v>11.64</v>
      </c>
      <c r="N292">
        <v>4.05</v>
      </c>
      <c r="O292">
        <v>1.08</v>
      </c>
      <c r="P292" s="2" t="s">
        <v>42</v>
      </c>
      <c r="Q292">
        <v>0</v>
      </c>
      <c r="R292">
        <v>27.01</v>
      </c>
      <c r="S292">
        <v>26.43</v>
      </c>
      <c r="T292">
        <v>0.57999999999999996</v>
      </c>
      <c r="U292">
        <f t="shared" si="4"/>
        <v>0</v>
      </c>
    </row>
    <row r="293" spans="1:21" x14ac:dyDescent="0.25">
      <c r="A293" s="2" t="s">
        <v>599</v>
      </c>
      <c r="B293" s="2" t="s">
        <v>433</v>
      </c>
      <c r="C293" s="1">
        <v>45966</v>
      </c>
      <c r="D293" s="2" t="s">
        <v>38</v>
      </c>
      <c r="E293" s="2" t="s">
        <v>46</v>
      </c>
      <c r="F293" s="2" t="s">
        <v>51</v>
      </c>
      <c r="G293">
        <v>2</v>
      </c>
      <c r="H293" s="2" t="s">
        <v>48</v>
      </c>
      <c r="I293">
        <v>63.92</v>
      </c>
      <c r="J293">
        <v>20</v>
      </c>
      <c r="K293">
        <v>12.78</v>
      </c>
      <c r="L293">
        <v>31.86</v>
      </c>
      <c r="M293">
        <v>24.02</v>
      </c>
      <c r="N293">
        <v>0</v>
      </c>
      <c r="O293">
        <v>1.78</v>
      </c>
      <c r="P293" s="2" t="s">
        <v>42</v>
      </c>
      <c r="Q293">
        <v>0</v>
      </c>
      <c r="R293">
        <v>51.14</v>
      </c>
      <c r="S293">
        <v>57.66</v>
      </c>
      <c r="T293">
        <v>-6.52</v>
      </c>
      <c r="U293">
        <f t="shared" si="4"/>
        <v>1</v>
      </c>
    </row>
    <row r="294" spans="1:21" x14ac:dyDescent="0.25">
      <c r="A294" s="2" t="s">
        <v>600</v>
      </c>
      <c r="B294" s="2" t="s">
        <v>580</v>
      </c>
      <c r="C294" s="1">
        <v>45895</v>
      </c>
      <c r="D294" s="2" t="s">
        <v>38</v>
      </c>
      <c r="E294" s="2" t="s">
        <v>39</v>
      </c>
      <c r="F294" s="2" t="s">
        <v>47</v>
      </c>
      <c r="G294">
        <v>2</v>
      </c>
      <c r="H294" s="2" t="s">
        <v>48</v>
      </c>
      <c r="I294">
        <v>76.59</v>
      </c>
      <c r="J294">
        <v>15</v>
      </c>
      <c r="K294">
        <v>11.49</v>
      </c>
      <c r="L294">
        <v>17.88</v>
      </c>
      <c r="M294">
        <v>32.04</v>
      </c>
      <c r="N294">
        <v>0</v>
      </c>
      <c r="O294">
        <v>2.19</v>
      </c>
      <c r="P294" s="2" t="s">
        <v>42</v>
      </c>
      <c r="Q294">
        <v>0</v>
      </c>
      <c r="R294">
        <v>65.099999999999994</v>
      </c>
      <c r="S294">
        <v>52.11</v>
      </c>
      <c r="T294">
        <v>12.99</v>
      </c>
      <c r="U294">
        <f t="shared" si="4"/>
        <v>0</v>
      </c>
    </row>
    <row r="295" spans="1:21" x14ac:dyDescent="0.25">
      <c r="A295" s="2" t="s">
        <v>601</v>
      </c>
      <c r="B295" s="2" t="s">
        <v>461</v>
      </c>
      <c r="C295" s="1">
        <v>45616</v>
      </c>
      <c r="D295" s="2" t="s">
        <v>45</v>
      </c>
      <c r="E295" s="2" t="s">
        <v>46</v>
      </c>
      <c r="F295" s="2" t="s">
        <v>40</v>
      </c>
      <c r="G295">
        <v>1</v>
      </c>
      <c r="H295" s="2" t="s">
        <v>64</v>
      </c>
      <c r="I295">
        <v>63.51</v>
      </c>
      <c r="J295">
        <v>15</v>
      </c>
      <c r="K295">
        <v>9.5299999999999994</v>
      </c>
      <c r="L295">
        <v>7.9</v>
      </c>
      <c r="M295">
        <v>31.27</v>
      </c>
      <c r="N295">
        <v>0</v>
      </c>
      <c r="O295">
        <v>1.87</v>
      </c>
      <c r="P295" s="2" t="s">
        <v>42</v>
      </c>
      <c r="Q295">
        <v>0</v>
      </c>
      <c r="R295">
        <v>53.98</v>
      </c>
      <c r="S295">
        <v>41.04</v>
      </c>
      <c r="T295">
        <v>12.94</v>
      </c>
      <c r="U295">
        <f t="shared" si="4"/>
        <v>0</v>
      </c>
    </row>
    <row r="296" spans="1:21" x14ac:dyDescent="0.25">
      <c r="A296" s="2" t="s">
        <v>602</v>
      </c>
      <c r="B296" s="2" t="s">
        <v>603</v>
      </c>
      <c r="C296" s="1">
        <v>45706</v>
      </c>
      <c r="D296" s="2" t="s">
        <v>45</v>
      </c>
      <c r="E296" s="2" t="s">
        <v>46</v>
      </c>
      <c r="F296" s="2" t="s">
        <v>40</v>
      </c>
      <c r="G296">
        <v>1</v>
      </c>
      <c r="H296" s="2" t="s">
        <v>41</v>
      </c>
      <c r="I296">
        <v>20.67</v>
      </c>
      <c r="J296">
        <v>20</v>
      </c>
      <c r="K296">
        <v>4.13</v>
      </c>
      <c r="L296">
        <v>4.3</v>
      </c>
      <c r="M296">
        <v>5.96</v>
      </c>
      <c r="N296">
        <v>0</v>
      </c>
      <c r="O296">
        <v>0.78</v>
      </c>
      <c r="P296" s="2" t="s">
        <v>42</v>
      </c>
      <c r="Q296">
        <v>0</v>
      </c>
      <c r="R296">
        <v>16.54</v>
      </c>
      <c r="S296">
        <v>11.04</v>
      </c>
      <c r="T296">
        <v>5.5</v>
      </c>
      <c r="U296">
        <f t="shared" si="4"/>
        <v>0</v>
      </c>
    </row>
    <row r="297" spans="1:21" x14ac:dyDescent="0.25">
      <c r="A297" s="2" t="s">
        <v>604</v>
      </c>
      <c r="B297" s="2" t="s">
        <v>605</v>
      </c>
      <c r="C297" s="1">
        <v>45471</v>
      </c>
      <c r="D297" s="2" t="s">
        <v>38</v>
      </c>
      <c r="E297" s="2" t="s">
        <v>71</v>
      </c>
      <c r="F297" s="2" t="s">
        <v>47</v>
      </c>
      <c r="G297">
        <v>3</v>
      </c>
      <c r="H297" s="2" t="s">
        <v>74</v>
      </c>
      <c r="I297">
        <v>364.34</v>
      </c>
      <c r="J297">
        <v>15</v>
      </c>
      <c r="K297">
        <v>54.65</v>
      </c>
      <c r="L297">
        <v>50.36</v>
      </c>
      <c r="M297">
        <v>129.55000000000001</v>
      </c>
      <c r="N297">
        <v>0</v>
      </c>
      <c r="O297">
        <v>9.2799999999999994</v>
      </c>
      <c r="P297" s="2" t="s">
        <v>68</v>
      </c>
      <c r="Q297">
        <v>309.69</v>
      </c>
      <c r="R297">
        <v>0</v>
      </c>
      <c r="S297">
        <v>189.19</v>
      </c>
      <c r="T297">
        <v>-189.19</v>
      </c>
      <c r="U297">
        <f t="shared" si="4"/>
        <v>0</v>
      </c>
    </row>
    <row r="298" spans="1:21" x14ac:dyDescent="0.25">
      <c r="A298" s="2" t="s">
        <v>606</v>
      </c>
      <c r="B298" s="2" t="s">
        <v>404</v>
      </c>
      <c r="C298" s="1">
        <v>45786</v>
      </c>
      <c r="D298" s="2" t="s">
        <v>38</v>
      </c>
      <c r="E298" s="2" t="s">
        <v>55</v>
      </c>
      <c r="F298" s="2" t="s">
        <v>40</v>
      </c>
      <c r="G298">
        <v>1</v>
      </c>
      <c r="H298" s="2" t="s">
        <v>41</v>
      </c>
      <c r="I298">
        <v>645.48</v>
      </c>
      <c r="J298">
        <v>0</v>
      </c>
      <c r="K298">
        <v>0</v>
      </c>
      <c r="L298">
        <v>31.38</v>
      </c>
      <c r="M298">
        <v>188.16</v>
      </c>
      <c r="N298">
        <v>0</v>
      </c>
      <c r="O298">
        <v>19.02</v>
      </c>
      <c r="P298" s="2" t="s">
        <v>42</v>
      </c>
      <c r="Q298">
        <v>0</v>
      </c>
      <c r="R298">
        <v>645.48</v>
      </c>
      <c r="S298">
        <v>238.56</v>
      </c>
      <c r="T298">
        <v>406.92</v>
      </c>
      <c r="U298">
        <f t="shared" si="4"/>
        <v>0</v>
      </c>
    </row>
    <row r="299" spans="1:21" x14ac:dyDescent="0.25">
      <c r="A299" s="2" t="s">
        <v>607</v>
      </c>
      <c r="B299" s="2" t="s">
        <v>338</v>
      </c>
      <c r="C299" s="1">
        <v>45605</v>
      </c>
      <c r="D299" s="2" t="s">
        <v>38</v>
      </c>
      <c r="E299" s="2" t="s">
        <v>46</v>
      </c>
      <c r="F299" s="2" t="s">
        <v>51</v>
      </c>
      <c r="G299">
        <v>1</v>
      </c>
      <c r="H299" s="2" t="s">
        <v>74</v>
      </c>
      <c r="I299">
        <v>86.62</v>
      </c>
      <c r="J299">
        <v>0</v>
      </c>
      <c r="K299">
        <v>0</v>
      </c>
      <c r="L299">
        <v>7.58</v>
      </c>
      <c r="M299">
        <v>37.79</v>
      </c>
      <c r="N299">
        <v>0</v>
      </c>
      <c r="O299">
        <v>2.81</v>
      </c>
      <c r="P299" s="2" t="s">
        <v>42</v>
      </c>
      <c r="Q299">
        <v>0</v>
      </c>
      <c r="R299">
        <v>86.62</v>
      </c>
      <c r="S299">
        <v>48.18</v>
      </c>
      <c r="T299">
        <v>38.44</v>
      </c>
      <c r="U299">
        <f t="shared" si="4"/>
        <v>1</v>
      </c>
    </row>
    <row r="300" spans="1:21" x14ac:dyDescent="0.25">
      <c r="A300" s="2" t="s">
        <v>608</v>
      </c>
      <c r="B300" s="2" t="s">
        <v>609</v>
      </c>
      <c r="C300" s="1">
        <v>45436</v>
      </c>
      <c r="D300" s="2" t="s">
        <v>38</v>
      </c>
      <c r="E300" s="2" t="s">
        <v>39</v>
      </c>
      <c r="F300" s="2" t="s">
        <v>47</v>
      </c>
      <c r="G300">
        <v>1</v>
      </c>
      <c r="H300" s="2" t="s">
        <v>41</v>
      </c>
      <c r="I300">
        <v>215.16</v>
      </c>
      <c r="J300">
        <v>0</v>
      </c>
      <c r="K300">
        <v>0</v>
      </c>
      <c r="L300">
        <v>10.46</v>
      </c>
      <c r="M300">
        <v>62.72</v>
      </c>
      <c r="N300">
        <v>0</v>
      </c>
      <c r="O300">
        <v>6.54</v>
      </c>
      <c r="P300" s="2" t="s">
        <v>42</v>
      </c>
      <c r="Q300">
        <v>0</v>
      </c>
      <c r="R300">
        <v>215.16</v>
      </c>
      <c r="S300">
        <v>79.72</v>
      </c>
      <c r="T300">
        <v>135.44</v>
      </c>
      <c r="U300">
        <f t="shared" si="4"/>
        <v>0</v>
      </c>
    </row>
    <row r="301" spans="1:21" x14ac:dyDescent="0.25">
      <c r="A301" s="2" t="s">
        <v>610</v>
      </c>
      <c r="B301" s="2" t="s">
        <v>61</v>
      </c>
      <c r="C301" s="1">
        <v>45649</v>
      </c>
      <c r="D301" s="2" t="s">
        <v>80</v>
      </c>
      <c r="E301" s="2" t="s">
        <v>71</v>
      </c>
      <c r="F301" s="2" t="s">
        <v>51</v>
      </c>
      <c r="G301">
        <v>1</v>
      </c>
      <c r="H301" s="2" t="s">
        <v>56</v>
      </c>
      <c r="I301">
        <v>14.58</v>
      </c>
      <c r="J301">
        <v>0</v>
      </c>
      <c r="K301">
        <v>0</v>
      </c>
      <c r="L301">
        <v>9.1</v>
      </c>
      <c r="M301">
        <v>4.3600000000000003</v>
      </c>
      <c r="N301">
        <v>1.17</v>
      </c>
      <c r="O301">
        <v>0.72</v>
      </c>
      <c r="P301" s="2" t="s">
        <v>42</v>
      </c>
      <c r="Q301">
        <v>0</v>
      </c>
      <c r="R301">
        <v>14.58</v>
      </c>
      <c r="S301">
        <v>15.35</v>
      </c>
      <c r="T301">
        <v>-0.77</v>
      </c>
      <c r="U301">
        <f t="shared" si="4"/>
        <v>0</v>
      </c>
    </row>
    <row r="302" spans="1:21" x14ac:dyDescent="0.25">
      <c r="A302" s="2" t="s">
        <v>611</v>
      </c>
      <c r="B302" s="2" t="s">
        <v>612</v>
      </c>
      <c r="C302" s="1">
        <v>45753</v>
      </c>
      <c r="D302" s="2" t="s">
        <v>59</v>
      </c>
      <c r="E302" s="2" t="s">
        <v>71</v>
      </c>
      <c r="F302" s="2" t="s">
        <v>40</v>
      </c>
      <c r="G302">
        <v>1</v>
      </c>
      <c r="H302" s="2" t="s">
        <v>64</v>
      </c>
      <c r="I302">
        <v>86.75</v>
      </c>
      <c r="J302">
        <v>0</v>
      </c>
      <c r="K302">
        <v>0</v>
      </c>
      <c r="L302">
        <v>12.94</v>
      </c>
      <c r="M302">
        <v>26.86</v>
      </c>
      <c r="N302">
        <v>13.01</v>
      </c>
      <c r="O302">
        <v>2.82</v>
      </c>
      <c r="P302" s="2" t="s">
        <v>42</v>
      </c>
      <c r="Q302">
        <v>0</v>
      </c>
      <c r="R302">
        <v>86.75</v>
      </c>
      <c r="S302">
        <v>55.63</v>
      </c>
      <c r="T302">
        <v>31.12</v>
      </c>
      <c r="U302">
        <f t="shared" si="4"/>
        <v>0</v>
      </c>
    </row>
    <row r="303" spans="1:21" x14ac:dyDescent="0.25">
      <c r="A303" s="2" t="s">
        <v>613</v>
      </c>
      <c r="B303" s="2" t="s">
        <v>259</v>
      </c>
      <c r="C303" s="1">
        <v>45827</v>
      </c>
      <c r="D303" s="2" t="s">
        <v>38</v>
      </c>
      <c r="E303" s="2" t="s">
        <v>46</v>
      </c>
      <c r="F303" s="2" t="s">
        <v>47</v>
      </c>
      <c r="G303">
        <v>3</v>
      </c>
      <c r="H303" s="2" t="s">
        <v>52</v>
      </c>
      <c r="I303">
        <v>238.51</v>
      </c>
      <c r="J303">
        <v>15</v>
      </c>
      <c r="K303">
        <v>35.78</v>
      </c>
      <c r="L303">
        <v>45.9</v>
      </c>
      <c r="M303">
        <v>109.21</v>
      </c>
      <c r="N303">
        <v>0</v>
      </c>
      <c r="O303">
        <v>6.18</v>
      </c>
      <c r="P303" s="2" t="s">
        <v>42</v>
      </c>
      <c r="Q303">
        <v>0</v>
      </c>
      <c r="R303">
        <v>202.73</v>
      </c>
      <c r="S303">
        <v>161.29</v>
      </c>
      <c r="T303">
        <v>41.44</v>
      </c>
      <c r="U303">
        <f t="shared" si="4"/>
        <v>0</v>
      </c>
    </row>
    <row r="304" spans="1:21" x14ac:dyDescent="0.25">
      <c r="A304" s="2" t="s">
        <v>614</v>
      </c>
      <c r="B304" s="2" t="s">
        <v>615</v>
      </c>
      <c r="C304" s="1">
        <v>45673</v>
      </c>
      <c r="D304" s="2" t="s">
        <v>45</v>
      </c>
      <c r="E304" s="2" t="s">
        <v>55</v>
      </c>
      <c r="F304" s="2" t="s">
        <v>47</v>
      </c>
      <c r="G304">
        <v>2</v>
      </c>
      <c r="H304" s="2" t="s">
        <v>74</v>
      </c>
      <c r="I304">
        <v>346.22</v>
      </c>
      <c r="J304">
        <v>0</v>
      </c>
      <c r="K304">
        <v>0</v>
      </c>
      <c r="L304">
        <v>15.22</v>
      </c>
      <c r="M304">
        <v>115.07</v>
      </c>
      <c r="N304">
        <v>0</v>
      </c>
      <c r="O304">
        <v>10.34</v>
      </c>
      <c r="P304" s="2" t="s">
        <v>42</v>
      </c>
      <c r="Q304">
        <v>0</v>
      </c>
      <c r="R304">
        <v>346.22</v>
      </c>
      <c r="S304">
        <v>140.63</v>
      </c>
      <c r="T304">
        <v>205.59</v>
      </c>
      <c r="U304">
        <f t="shared" si="4"/>
        <v>0</v>
      </c>
    </row>
    <row r="305" spans="1:21" x14ac:dyDescent="0.25">
      <c r="A305" s="2" t="s">
        <v>616</v>
      </c>
      <c r="B305" s="2" t="s">
        <v>617</v>
      </c>
      <c r="C305" s="1">
        <v>45991</v>
      </c>
      <c r="D305" s="2" t="s">
        <v>80</v>
      </c>
      <c r="E305" s="2" t="s">
        <v>67</v>
      </c>
      <c r="F305" s="2" t="s">
        <v>51</v>
      </c>
      <c r="G305">
        <v>3</v>
      </c>
      <c r="H305" s="2" t="s">
        <v>41</v>
      </c>
      <c r="I305">
        <v>164.9</v>
      </c>
      <c r="J305">
        <v>0</v>
      </c>
      <c r="K305">
        <v>0</v>
      </c>
      <c r="L305">
        <v>48.94</v>
      </c>
      <c r="M305">
        <v>69.23</v>
      </c>
      <c r="N305">
        <v>13.19</v>
      </c>
      <c r="O305">
        <v>5.08</v>
      </c>
      <c r="P305" s="2" t="s">
        <v>42</v>
      </c>
      <c r="Q305">
        <v>0</v>
      </c>
      <c r="R305">
        <v>164.9</v>
      </c>
      <c r="S305">
        <v>136.44</v>
      </c>
      <c r="T305">
        <v>28.46</v>
      </c>
      <c r="U305">
        <f t="shared" si="4"/>
        <v>0</v>
      </c>
    </row>
    <row r="306" spans="1:21" x14ac:dyDescent="0.25">
      <c r="A306" s="2" t="s">
        <v>618</v>
      </c>
      <c r="B306" s="2" t="s">
        <v>619</v>
      </c>
      <c r="C306" s="1">
        <v>45535</v>
      </c>
      <c r="D306" s="2" t="s">
        <v>38</v>
      </c>
      <c r="E306" s="2" t="s">
        <v>46</v>
      </c>
      <c r="F306" s="2" t="s">
        <v>40</v>
      </c>
      <c r="G306">
        <v>1</v>
      </c>
      <c r="H306" s="2" t="s">
        <v>52</v>
      </c>
      <c r="I306">
        <v>82.29</v>
      </c>
      <c r="J306">
        <v>0</v>
      </c>
      <c r="K306">
        <v>0</v>
      </c>
      <c r="L306">
        <v>13.02</v>
      </c>
      <c r="M306">
        <v>37.65</v>
      </c>
      <c r="N306">
        <v>0</v>
      </c>
      <c r="O306">
        <v>2.69</v>
      </c>
      <c r="P306" s="2" t="s">
        <v>42</v>
      </c>
      <c r="Q306">
        <v>0</v>
      </c>
      <c r="R306">
        <v>82.29</v>
      </c>
      <c r="S306">
        <v>53.36</v>
      </c>
      <c r="T306">
        <v>28.93</v>
      </c>
      <c r="U306">
        <f t="shared" si="4"/>
        <v>0</v>
      </c>
    </row>
    <row r="307" spans="1:21" x14ac:dyDescent="0.25">
      <c r="A307" s="2" t="s">
        <v>620</v>
      </c>
      <c r="B307" s="2" t="s">
        <v>621</v>
      </c>
      <c r="C307" s="1">
        <v>45503</v>
      </c>
      <c r="D307" s="2" t="s">
        <v>59</v>
      </c>
      <c r="E307" s="2" t="s">
        <v>46</v>
      </c>
      <c r="F307" s="2" t="s">
        <v>47</v>
      </c>
      <c r="G307">
        <v>1</v>
      </c>
      <c r="H307" s="2" t="s">
        <v>56</v>
      </c>
      <c r="I307">
        <v>45.69</v>
      </c>
      <c r="J307">
        <v>0</v>
      </c>
      <c r="K307">
        <v>0</v>
      </c>
      <c r="L307">
        <v>11.58</v>
      </c>
      <c r="M307">
        <v>28.21</v>
      </c>
      <c r="N307">
        <v>6.85</v>
      </c>
      <c r="O307">
        <v>1.63</v>
      </c>
      <c r="P307" s="2" t="s">
        <v>42</v>
      </c>
      <c r="Q307">
        <v>0</v>
      </c>
      <c r="R307">
        <v>45.69</v>
      </c>
      <c r="S307">
        <v>48.27</v>
      </c>
      <c r="T307">
        <v>-2.58</v>
      </c>
      <c r="U307">
        <f t="shared" si="4"/>
        <v>0</v>
      </c>
    </row>
    <row r="308" spans="1:21" x14ac:dyDescent="0.25">
      <c r="A308" s="2" t="s">
        <v>622</v>
      </c>
      <c r="B308" s="2" t="s">
        <v>623</v>
      </c>
      <c r="C308" s="1">
        <v>45768</v>
      </c>
      <c r="D308" s="2" t="s">
        <v>45</v>
      </c>
      <c r="E308" s="2" t="s">
        <v>46</v>
      </c>
      <c r="F308" s="2" t="s">
        <v>40</v>
      </c>
      <c r="G308">
        <v>1</v>
      </c>
      <c r="H308" s="2" t="s">
        <v>52</v>
      </c>
      <c r="I308">
        <v>57.29</v>
      </c>
      <c r="J308">
        <v>0</v>
      </c>
      <c r="K308">
        <v>0</v>
      </c>
      <c r="L308">
        <v>13.18</v>
      </c>
      <c r="M308">
        <v>20.72</v>
      </c>
      <c r="N308">
        <v>0</v>
      </c>
      <c r="O308">
        <v>1.96</v>
      </c>
      <c r="P308" s="2" t="s">
        <v>42</v>
      </c>
      <c r="Q308">
        <v>0</v>
      </c>
      <c r="R308">
        <v>57.29</v>
      </c>
      <c r="S308">
        <v>35.86</v>
      </c>
      <c r="T308">
        <v>21.43</v>
      </c>
      <c r="U308">
        <f t="shared" si="4"/>
        <v>0</v>
      </c>
    </row>
    <row r="309" spans="1:21" x14ac:dyDescent="0.25">
      <c r="A309" s="2" t="s">
        <v>624</v>
      </c>
      <c r="B309" s="2" t="s">
        <v>625</v>
      </c>
      <c r="C309" s="1">
        <v>45838</v>
      </c>
      <c r="D309" s="2" t="s">
        <v>38</v>
      </c>
      <c r="E309" s="2" t="s">
        <v>67</v>
      </c>
      <c r="F309" s="2" t="s">
        <v>47</v>
      </c>
      <c r="G309">
        <v>2</v>
      </c>
      <c r="H309" s="2" t="s">
        <v>56</v>
      </c>
      <c r="I309">
        <v>123.67</v>
      </c>
      <c r="J309">
        <v>0</v>
      </c>
      <c r="K309">
        <v>0</v>
      </c>
      <c r="L309">
        <v>25.06</v>
      </c>
      <c r="M309">
        <v>47.99</v>
      </c>
      <c r="N309">
        <v>0</v>
      </c>
      <c r="O309">
        <v>3.89</v>
      </c>
      <c r="P309" s="2" t="s">
        <v>42</v>
      </c>
      <c r="Q309">
        <v>0</v>
      </c>
      <c r="R309">
        <v>123.67</v>
      </c>
      <c r="S309">
        <v>76.94</v>
      </c>
      <c r="T309">
        <v>46.73</v>
      </c>
      <c r="U309">
        <f t="shared" si="4"/>
        <v>0</v>
      </c>
    </row>
    <row r="310" spans="1:21" x14ac:dyDescent="0.25">
      <c r="A310" s="2" t="s">
        <v>626</v>
      </c>
      <c r="B310" s="2" t="s">
        <v>520</v>
      </c>
      <c r="C310" s="1">
        <v>45893</v>
      </c>
      <c r="D310" s="2" t="s">
        <v>45</v>
      </c>
      <c r="E310" s="2" t="s">
        <v>46</v>
      </c>
      <c r="F310" s="2" t="s">
        <v>85</v>
      </c>
      <c r="G310">
        <v>1</v>
      </c>
      <c r="H310" s="2" t="s">
        <v>111</v>
      </c>
      <c r="I310">
        <v>33.22</v>
      </c>
      <c r="J310">
        <v>0</v>
      </c>
      <c r="K310">
        <v>0</v>
      </c>
      <c r="L310">
        <v>8.94</v>
      </c>
      <c r="M310">
        <v>19.46</v>
      </c>
      <c r="N310">
        <v>0</v>
      </c>
      <c r="O310">
        <v>1.26</v>
      </c>
      <c r="P310" s="2" t="s">
        <v>42</v>
      </c>
      <c r="Q310">
        <v>0</v>
      </c>
      <c r="R310">
        <v>33.22</v>
      </c>
      <c r="S310">
        <v>29.66</v>
      </c>
      <c r="T310">
        <v>3.56</v>
      </c>
      <c r="U310">
        <f t="shared" si="4"/>
        <v>0</v>
      </c>
    </row>
    <row r="311" spans="1:21" x14ac:dyDescent="0.25">
      <c r="A311" s="2" t="s">
        <v>627</v>
      </c>
      <c r="B311" s="2" t="s">
        <v>628</v>
      </c>
      <c r="C311" s="1">
        <v>45419</v>
      </c>
      <c r="D311" s="2" t="s">
        <v>38</v>
      </c>
      <c r="E311" s="2" t="s">
        <v>71</v>
      </c>
      <c r="F311" s="2" t="s">
        <v>94</v>
      </c>
      <c r="G311">
        <v>3</v>
      </c>
      <c r="H311" s="2" t="s">
        <v>74</v>
      </c>
      <c r="I311">
        <v>143.35</v>
      </c>
      <c r="J311">
        <v>0</v>
      </c>
      <c r="K311">
        <v>0</v>
      </c>
      <c r="L311">
        <v>42.64</v>
      </c>
      <c r="M311">
        <v>72.77</v>
      </c>
      <c r="N311">
        <v>0</v>
      </c>
      <c r="O311">
        <v>4.46</v>
      </c>
      <c r="P311" s="2" t="s">
        <v>42</v>
      </c>
      <c r="Q311">
        <v>0</v>
      </c>
      <c r="R311">
        <v>143.35</v>
      </c>
      <c r="S311">
        <v>119.87</v>
      </c>
      <c r="T311">
        <v>23.48</v>
      </c>
      <c r="U311">
        <f t="shared" si="4"/>
        <v>0</v>
      </c>
    </row>
    <row r="312" spans="1:21" x14ac:dyDescent="0.25">
      <c r="A312" s="2" t="s">
        <v>629</v>
      </c>
      <c r="B312" s="2" t="s">
        <v>630</v>
      </c>
      <c r="C312" s="1">
        <v>45635</v>
      </c>
      <c r="D312" s="2" t="s">
        <v>45</v>
      </c>
      <c r="E312" s="2" t="s">
        <v>46</v>
      </c>
      <c r="F312" s="2" t="s">
        <v>40</v>
      </c>
      <c r="G312">
        <v>2</v>
      </c>
      <c r="H312" s="2" t="s">
        <v>64</v>
      </c>
      <c r="I312">
        <v>149.57</v>
      </c>
      <c r="J312">
        <v>5</v>
      </c>
      <c r="K312">
        <v>7.48</v>
      </c>
      <c r="L312">
        <v>28.98</v>
      </c>
      <c r="M312">
        <v>55.65</v>
      </c>
      <c r="N312">
        <v>0</v>
      </c>
      <c r="O312">
        <v>4.42</v>
      </c>
      <c r="P312" s="2" t="s">
        <v>42</v>
      </c>
      <c r="Q312">
        <v>0</v>
      </c>
      <c r="R312">
        <v>142.09</v>
      </c>
      <c r="S312">
        <v>89.05</v>
      </c>
      <c r="T312">
        <v>53.04</v>
      </c>
      <c r="U312">
        <f t="shared" si="4"/>
        <v>0</v>
      </c>
    </row>
    <row r="313" spans="1:21" x14ac:dyDescent="0.25">
      <c r="A313" s="2" t="s">
        <v>631</v>
      </c>
      <c r="B313" s="2" t="s">
        <v>632</v>
      </c>
      <c r="C313" s="1">
        <v>45874</v>
      </c>
      <c r="D313" s="2" t="s">
        <v>59</v>
      </c>
      <c r="E313" s="2" t="s">
        <v>46</v>
      </c>
      <c r="F313" s="2" t="s">
        <v>40</v>
      </c>
      <c r="G313">
        <v>1</v>
      </c>
      <c r="H313" s="2" t="s">
        <v>77</v>
      </c>
      <c r="I313">
        <v>19.54</v>
      </c>
      <c r="J313">
        <v>10</v>
      </c>
      <c r="K313">
        <v>1.95</v>
      </c>
      <c r="L313">
        <v>23.48</v>
      </c>
      <c r="M313">
        <v>8.98</v>
      </c>
      <c r="N313">
        <v>2.64</v>
      </c>
      <c r="O313">
        <v>0.81</v>
      </c>
      <c r="P313" s="2" t="s">
        <v>42</v>
      </c>
      <c r="Q313">
        <v>0</v>
      </c>
      <c r="R313">
        <v>17.59</v>
      </c>
      <c r="S313">
        <v>35.909999999999997</v>
      </c>
      <c r="T313">
        <v>-18.32</v>
      </c>
      <c r="U313">
        <f t="shared" si="4"/>
        <v>0</v>
      </c>
    </row>
    <row r="314" spans="1:21" x14ac:dyDescent="0.25">
      <c r="A314" s="2" t="s">
        <v>633</v>
      </c>
      <c r="B314" s="2" t="s">
        <v>634</v>
      </c>
      <c r="C314" s="1">
        <v>45956</v>
      </c>
      <c r="D314" s="2" t="s">
        <v>45</v>
      </c>
      <c r="E314" s="2" t="s">
        <v>46</v>
      </c>
      <c r="F314" s="2" t="s">
        <v>51</v>
      </c>
      <c r="G314">
        <v>2</v>
      </c>
      <c r="H314" s="2" t="s">
        <v>56</v>
      </c>
      <c r="I314">
        <v>224.3</v>
      </c>
      <c r="J314">
        <v>20</v>
      </c>
      <c r="K314">
        <v>44.86</v>
      </c>
      <c r="L314">
        <v>47.44</v>
      </c>
      <c r="M314">
        <v>88.1</v>
      </c>
      <c r="N314">
        <v>0</v>
      </c>
      <c r="O314">
        <v>5.5</v>
      </c>
      <c r="P314" s="2" t="s">
        <v>42</v>
      </c>
      <c r="Q314">
        <v>0</v>
      </c>
      <c r="R314">
        <v>179.44</v>
      </c>
      <c r="S314">
        <v>141.04</v>
      </c>
      <c r="T314">
        <v>38.4</v>
      </c>
      <c r="U314">
        <f t="shared" si="4"/>
        <v>0</v>
      </c>
    </row>
    <row r="315" spans="1:21" x14ac:dyDescent="0.25">
      <c r="A315" s="2" t="s">
        <v>635</v>
      </c>
      <c r="B315" s="2" t="s">
        <v>361</v>
      </c>
      <c r="C315" s="1">
        <v>45728</v>
      </c>
      <c r="D315" s="2" t="s">
        <v>59</v>
      </c>
      <c r="E315" s="2" t="s">
        <v>67</v>
      </c>
      <c r="F315" s="2" t="s">
        <v>47</v>
      </c>
      <c r="G315">
        <v>1</v>
      </c>
      <c r="H315" s="2" t="s">
        <v>74</v>
      </c>
      <c r="I315">
        <v>23.04</v>
      </c>
      <c r="J315">
        <v>5</v>
      </c>
      <c r="K315">
        <v>1.1499999999999999</v>
      </c>
      <c r="L315">
        <v>15.16</v>
      </c>
      <c r="M315">
        <v>7.42</v>
      </c>
      <c r="N315">
        <v>3.28</v>
      </c>
      <c r="O315">
        <v>0.93</v>
      </c>
      <c r="P315" s="2" t="s">
        <v>42</v>
      </c>
      <c r="Q315">
        <v>0</v>
      </c>
      <c r="R315">
        <v>21.89</v>
      </c>
      <c r="S315">
        <v>26.79</v>
      </c>
      <c r="T315">
        <v>-4.9000000000000004</v>
      </c>
      <c r="U315">
        <f t="shared" si="4"/>
        <v>0</v>
      </c>
    </row>
    <row r="316" spans="1:21" x14ac:dyDescent="0.25">
      <c r="A316" s="2" t="s">
        <v>636</v>
      </c>
      <c r="B316" s="2" t="s">
        <v>637</v>
      </c>
      <c r="C316" s="1">
        <v>45960</v>
      </c>
      <c r="D316" s="2" t="s">
        <v>38</v>
      </c>
      <c r="E316" s="2" t="s">
        <v>71</v>
      </c>
      <c r="F316" s="2" t="s">
        <v>85</v>
      </c>
      <c r="G316">
        <v>1</v>
      </c>
      <c r="H316" s="2" t="s">
        <v>74</v>
      </c>
      <c r="I316">
        <v>88.71</v>
      </c>
      <c r="J316">
        <v>10</v>
      </c>
      <c r="K316">
        <v>8.8699999999999992</v>
      </c>
      <c r="L316">
        <v>36.42</v>
      </c>
      <c r="M316">
        <v>61.98</v>
      </c>
      <c r="N316">
        <v>0</v>
      </c>
      <c r="O316">
        <v>2.62</v>
      </c>
      <c r="P316" s="2" t="s">
        <v>42</v>
      </c>
      <c r="Q316">
        <v>0</v>
      </c>
      <c r="R316">
        <v>79.84</v>
      </c>
      <c r="S316">
        <v>101.02</v>
      </c>
      <c r="T316">
        <v>-21.18</v>
      </c>
      <c r="U316">
        <f t="shared" si="4"/>
        <v>0</v>
      </c>
    </row>
    <row r="317" spans="1:21" x14ac:dyDescent="0.25">
      <c r="A317" s="2" t="s">
        <v>638</v>
      </c>
      <c r="B317" s="2" t="s">
        <v>639</v>
      </c>
      <c r="C317" s="1">
        <v>45923</v>
      </c>
      <c r="D317" s="2" t="s">
        <v>59</v>
      </c>
      <c r="E317" s="2" t="s">
        <v>55</v>
      </c>
      <c r="F317" s="2" t="s">
        <v>47</v>
      </c>
      <c r="G317">
        <v>3</v>
      </c>
      <c r="H317" s="2" t="s">
        <v>48</v>
      </c>
      <c r="I317">
        <v>93.07</v>
      </c>
      <c r="J317">
        <v>20</v>
      </c>
      <c r="K317">
        <v>18.61</v>
      </c>
      <c r="L317">
        <v>63.26</v>
      </c>
      <c r="M317">
        <v>46.69</v>
      </c>
      <c r="N317">
        <v>11.17</v>
      </c>
      <c r="O317">
        <v>2.46</v>
      </c>
      <c r="P317" s="2" t="s">
        <v>42</v>
      </c>
      <c r="Q317">
        <v>0</v>
      </c>
      <c r="R317">
        <v>74.459999999999994</v>
      </c>
      <c r="S317">
        <v>123.58</v>
      </c>
      <c r="T317">
        <v>-49.12</v>
      </c>
      <c r="U317">
        <f t="shared" si="4"/>
        <v>0</v>
      </c>
    </row>
    <row r="318" spans="1:21" x14ac:dyDescent="0.25">
      <c r="A318" s="2" t="s">
        <v>640</v>
      </c>
      <c r="B318" s="2" t="s">
        <v>429</v>
      </c>
      <c r="C318" s="1">
        <v>45598</v>
      </c>
      <c r="D318" s="2" t="s">
        <v>45</v>
      </c>
      <c r="E318" s="2" t="s">
        <v>55</v>
      </c>
      <c r="F318" s="2" t="s">
        <v>94</v>
      </c>
      <c r="G318">
        <v>1</v>
      </c>
      <c r="H318" s="2" t="s">
        <v>56</v>
      </c>
      <c r="I318">
        <v>165.18</v>
      </c>
      <c r="J318">
        <v>10</v>
      </c>
      <c r="K318">
        <v>16.52</v>
      </c>
      <c r="L318">
        <v>17.46</v>
      </c>
      <c r="M318">
        <v>63.24</v>
      </c>
      <c r="N318">
        <v>0</v>
      </c>
      <c r="O318">
        <v>4.6100000000000003</v>
      </c>
      <c r="P318" s="2" t="s">
        <v>42</v>
      </c>
      <c r="Q318">
        <v>0</v>
      </c>
      <c r="R318">
        <v>148.66</v>
      </c>
      <c r="S318">
        <v>85.31</v>
      </c>
      <c r="T318">
        <v>63.35</v>
      </c>
      <c r="U318">
        <f t="shared" si="4"/>
        <v>0</v>
      </c>
    </row>
    <row r="319" spans="1:21" x14ac:dyDescent="0.25">
      <c r="A319" s="2" t="s">
        <v>641</v>
      </c>
      <c r="B319" s="2" t="s">
        <v>642</v>
      </c>
      <c r="C319" s="1">
        <v>45958</v>
      </c>
      <c r="D319" s="2" t="s">
        <v>59</v>
      </c>
      <c r="E319" s="2" t="s">
        <v>46</v>
      </c>
      <c r="F319" s="2" t="s">
        <v>51</v>
      </c>
      <c r="G319">
        <v>2</v>
      </c>
      <c r="H319" s="2" t="s">
        <v>52</v>
      </c>
      <c r="I319">
        <v>147.44</v>
      </c>
      <c r="J319">
        <v>0</v>
      </c>
      <c r="K319">
        <v>0</v>
      </c>
      <c r="L319">
        <v>24.18</v>
      </c>
      <c r="M319">
        <v>63.64</v>
      </c>
      <c r="N319">
        <v>22.12</v>
      </c>
      <c r="O319">
        <v>4.58</v>
      </c>
      <c r="P319" s="2" t="s">
        <v>68</v>
      </c>
      <c r="Q319">
        <v>147.44</v>
      </c>
      <c r="R319">
        <v>0</v>
      </c>
      <c r="S319">
        <v>114.52</v>
      </c>
      <c r="T319">
        <v>-114.52</v>
      </c>
      <c r="U319">
        <f t="shared" si="4"/>
        <v>0</v>
      </c>
    </row>
    <row r="320" spans="1:21" x14ac:dyDescent="0.25">
      <c r="A320" s="2" t="s">
        <v>643</v>
      </c>
      <c r="B320" s="2" t="s">
        <v>259</v>
      </c>
      <c r="C320" s="1">
        <v>45523</v>
      </c>
      <c r="D320" s="2" t="s">
        <v>38</v>
      </c>
      <c r="E320" s="2" t="s">
        <v>67</v>
      </c>
      <c r="F320" s="2" t="s">
        <v>40</v>
      </c>
      <c r="G320">
        <v>2</v>
      </c>
      <c r="H320" s="2" t="s">
        <v>52</v>
      </c>
      <c r="I320">
        <v>143.91999999999999</v>
      </c>
      <c r="J320">
        <v>0</v>
      </c>
      <c r="K320">
        <v>0</v>
      </c>
      <c r="L320">
        <v>47.84</v>
      </c>
      <c r="M320">
        <v>66.599999999999994</v>
      </c>
      <c r="N320">
        <v>0</v>
      </c>
      <c r="O320">
        <v>4.47</v>
      </c>
      <c r="P320" s="2" t="s">
        <v>42</v>
      </c>
      <c r="Q320">
        <v>0</v>
      </c>
      <c r="R320">
        <v>143.91999999999999</v>
      </c>
      <c r="S320">
        <v>118.91</v>
      </c>
      <c r="T320">
        <v>25.01</v>
      </c>
      <c r="U320">
        <f t="shared" si="4"/>
        <v>0</v>
      </c>
    </row>
    <row r="321" spans="1:21" x14ac:dyDescent="0.25">
      <c r="A321" s="2" t="s">
        <v>644</v>
      </c>
      <c r="B321" s="2" t="s">
        <v>645</v>
      </c>
      <c r="C321" s="1">
        <v>45938</v>
      </c>
      <c r="D321" s="2" t="s">
        <v>45</v>
      </c>
      <c r="E321" s="2" t="s">
        <v>55</v>
      </c>
      <c r="F321" s="2" t="s">
        <v>51</v>
      </c>
      <c r="G321">
        <v>2</v>
      </c>
      <c r="H321" s="2" t="s">
        <v>52</v>
      </c>
      <c r="I321">
        <v>193.76</v>
      </c>
      <c r="J321">
        <v>10</v>
      </c>
      <c r="K321">
        <v>19.38</v>
      </c>
      <c r="L321">
        <v>30.26</v>
      </c>
      <c r="M321">
        <v>77.25</v>
      </c>
      <c r="N321">
        <v>0</v>
      </c>
      <c r="O321">
        <v>5.36</v>
      </c>
      <c r="P321" s="2" t="s">
        <v>68</v>
      </c>
      <c r="Q321">
        <v>174.38</v>
      </c>
      <c r="R321">
        <v>0</v>
      </c>
      <c r="S321">
        <v>112.87</v>
      </c>
      <c r="T321">
        <v>-112.87</v>
      </c>
      <c r="U321">
        <f t="shared" si="4"/>
        <v>1</v>
      </c>
    </row>
    <row r="322" spans="1:21" x14ac:dyDescent="0.25">
      <c r="A322" s="2" t="s">
        <v>646</v>
      </c>
      <c r="B322" s="2" t="s">
        <v>297</v>
      </c>
      <c r="C322" s="1">
        <v>45958</v>
      </c>
      <c r="D322" s="2" t="s">
        <v>45</v>
      </c>
      <c r="E322" s="2" t="s">
        <v>46</v>
      </c>
      <c r="F322" s="2" t="s">
        <v>85</v>
      </c>
      <c r="G322">
        <v>2</v>
      </c>
      <c r="H322" s="2" t="s">
        <v>52</v>
      </c>
      <c r="I322">
        <v>80.97</v>
      </c>
      <c r="J322">
        <v>10</v>
      </c>
      <c r="K322">
        <v>8.1</v>
      </c>
      <c r="L322">
        <v>36.18</v>
      </c>
      <c r="M322">
        <v>32.14</v>
      </c>
      <c r="N322">
        <v>0</v>
      </c>
      <c r="O322">
        <v>2.41</v>
      </c>
      <c r="P322" s="2" t="s">
        <v>68</v>
      </c>
      <c r="Q322">
        <v>72.87</v>
      </c>
      <c r="R322">
        <v>0</v>
      </c>
      <c r="S322">
        <v>70.73</v>
      </c>
      <c r="T322">
        <v>-70.73</v>
      </c>
      <c r="U322">
        <f t="shared" si="4"/>
        <v>0</v>
      </c>
    </row>
    <row r="323" spans="1:21" x14ac:dyDescent="0.25">
      <c r="A323" s="2" t="s">
        <v>647</v>
      </c>
      <c r="B323" s="2" t="s">
        <v>324</v>
      </c>
      <c r="C323" s="1">
        <v>45814</v>
      </c>
      <c r="D323" s="2" t="s">
        <v>45</v>
      </c>
      <c r="E323" s="2" t="s">
        <v>39</v>
      </c>
      <c r="F323" s="2" t="s">
        <v>85</v>
      </c>
      <c r="G323">
        <v>2</v>
      </c>
      <c r="H323" s="2" t="s">
        <v>64</v>
      </c>
      <c r="I323">
        <v>138.02000000000001</v>
      </c>
      <c r="J323">
        <v>0</v>
      </c>
      <c r="K323">
        <v>0</v>
      </c>
      <c r="L323">
        <v>39.119999999999997</v>
      </c>
      <c r="M323">
        <v>61.24</v>
      </c>
      <c r="N323">
        <v>0</v>
      </c>
      <c r="O323">
        <v>4.3</v>
      </c>
      <c r="P323" s="2" t="s">
        <v>42</v>
      </c>
      <c r="Q323">
        <v>0</v>
      </c>
      <c r="R323">
        <v>138.02000000000001</v>
      </c>
      <c r="S323">
        <v>104.66</v>
      </c>
      <c r="T323">
        <v>33.36</v>
      </c>
      <c r="U323">
        <f t="shared" si="4"/>
        <v>1</v>
      </c>
    </row>
    <row r="324" spans="1:21" x14ac:dyDescent="0.25">
      <c r="A324" s="2" t="s">
        <v>648</v>
      </c>
      <c r="B324" s="2" t="s">
        <v>467</v>
      </c>
      <c r="C324" s="1">
        <v>45794</v>
      </c>
      <c r="D324" s="2" t="s">
        <v>45</v>
      </c>
      <c r="E324" s="2" t="s">
        <v>71</v>
      </c>
      <c r="F324" s="2" t="s">
        <v>94</v>
      </c>
      <c r="G324">
        <v>1</v>
      </c>
      <c r="H324" s="2" t="s">
        <v>48</v>
      </c>
      <c r="I324">
        <v>22.22</v>
      </c>
      <c r="J324">
        <v>0</v>
      </c>
      <c r="K324">
        <v>0</v>
      </c>
      <c r="L324">
        <v>21.88</v>
      </c>
      <c r="M324">
        <v>14.62</v>
      </c>
      <c r="N324">
        <v>0</v>
      </c>
      <c r="O324">
        <v>0.94</v>
      </c>
      <c r="P324" s="2" t="s">
        <v>42</v>
      </c>
      <c r="Q324">
        <v>0</v>
      </c>
      <c r="R324">
        <v>22.22</v>
      </c>
      <c r="S324">
        <v>37.44</v>
      </c>
      <c r="T324">
        <v>-15.22</v>
      </c>
      <c r="U324">
        <f t="shared" si="4"/>
        <v>1</v>
      </c>
    </row>
    <row r="325" spans="1:21" x14ac:dyDescent="0.25">
      <c r="A325" s="2" t="s">
        <v>649</v>
      </c>
      <c r="B325" s="2" t="s">
        <v>650</v>
      </c>
      <c r="C325" s="1">
        <v>45794</v>
      </c>
      <c r="D325" s="2" t="s">
        <v>59</v>
      </c>
      <c r="E325" s="2" t="s">
        <v>39</v>
      </c>
      <c r="F325" s="2" t="s">
        <v>40</v>
      </c>
      <c r="G325">
        <v>1</v>
      </c>
      <c r="H325" s="2" t="s">
        <v>77</v>
      </c>
      <c r="I325">
        <v>10.41</v>
      </c>
      <c r="J325">
        <v>5</v>
      </c>
      <c r="K325">
        <v>0.52</v>
      </c>
      <c r="L325">
        <v>9.58</v>
      </c>
      <c r="M325">
        <v>4.5599999999999996</v>
      </c>
      <c r="N325">
        <v>1.48</v>
      </c>
      <c r="O325">
        <v>0.59</v>
      </c>
      <c r="P325" s="2" t="s">
        <v>42</v>
      </c>
      <c r="Q325">
        <v>0</v>
      </c>
      <c r="R325">
        <v>9.89</v>
      </c>
      <c r="S325">
        <v>16.21</v>
      </c>
      <c r="T325">
        <v>-6.32</v>
      </c>
      <c r="U325">
        <f t="shared" ref="U325:U388" si="5">IF(P323="Yes", 1, 0)</f>
        <v>0</v>
      </c>
    </row>
    <row r="326" spans="1:21" x14ac:dyDescent="0.25">
      <c r="A326" s="2" t="s">
        <v>651</v>
      </c>
      <c r="B326" s="2" t="s">
        <v>180</v>
      </c>
      <c r="C326" s="1">
        <v>45720</v>
      </c>
      <c r="D326" s="2" t="s">
        <v>45</v>
      </c>
      <c r="E326" s="2" t="s">
        <v>71</v>
      </c>
      <c r="F326" s="2" t="s">
        <v>85</v>
      </c>
      <c r="G326">
        <v>2</v>
      </c>
      <c r="H326" s="2" t="s">
        <v>48</v>
      </c>
      <c r="I326">
        <v>103.39</v>
      </c>
      <c r="J326">
        <v>5</v>
      </c>
      <c r="K326">
        <v>5.17</v>
      </c>
      <c r="L326">
        <v>23.32</v>
      </c>
      <c r="M326">
        <v>44.28</v>
      </c>
      <c r="N326">
        <v>0</v>
      </c>
      <c r="O326">
        <v>3.15</v>
      </c>
      <c r="P326" s="2" t="s">
        <v>42</v>
      </c>
      <c r="Q326">
        <v>0</v>
      </c>
      <c r="R326">
        <v>98.22</v>
      </c>
      <c r="S326">
        <v>70.75</v>
      </c>
      <c r="T326">
        <v>27.47</v>
      </c>
      <c r="U326">
        <f t="shared" si="5"/>
        <v>0</v>
      </c>
    </row>
    <row r="327" spans="1:21" x14ac:dyDescent="0.25">
      <c r="A327" s="2" t="s">
        <v>652</v>
      </c>
      <c r="B327" s="2" t="s">
        <v>653</v>
      </c>
      <c r="C327" s="1">
        <v>45851</v>
      </c>
      <c r="D327" s="2" t="s">
        <v>38</v>
      </c>
      <c r="E327" s="2" t="s">
        <v>67</v>
      </c>
      <c r="F327" s="2" t="s">
        <v>51</v>
      </c>
      <c r="G327">
        <v>1</v>
      </c>
      <c r="H327" s="2" t="s">
        <v>74</v>
      </c>
      <c r="I327">
        <v>19.41</v>
      </c>
      <c r="J327">
        <v>20</v>
      </c>
      <c r="K327">
        <v>3.88</v>
      </c>
      <c r="L327">
        <v>12.7</v>
      </c>
      <c r="M327">
        <v>8.4700000000000006</v>
      </c>
      <c r="N327">
        <v>0</v>
      </c>
      <c r="O327">
        <v>0.75</v>
      </c>
      <c r="P327" s="2" t="s">
        <v>42</v>
      </c>
      <c r="Q327">
        <v>0</v>
      </c>
      <c r="R327">
        <v>15.53</v>
      </c>
      <c r="S327">
        <v>21.92</v>
      </c>
      <c r="T327">
        <v>-6.39</v>
      </c>
      <c r="U327">
        <f t="shared" si="5"/>
        <v>0</v>
      </c>
    </row>
    <row r="328" spans="1:21" x14ac:dyDescent="0.25">
      <c r="A328" s="2" t="s">
        <v>654</v>
      </c>
      <c r="B328" s="2" t="s">
        <v>201</v>
      </c>
      <c r="C328" s="1">
        <v>45924</v>
      </c>
      <c r="D328" s="2" t="s">
        <v>45</v>
      </c>
      <c r="E328" s="2" t="s">
        <v>67</v>
      </c>
      <c r="F328" s="2" t="s">
        <v>40</v>
      </c>
      <c r="G328">
        <v>4</v>
      </c>
      <c r="H328" s="2" t="s">
        <v>52</v>
      </c>
      <c r="I328">
        <v>261.10000000000002</v>
      </c>
      <c r="J328">
        <v>15</v>
      </c>
      <c r="K328">
        <v>39.159999999999997</v>
      </c>
      <c r="L328">
        <v>83.38</v>
      </c>
      <c r="M328">
        <v>103.09</v>
      </c>
      <c r="N328">
        <v>0</v>
      </c>
      <c r="O328">
        <v>6.74</v>
      </c>
      <c r="P328" s="2" t="s">
        <v>68</v>
      </c>
      <c r="Q328">
        <v>221.94</v>
      </c>
      <c r="R328">
        <v>0</v>
      </c>
      <c r="S328">
        <v>193.21</v>
      </c>
      <c r="T328">
        <v>-193.21</v>
      </c>
      <c r="U328">
        <f t="shared" si="5"/>
        <v>0</v>
      </c>
    </row>
    <row r="329" spans="1:21" x14ac:dyDescent="0.25">
      <c r="A329" s="2" t="s">
        <v>655</v>
      </c>
      <c r="B329" s="2" t="s">
        <v>656</v>
      </c>
      <c r="C329" s="1">
        <v>45972</v>
      </c>
      <c r="D329" s="2" t="s">
        <v>38</v>
      </c>
      <c r="E329" s="2" t="s">
        <v>71</v>
      </c>
      <c r="F329" s="2" t="s">
        <v>51</v>
      </c>
      <c r="G329">
        <v>1</v>
      </c>
      <c r="H329" s="2" t="s">
        <v>111</v>
      </c>
      <c r="I329">
        <v>21.94</v>
      </c>
      <c r="J329">
        <v>0</v>
      </c>
      <c r="K329">
        <v>0</v>
      </c>
      <c r="L329">
        <v>29.72</v>
      </c>
      <c r="M329">
        <v>8.2799999999999994</v>
      </c>
      <c r="N329">
        <v>0</v>
      </c>
      <c r="O329">
        <v>0.94</v>
      </c>
      <c r="P329" s="2" t="s">
        <v>42</v>
      </c>
      <c r="Q329">
        <v>0</v>
      </c>
      <c r="R329">
        <v>21.94</v>
      </c>
      <c r="S329">
        <v>38.94</v>
      </c>
      <c r="T329">
        <v>-17</v>
      </c>
      <c r="U329">
        <f t="shared" si="5"/>
        <v>0</v>
      </c>
    </row>
    <row r="330" spans="1:21" x14ac:dyDescent="0.25">
      <c r="A330" s="2" t="s">
        <v>657</v>
      </c>
      <c r="B330" s="2" t="s">
        <v>658</v>
      </c>
      <c r="C330" s="1">
        <v>45749</v>
      </c>
      <c r="D330" s="2" t="s">
        <v>45</v>
      </c>
      <c r="E330" s="2" t="s">
        <v>55</v>
      </c>
      <c r="F330" s="2" t="s">
        <v>85</v>
      </c>
      <c r="G330">
        <v>1</v>
      </c>
      <c r="H330" s="2" t="s">
        <v>111</v>
      </c>
      <c r="I330">
        <v>58.8</v>
      </c>
      <c r="J330">
        <v>0</v>
      </c>
      <c r="K330">
        <v>0</v>
      </c>
      <c r="L330">
        <v>12.44</v>
      </c>
      <c r="M330">
        <v>22.82</v>
      </c>
      <c r="N330">
        <v>0</v>
      </c>
      <c r="O330">
        <v>2.0099999999999998</v>
      </c>
      <c r="P330" s="2" t="s">
        <v>42</v>
      </c>
      <c r="Q330">
        <v>0</v>
      </c>
      <c r="R330">
        <v>58.8</v>
      </c>
      <c r="S330">
        <v>37.270000000000003</v>
      </c>
      <c r="T330">
        <v>21.53</v>
      </c>
      <c r="U330">
        <f t="shared" si="5"/>
        <v>1</v>
      </c>
    </row>
    <row r="331" spans="1:21" x14ac:dyDescent="0.25">
      <c r="A331" s="2" t="s">
        <v>659</v>
      </c>
      <c r="B331" s="2" t="s">
        <v>490</v>
      </c>
      <c r="C331" s="1">
        <v>45948</v>
      </c>
      <c r="D331" s="2" t="s">
        <v>38</v>
      </c>
      <c r="E331" s="2" t="s">
        <v>67</v>
      </c>
      <c r="F331" s="2" t="s">
        <v>94</v>
      </c>
      <c r="G331">
        <v>1</v>
      </c>
      <c r="H331" s="2" t="s">
        <v>41</v>
      </c>
      <c r="I331">
        <v>51.28</v>
      </c>
      <c r="J331">
        <v>0</v>
      </c>
      <c r="K331">
        <v>0</v>
      </c>
      <c r="L331">
        <v>12.38</v>
      </c>
      <c r="M331">
        <v>21.44</v>
      </c>
      <c r="N331">
        <v>0</v>
      </c>
      <c r="O331">
        <v>1.79</v>
      </c>
      <c r="P331" s="2" t="s">
        <v>68</v>
      </c>
      <c r="Q331">
        <v>51.28</v>
      </c>
      <c r="R331">
        <v>0</v>
      </c>
      <c r="S331">
        <v>35.61</v>
      </c>
      <c r="T331">
        <v>-35.61</v>
      </c>
      <c r="U331">
        <f t="shared" si="5"/>
        <v>0</v>
      </c>
    </row>
    <row r="332" spans="1:21" x14ac:dyDescent="0.25">
      <c r="A332" s="2" t="s">
        <v>660</v>
      </c>
      <c r="B332" s="2" t="s">
        <v>661</v>
      </c>
      <c r="C332" s="1">
        <v>45846</v>
      </c>
      <c r="D332" s="2" t="s">
        <v>59</v>
      </c>
      <c r="E332" s="2" t="s">
        <v>46</v>
      </c>
      <c r="F332" s="2" t="s">
        <v>94</v>
      </c>
      <c r="G332">
        <v>3</v>
      </c>
      <c r="H332" s="2" t="s">
        <v>111</v>
      </c>
      <c r="I332">
        <v>185.59</v>
      </c>
      <c r="J332">
        <v>10</v>
      </c>
      <c r="K332">
        <v>18.559999999999999</v>
      </c>
      <c r="L332">
        <v>30.32</v>
      </c>
      <c r="M332">
        <v>86.55</v>
      </c>
      <c r="N332">
        <v>25.05</v>
      </c>
      <c r="O332">
        <v>5.14</v>
      </c>
      <c r="P332" s="2" t="s">
        <v>42</v>
      </c>
      <c r="Q332">
        <v>0</v>
      </c>
      <c r="R332">
        <v>167.03</v>
      </c>
      <c r="S332">
        <v>147.06</v>
      </c>
      <c r="T332">
        <v>19.97</v>
      </c>
      <c r="U332">
        <f t="shared" si="5"/>
        <v>0</v>
      </c>
    </row>
    <row r="333" spans="1:21" x14ac:dyDescent="0.25">
      <c r="A333" s="2" t="s">
        <v>662</v>
      </c>
      <c r="B333" s="2" t="s">
        <v>663</v>
      </c>
      <c r="C333" s="1">
        <v>45940</v>
      </c>
      <c r="D333" s="2" t="s">
        <v>80</v>
      </c>
      <c r="E333" s="2" t="s">
        <v>55</v>
      </c>
      <c r="F333" s="2" t="s">
        <v>47</v>
      </c>
      <c r="G333">
        <v>1</v>
      </c>
      <c r="H333" s="2" t="s">
        <v>52</v>
      </c>
      <c r="I333">
        <v>11.84</v>
      </c>
      <c r="J333">
        <v>20</v>
      </c>
      <c r="K333">
        <v>2.37</v>
      </c>
      <c r="L333">
        <v>11.5</v>
      </c>
      <c r="M333">
        <v>5.71</v>
      </c>
      <c r="N333">
        <v>0.76</v>
      </c>
      <c r="O333">
        <v>0.56999999999999995</v>
      </c>
      <c r="P333" s="2" t="s">
        <v>42</v>
      </c>
      <c r="Q333">
        <v>0</v>
      </c>
      <c r="R333">
        <v>9.4700000000000006</v>
      </c>
      <c r="S333">
        <v>18.54</v>
      </c>
      <c r="T333">
        <v>-9.07</v>
      </c>
      <c r="U333">
        <f t="shared" si="5"/>
        <v>1</v>
      </c>
    </row>
    <row r="334" spans="1:21" x14ac:dyDescent="0.25">
      <c r="A334" s="2" t="s">
        <v>664</v>
      </c>
      <c r="B334" s="2" t="s">
        <v>182</v>
      </c>
      <c r="C334" s="1">
        <v>45786</v>
      </c>
      <c r="D334" s="2" t="s">
        <v>45</v>
      </c>
      <c r="E334" s="2" t="s">
        <v>46</v>
      </c>
      <c r="F334" s="2" t="s">
        <v>47</v>
      </c>
      <c r="G334">
        <v>3</v>
      </c>
      <c r="H334" s="2" t="s">
        <v>74</v>
      </c>
      <c r="I334">
        <v>537.82000000000005</v>
      </c>
      <c r="J334">
        <v>10</v>
      </c>
      <c r="K334">
        <v>53.78</v>
      </c>
      <c r="L334">
        <v>61.02</v>
      </c>
      <c r="M334">
        <v>171.57</v>
      </c>
      <c r="N334">
        <v>0</v>
      </c>
      <c r="O334">
        <v>14.34</v>
      </c>
      <c r="P334" s="2" t="s">
        <v>42</v>
      </c>
      <c r="Q334">
        <v>0</v>
      </c>
      <c r="R334">
        <v>484.04</v>
      </c>
      <c r="S334">
        <v>246.93</v>
      </c>
      <c r="T334">
        <v>237.11</v>
      </c>
      <c r="U334">
        <f t="shared" si="5"/>
        <v>0</v>
      </c>
    </row>
    <row r="335" spans="1:21" x14ac:dyDescent="0.25">
      <c r="A335" s="2" t="s">
        <v>665</v>
      </c>
      <c r="B335" s="2" t="s">
        <v>666</v>
      </c>
      <c r="C335" s="1">
        <v>45747</v>
      </c>
      <c r="D335" s="2" t="s">
        <v>45</v>
      </c>
      <c r="E335" s="2" t="s">
        <v>67</v>
      </c>
      <c r="F335" s="2" t="s">
        <v>85</v>
      </c>
      <c r="G335">
        <v>3</v>
      </c>
      <c r="H335" s="2" t="s">
        <v>64</v>
      </c>
      <c r="I335">
        <v>123.32</v>
      </c>
      <c r="J335">
        <v>0</v>
      </c>
      <c r="K335">
        <v>0</v>
      </c>
      <c r="L335">
        <v>35.94</v>
      </c>
      <c r="M335">
        <v>42.41</v>
      </c>
      <c r="N335">
        <v>0</v>
      </c>
      <c r="O335">
        <v>3.88</v>
      </c>
      <c r="P335" s="2" t="s">
        <v>42</v>
      </c>
      <c r="Q335">
        <v>0</v>
      </c>
      <c r="R335">
        <v>123.32</v>
      </c>
      <c r="S335">
        <v>82.23</v>
      </c>
      <c r="T335">
        <v>41.09</v>
      </c>
      <c r="U335">
        <f t="shared" si="5"/>
        <v>0</v>
      </c>
    </row>
    <row r="336" spans="1:21" x14ac:dyDescent="0.25">
      <c r="A336" s="2" t="s">
        <v>667</v>
      </c>
      <c r="B336" s="2" t="s">
        <v>668</v>
      </c>
      <c r="C336" s="1">
        <v>45732</v>
      </c>
      <c r="D336" s="2" t="s">
        <v>38</v>
      </c>
      <c r="E336" s="2" t="s">
        <v>67</v>
      </c>
      <c r="F336" s="2" t="s">
        <v>40</v>
      </c>
      <c r="G336">
        <v>3</v>
      </c>
      <c r="H336" s="2" t="s">
        <v>77</v>
      </c>
      <c r="I336">
        <v>237.48</v>
      </c>
      <c r="J336">
        <v>0</v>
      </c>
      <c r="K336">
        <v>0</v>
      </c>
      <c r="L336">
        <v>56.52</v>
      </c>
      <c r="M336">
        <v>112.36</v>
      </c>
      <c r="N336">
        <v>0</v>
      </c>
      <c r="O336">
        <v>7.19</v>
      </c>
      <c r="P336" s="2" t="s">
        <v>42</v>
      </c>
      <c r="Q336">
        <v>0</v>
      </c>
      <c r="R336">
        <v>237.48</v>
      </c>
      <c r="S336">
        <v>176.07</v>
      </c>
      <c r="T336">
        <v>61.41</v>
      </c>
      <c r="U336">
        <f t="shared" si="5"/>
        <v>0</v>
      </c>
    </row>
    <row r="337" spans="1:21" x14ac:dyDescent="0.25">
      <c r="A337" s="2" t="s">
        <v>669</v>
      </c>
      <c r="B337" s="2" t="s">
        <v>524</v>
      </c>
      <c r="C337" s="1">
        <v>45380</v>
      </c>
      <c r="D337" s="2" t="s">
        <v>45</v>
      </c>
      <c r="E337" s="2" t="s">
        <v>71</v>
      </c>
      <c r="F337" s="2" t="s">
        <v>40</v>
      </c>
      <c r="G337">
        <v>3</v>
      </c>
      <c r="H337" s="2" t="s">
        <v>64</v>
      </c>
      <c r="I337">
        <v>55.16</v>
      </c>
      <c r="J337">
        <v>5</v>
      </c>
      <c r="K337">
        <v>2.76</v>
      </c>
      <c r="L337">
        <v>22.66</v>
      </c>
      <c r="M337">
        <v>23.87</v>
      </c>
      <c r="N337">
        <v>0</v>
      </c>
      <c r="O337">
        <v>1.82</v>
      </c>
      <c r="P337" s="2" t="s">
        <v>42</v>
      </c>
      <c r="Q337">
        <v>0</v>
      </c>
      <c r="R337">
        <v>52.4</v>
      </c>
      <c r="S337">
        <v>48.35</v>
      </c>
      <c r="T337">
        <v>4.05</v>
      </c>
      <c r="U337">
        <f t="shared" si="5"/>
        <v>0</v>
      </c>
    </row>
    <row r="338" spans="1:21" x14ac:dyDescent="0.25">
      <c r="A338" s="2" t="s">
        <v>670</v>
      </c>
      <c r="B338" s="2" t="s">
        <v>605</v>
      </c>
      <c r="C338" s="1">
        <v>45908</v>
      </c>
      <c r="D338" s="2" t="s">
        <v>80</v>
      </c>
      <c r="E338" s="2" t="s">
        <v>46</v>
      </c>
      <c r="F338" s="2" t="s">
        <v>51</v>
      </c>
      <c r="G338">
        <v>1</v>
      </c>
      <c r="H338" s="2" t="s">
        <v>41</v>
      </c>
      <c r="I338">
        <v>84.5</v>
      </c>
      <c r="J338">
        <v>0</v>
      </c>
      <c r="K338">
        <v>0</v>
      </c>
      <c r="L338">
        <v>27.16</v>
      </c>
      <c r="M338">
        <v>45.9</v>
      </c>
      <c r="N338">
        <v>6.76</v>
      </c>
      <c r="O338">
        <v>2.75</v>
      </c>
      <c r="P338" s="2" t="s">
        <v>42</v>
      </c>
      <c r="Q338">
        <v>0</v>
      </c>
      <c r="R338">
        <v>84.5</v>
      </c>
      <c r="S338">
        <v>82.57</v>
      </c>
      <c r="T338">
        <v>1.93</v>
      </c>
      <c r="U338">
        <f t="shared" si="5"/>
        <v>0</v>
      </c>
    </row>
    <row r="339" spans="1:21" x14ac:dyDescent="0.25">
      <c r="A339" s="2" t="s">
        <v>671</v>
      </c>
      <c r="B339" s="2" t="s">
        <v>672</v>
      </c>
      <c r="C339" s="1">
        <v>45754</v>
      </c>
      <c r="D339" s="2" t="s">
        <v>59</v>
      </c>
      <c r="E339" s="2" t="s">
        <v>46</v>
      </c>
      <c r="F339" s="2" t="s">
        <v>47</v>
      </c>
      <c r="G339">
        <v>2</v>
      </c>
      <c r="H339" s="2" t="s">
        <v>74</v>
      </c>
      <c r="I339">
        <v>205.45</v>
      </c>
      <c r="J339">
        <v>0</v>
      </c>
      <c r="K339">
        <v>0</v>
      </c>
      <c r="L339">
        <v>27.62</v>
      </c>
      <c r="M339">
        <v>99.39</v>
      </c>
      <c r="N339">
        <v>30.82</v>
      </c>
      <c r="O339">
        <v>6.26</v>
      </c>
      <c r="P339" s="2" t="s">
        <v>42</v>
      </c>
      <c r="Q339">
        <v>0</v>
      </c>
      <c r="R339">
        <v>205.45</v>
      </c>
      <c r="S339">
        <v>164.09</v>
      </c>
      <c r="T339">
        <v>41.36</v>
      </c>
      <c r="U339">
        <f t="shared" si="5"/>
        <v>0</v>
      </c>
    </row>
    <row r="340" spans="1:21" x14ac:dyDescent="0.25">
      <c r="A340" s="2" t="s">
        <v>673</v>
      </c>
      <c r="B340" s="2" t="s">
        <v>674</v>
      </c>
      <c r="C340" s="1">
        <v>45778</v>
      </c>
      <c r="D340" s="2" t="s">
        <v>45</v>
      </c>
      <c r="E340" s="2" t="s">
        <v>71</v>
      </c>
      <c r="F340" s="2" t="s">
        <v>40</v>
      </c>
      <c r="G340">
        <v>2</v>
      </c>
      <c r="H340" s="2" t="s">
        <v>77</v>
      </c>
      <c r="I340">
        <v>60.36</v>
      </c>
      <c r="J340">
        <v>5</v>
      </c>
      <c r="K340">
        <v>3.02</v>
      </c>
      <c r="L340">
        <v>21.14</v>
      </c>
      <c r="M340">
        <v>20.6</v>
      </c>
      <c r="N340">
        <v>0</v>
      </c>
      <c r="O340">
        <v>1.96</v>
      </c>
      <c r="P340" s="2" t="s">
        <v>42</v>
      </c>
      <c r="Q340">
        <v>0</v>
      </c>
      <c r="R340">
        <v>57.34</v>
      </c>
      <c r="S340">
        <v>43.7</v>
      </c>
      <c r="T340">
        <v>13.64</v>
      </c>
      <c r="U340">
        <f t="shared" si="5"/>
        <v>0</v>
      </c>
    </row>
    <row r="341" spans="1:21" x14ac:dyDescent="0.25">
      <c r="A341" s="2" t="s">
        <v>675</v>
      </c>
      <c r="B341" s="2" t="s">
        <v>676</v>
      </c>
      <c r="C341" s="1">
        <v>45834</v>
      </c>
      <c r="D341" s="2" t="s">
        <v>80</v>
      </c>
      <c r="E341" s="2" t="s">
        <v>71</v>
      </c>
      <c r="F341" s="2" t="s">
        <v>47</v>
      </c>
      <c r="G341">
        <v>2</v>
      </c>
      <c r="H341" s="2" t="s">
        <v>56</v>
      </c>
      <c r="I341">
        <v>126.57</v>
      </c>
      <c r="J341">
        <v>20</v>
      </c>
      <c r="K341">
        <v>25.31</v>
      </c>
      <c r="L341">
        <v>28.18</v>
      </c>
      <c r="M341">
        <v>68.13</v>
      </c>
      <c r="N341">
        <v>8.1</v>
      </c>
      <c r="O341">
        <v>3.24</v>
      </c>
      <c r="P341" s="2" t="s">
        <v>42</v>
      </c>
      <c r="Q341">
        <v>0</v>
      </c>
      <c r="R341">
        <v>101.26</v>
      </c>
      <c r="S341">
        <v>107.65</v>
      </c>
      <c r="T341">
        <v>-6.39</v>
      </c>
      <c r="U341">
        <f t="shared" si="5"/>
        <v>0</v>
      </c>
    </row>
    <row r="342" spans="1:21" x14ac:dyDescent="0.25">
      <c r="A342" s="2" t="s">
        <v>677</v>
      </c>
      <c r="B342" s="2" t="s">
        <v>678</v>
      </c>
      <c r="C342" s="1">
        <v>45607</v>
      </c>
      <c r="D342" s="2" t="s">
        <v>80</v>
      </c>
      <c r="E342" s="2" t="s">
        <v>46</v>
      </c>
      <c r="F342" s="2" t="s">
        <v>94</v>
      </c>
      <c r="G342">
        <v>1</v>
      </c>
      <c r="H342" s="2" t="s">
        <v>64</v>
      </c>
      <c r="I342">
        <v>63.94</v>
      </c>
      <c r="J342">
        <v>0</v>
      </c>
      <c r="K342">
        <v>0</v>
      </c>
      <c r="L342">
        <v>8.4600000000000009</v>
      </c>
      <c r="M342">
        <v>20.51</v>
      </c>
      <c r="N342">
        <v>5.12</v>
      </c>
      <c r="O342">
        <v>2.15</v>
      </c>
      <c r="P342" s="2" t="s">
        <v>42</v>
      </c>
      <c r="Q342">
        <v>0</v>
      </c>
      <c r="R342">
        <v>63.94</v>
      </c>
      <c r="S342">
        <v>36.24</v>
      </c>
      <c r="T342">
        <v>27.7</v>
      </c>
      <c r="U342">
        <f t="shared" si="5"/>
        <v>0</v>
      </c>
    </row>
    <row r="343" spans="1:21" x14ac:dyDescent="0.25">
      <c r="A343" s="2" t="s">
        <v>679</v>
      </c>
      <c r="B343" s="2" t="s">
        <v>637</v>
      </c>
      <c r="C343" s="1">
        <v>45802</v>
      </c>
      <c r="D343" s="2" t="s">
        <v>59</v>
      </c>
      <c r="E343" s="2" t="s">
        <v>71</v>
      </c>
      <c r="F343" s="2" t="s">
        <v>94</v>
      </c>
      <c r="G343">
        <v>1</v>
      </c>
      <c r="H343" s="2" t="s">
        <v>48</v>
      </c>
      <c r="I343">
        <v>63.78</v>
      </c>
      <c r="J343">
        <v>10</v>
      </c>
      <c r="K343">
        <v>6.38</v>
      </c>
      <c r="L343">
        <v>3.9</v>
      </c>
      <c r="M343">
        <v>23.51</v>
      </c>
      <c r="N343">
        <v>8.61</v>
      </c>
      <c r="O343">
        <v>1.96</v>
      </c>
      <c r="P343" s="2" t="s">
        <v>42</v>
      </c>
      <c r="Q343">
        <v>0</v>
      </c>
      <c r="R343">
        <v>57.4</v>
      </c>
      <c r="S343">
        <v>37.979999999999997</v>
      </c>
      <c r="T343">
        <v>19.420000000000002</v>
      </c>
      <c r="U343">
        <f t="shared" si="5"/>
        <v>0</v>
      </c>
    </row>
    <row r="344" spans="1:21" x14ac:dyDescent="0.25">
      <c r="A344" s="2" t="s">
        <v>680</v>
      </c>
      <c r="B344" s="2" t="s">
        <v>681</v>
      </c>
      <c r="C344" s="1">
        <v>45676</v>
      </c>
      <c r="D344" s="2" t="s">
        <v>80</v>
      </c>
      <c r="E344" s="2" t="s">
        <v>71</v>
      </c>
      <c r="F344" s="2" t="s">
        <v>40</v>
      </c>
      <c r="G344">
        <v>1</v>
      </c>
      <c r="H344" s="2" t="s">
        <v>74</v>
      </c>
      <c r="I344">
        <v>36.880000000000003</v>
      </c>
      <c r="J344">
        <v>10</v>
      </c>
      <c r="K344">
        <v>3.69</v>
      </c>
      <c r="L344">
        <v>9.24</v>
      </c>
      <c r="M344">
        <v>11.28</v>
      </c>
      <c r="N344">
        <v>2.66</v>
      </c>
      <c r="O344">
        <v>1.26</v>
      </c>
      <c r="P344" s="2" t="s">
        <v>42</v>
      </c>
      <c r="Q344">
        <v>0</v>
      </c>
      <c r="R344">
        <v>33.19</v>
      </c>
      <c r="S344">
        <v>24.44</v>
      </c>
      <c r="T344">
        <v>8.75</v>
      </c>
      <c r="U344">
        <f t="shared" si="5"/>
        <v>0</v>
      </c>
    </row>
    <row r="345" spans="1:21" x14ac:dyDescent="0.25">
      <c r="A345" s="2" t="s">
        <v>682</v>
      </c>
      <c r="B345" s="2" t="s">
        <v>683</v>
      </c>
      <c r="C345" s="1">
        <v>45536</v>
      </c>
      <c r="D345" s="2" t="s">
        <v>59</v>
      </c>
      <c r="E345" s="2" t="s">
        <v>71</v>
      </c>
      <c r="F345" s="2" t="s">
        <v>94</v>
      </c>
      <c r="G345">
        <v>2</v>
      </c>
      <c r="H345" s="2" t="s">
        <v>77</v>
      </c>
      <c r="I345">
        <v>288.95999999999998</v>
      </c>
      <c r="J345">
        <v>5</v>
      </c>
      <c r="K345">
        <v>14.45</v>
      </c>
      <c r="L345">
        <v>46.38</v>
      </c>
      <c r="M345">
        <v>92.48</v>
      </c>
      <c r="N345">
        <v>41.18</v>
      </c>
      <c r="O345">
        <v>8.26</v>
      </c>
      <c r="P345" s="2" t="s">
        <v>68</v>
      </c>
      <c r="Q345">
        <v>274.51</v>
      </c>
      <c r="R345">
        <v>0</v>
      </c>
      <c r="S345">
        <v>188.3</v>
      </c>
      <c r="T345">
        <v>-188.3</v>
      </c>
      <c r="U345">
        <f t="shared" si="5"/>
        <v>0</v>
      </c>
    </row>
    <row r="346" spans="1:21" x14ac:dyDescent="0.25">
      <c r="A346" s="2" t="s">
        <v>684</v>
      </c>
      <c r="B346" s="2" t="s">
        <v>685</v>
      </c>
      <c r="C346" s="1">
        <v>45779</v>
      </c>
      <c r="D346" s="2" t="s">
        <v>38</v>
      </c>
      <c r="E346" s="2" t="s">
        <v>71</v>
      </c>
      <c r="F346" s="2" t="s">
        <v>40</v>
      </c>
      <c r="G346">
        <v>1</v>
      </c>
      <c r="H346" s="2" t="s">
        <v>111</v>
      </c>
      <c r="I346">
        <v>26.25</v>
      </c>
      <c r="J346">
        <v>0</v>
      </c>
      <c r="K346">
        <v>0</v>
      </c>
      <c r="L346">
        <v>7.18</v>
      </c>
      <c r="M346">
        <v>10.78</v>
      </c>
      <c r="N346">
        <v>0</v>
      </c>
      <c r="O346">
        <v>1.06</v>
      </c>
      <c r="P346" s="2" t="s">
        <v>42</v>
      </c>
      <c r="Q346">
        <v>0</v>
      </c>
      <c r="R346">
        <v>26.25</v>
      </c>
      <c r="S346">
        <v>19.02</v>
      </c>
      <c r="T346">
        <v>7.23</v>
      </c>
      <c r="U346">
        <f t="shared" si="5"/>
        <v>0</v>
      </c>
    </row>
    <row r="347" spans="1:21" x14ac:dyDescent="0.25">
      <c r="A347" s="2" t="s">
        <v>686</v>
      </c>
      <c r="B347" s="2" t="s">
        <v>625</v>
      </c>
      <c r="C347" s="1">
        <v>45959</v>
      </c>
      <c r="D347" s="2" t="s">
        <v>80</v>
      </c>
      <c r="E347" s="2" t="s">
        <v>46</v>
      </c>
      <c r="F347" s="2" t="s">
        <v>85</v>
      </c>
      <c r="G347">
        <v>2</v>
      </c>
      <c r="H347" s="2" t="s">
        <v>48</v>
      </c>
      <c r="I347">
        <v>87.02</v>
      </c>
      <c r="J347">
        <v>25</v>
      </c>
      <c r="K347">
        <v>21.76</v>
      </c>
      <c r="L347">
        <v>36.42</v>
      </c>
      <c r="M347">
        <v>35.880000000000003</v>
      </c>
      <c r="N347">
        <v>5.22</v>
      </c>
      <c r="O347">
        <v>2.19</v>
      </c>
      <c r="P347" s="2" t="s">
        <v>42</v>
      </c>
      <c r="Q347">
        <v>0</v>
      </c>
      <c r="R347">
        <v>65.260000000000005</v>
      </c>
      <c r="S347">
        <v>79.709999999999994</v>
      </c>
      <c r="T347">
        <v>-14.45</v>
      </c>
      <c r="U347">
        <f t="shared" si="5"/>
        <v>1</v>
      </c>
    </row>
    <row r="348" spans="1:21" x14ac:dyDescent="0.25">
      <c r="A348" s="2" t="s">
        <v>687</v>
      </c>
      <c r="B348" s="2" t="s">
        <v>688</v>
      </c>
      <c r="C348" s="1">
        <v>45928</v>
      </c>
      <c r="D348" s="2" t="s">
        <v>59</v>
      </c>
      <c r="E348" s="2" t="s">
        <v>46</v>
      </c>
      <c r="F348" s="2" t="s">
        <v>94</v>
      </c>
      <c r="G348">
        <v>2</v>
      </c>
      <c r="H348" s="2" t="s">
        <v>41</v>
      </c>
      <c r="I348">
        <v>765.26</v>
      </c>
      <c r="J348">
        <v>10</v>
      </c>
      <c r="K348">
        <v>76.53</v>
      </c>
      <c r="L348">
        <v>42.64</v>
      </c>
      <c r="M348">
        <v>239.76</v>
      </c>
      <c r="N348">
        <v>103.31</v>
      </c>
      <c r="O348">
        <v>20.27</v>
      </c>
      <c r="P348" s="2" t="s">
        <v>42</v>
      </c>
      <c r="Q348">
        <v>0</v>
      </c>
      <c r="R348">
        <v>688.73</v>
      </c>
      <c r="S348">
        <v>405.98</v>
      </c>
      <c r="T348">
        <v>282.75</v>
      </c>
      <c r="U348">
        <f t="shared" si="5"/>
        <v>0</v>
      </c>
    </row>
    <row r="349" spans="1:21" x14ac:dyDescent="0.25">
      <c r="A349" s="2" t="s">
        <v>689</v>
      </c>
      <c r="B349" s="2" t="s">
        <v>690</v>
      </c>
      <c r="C349" s="1">
        <v>45575</v>
      </c>
      <c r="D349" s="2" t="s">
        <v>59</v>
      </c>
      <c r="E349" s="2" t="s">
        <v>46</v>
      </c>
      <c r="F349" s="2" t="s">
        <v>40</v>
      </c>
      <c r="G349">
        <v>1</v>
      </c>
      <c r="H349" s="2" t="s">
        <v>111</v>
      </c>
      <c r="I349">
        <v>28.43</v>
      </c>
      <c r="J349">
        <v>0</v>
      </c>
      <c r="K349">
        <v>0</v>
      </c>
      <c r="L349">
        <v>3.74</v>
      </c>
      <c r="M349">
        <v>16.12</v>
      </c>
      <c r="N349">
        <v>4.26</v>
      </c>
      <c r="O349">
        <v>1.1200000000000001</v>
      </c>
      <c r="P349" s="2" t="s">
        <v>42</v>
      </c>
      <c r="Q349">
        <v>0</v>
      </c>
      <c r="R349">
        <v>28.43</v>
      </c>
      <c r="S349">
        <v>25.24</v>
      </c>
      <c r="T349">
        <v>3.19</v>
      </c>
      <c r="U349">
        <f t="shared" si="5"/>
        <v>0</v>
      </c>
    </row>
    <row r="350" spans="1:21" x14ac:dyDescent="0.25">
      <c r="A350" s="2" t="s">
        <v>691</v>
      </c>
      <c r="B350" s="2" t="s">
        <v>692</v>
      </c>
      <c r="C350" s="1">
        <v>45631</v>
      </c>
      <c r="D350" s="2" t="s">
        <v>45</v>
      </c>
      <c r="E350" s="2" t="s">
        <v>67</v>
      </c>
      <c r="F350" s="2" t="s">
        <v>47</v>
      </c>
      <c r="G350">
        <v>4</v>
      </c>
      <c r="H350" s="2" t="s">
        <v>52</v>
      </c>
      <c r="I350">
        <v>240.47</v>
      </c>
      <c r="J350">
        <v>20</v>
      </c>
      <c r="K350">
        <v>48.09</v>
      </c>
      <c r="L350">
        <v>73.959999999999994</v>
      </c>
      <c r="M350">
        <v>142.13</v>
      </c>
      <c r="N350">
        <v>0</v>
      </c>
      <c r="O350">
        <v>5.88</v>
      </c>
      <c r="P350" s="2" t="s">
        <v>42</v>
      </c>
      <c r="Q350">
        <v>0</v>
      </c>
      <c r="R350">
        <v>192.38</v>
      </c>
      <c r="S350">
        <v>221.97</v>
      </c>
      <c r="T350">
        <v>-29.59</v>
      </c>
      <c r="U350">
        <f t="shared" si="5"/>
        <v>0</v>
      </c>
    </row>
    <row r="351" spans="1:21" x14ac:dyDescent="0.25">
      <c r="A351" s="2" t="s">
        <v>693</v>
      </c>
      <c r="B351" s="2" t="s">
        <v>694</v>
      </c>
      <c r="C351" s="1">
        <v>45899</v>
      </c>
      <c r="D351" s="2" t="s">
        <v>45</v>
      </c>
      <c r="E351" s="2" t="s">
        <v>67</v>
      </c>
      <c r="F351" s="2" t="s">
        <v>47</v>
      </c>
      <c r="G351">
        <v>2</v>
      </c>
      <c r="H351" s="2" t="s">
        <v>64</v>
      </c>
      <c r="I351">
        <v>160.93</v>
      </c>
      <c r="J351">
        <v>15</v>
      </c>
      <c r="K351">
        <v>24.14</v>
      </c>
      <c r="L351">
        <v>16.920000000000002</v>
      </c>
      <c r="M351">
        <v>80.11</v>
      </c>
      <c r="N351">
        <v>0</v>
      </c>
      <c r="O351">
        <v>4.2699999999999996</v>
      </c>
      <c r="P351" s="2" t="s">
        <v>42</v>
      </c>
      <c r="Q351">
        <v>0</v>
      </c>
      <c r="R351">
        <v>136.79</v>
      </c>
      <c r="S351">
        <v>101.3</v>
      </c>
      <c r="T351">
        <v>35.49</v>
      </c>
      <c r="U351">
        <f t="shared" si="5"/>
        <v>0</v>
      </c>
    </row>
    <row r="352" spans="1:21" x14ac:dyDescent="0.25">
      <c r="A352" s="2" t="s">
        <v>695</v>
      </c>
      <c r="B352" s="2" t="s">
        <v>696</v>
      </c>
      <c r="C352" s="1">
        <v>45896</v>
      </c>
      <c r="D352" s="2" t="s">
        <v>80</v>
      </c>
      <c r="E352" s="2" t="s">
        <v>46</v>
      </c>
      <c r="F352" s="2" t="s">
        <v>51</v>
      </c>
      <c r="G352">
        <v>1</v>
      </c>
      <c r="H352" s="2" t="s">
        <v>77</v>
      </c>
      <c r="I352">
        <v>79.5</v>
      </c>
      <c r="J352">
        <v>10</v>
      </c>
      <c r="K352">
        <v>7.95</v>
      </c>
      <c r="L352">
        <v>16.5</v>
      </c>
      <c r="M352">
        <v>24.18</v>
      </c>
      <c r="N352">
        <v>5.72</v>
      </c>
      <c r="O352">
        <v>2.37</v>
      </c>
      <c r="P352" s="2" t="s">
        <v>42</v>
      </c>
      <c r="Q352">
        <v>0</v>
      </c>
      <c r="R352">
        <v>71.55</v>
      </c>
      <c r="S352">
        <v>48.77</v>
      </c>
      <c r="T352">
        <v>22.78</v>
      </c>
      <c r="U352">
        <f t="shared" si="5"/>
        <v>0</v>
      </c>
    </row>
    <row r="353" spans="1:21" x14ac:dyDescent="0.25">
      <c r="A353" s="2" t="s">
        <v>697</v>
      </c>
      <c r="B353" s="2" t="s">
        <v>698</v>
      </c>
      <c r="C353" s="1">
        <v>45803</v>
      </c>
      <c r="D353" s="2" t="s">
        <v>45</v>
      </c>
      <c r="E353" s="2" t="s">
        <v>46</v>
      </c>
      <c r="F353" s="2" t="s">
        <v>51</v>
      </c>
      <c r="G353">
        <v>1</v>
      </c>
      <c r="H353" s="2" t="s">
        <v>52</v>
      </c>
      <c r="I353">
        <v>10.050000000000001</v>
      </c>
      <c r="J353">
        <v>25</v>
      </c>
      <c r="K353">
        <v>2.5099999999999998</v>
      </c>
      <c r="L353">
        <v>9.18</v>
      </c>
      <c r="M353">
        <v>6.91</v>
      </c>
      <c r="N353">
        <v>0</v>
      </c>
      <c r="O353">
        <v>0.52</v>
      </c>
      <c r="P353" s="2" t="s">
        <v>42</v>
      </c>
      <c r="Q353">
        <v>0</v>
      </c>
      <c r="R353">
        <v>7.54</v>
      </c>
      <c r="S353">
        <v>16.61</v>
      </c>
      <c r="T353">
        <v>-9.07</v>
      </c>
      <c r="U353">
        <f t="shared" si="5"/>
        <v>0</v>
      </c>
    </row>
    <row r="354" spans="1:21" x14ac:dyDescent="0.25">
      <c r="A354" s="2" t="s">
        <v>699</v>
      </c>
      <c r="B354" s="2" t="s">
        <v>700</v>
      </c>
      <c r="C354" s="1">
        <v>45871</v>
      </c>
      <c r="D354" s="2" t="s">
        <v>45</v>
      </c>
      <c r="E354" s="2" t="s">
        <v>71</v>
      </c>
      <c r="F354" s="2" t="s">
        <v>51</v>
      </c>
      <c r="G354">
        <v>2</v>
      </c>
      <c r="H354" s="2" t="s">
        <v>111</v>
      </c>
      <c r="I354">
        <v>113</v>
      </c>
      <c r="J354">
        <v>0</v>
      </c>
      <c r="K354">
        <v>0</v>
      </c>
      <c r="L354">
        <v>20.12</v>
      </c>
      <c r="M354">
        <v>37.64</v>
      </c>
      <c r="N354">
        <v>0</v>
      </c>
      <c r="O354">
        <v>3.58</v>
      </c>
      <c r="P354" s="2" t="s">
        <v>42</v>
      </c>
      <c r="Q354">
        <v>0</v>
      </c>
      <c r="R354">
        <v>113</v>
      </c>
      <c r="S354">
        <v>61.34</v>
      </c>
      <c r="T354">
        <v>51.66</v>
      </c>
      <c r="U354">
        <f t="shared" si="5"/>
        <v>0</v>
      </c>
    </row>
    <row r="355" spans="1:21" x14ac:dyDescent="0.25">
      <c r="A355" s="2" t="s">
        <v>701</v>
      </c>
      <c r="B355" s="2" t="s">
        <v>702</v>
      </c>
      <c r="C355" s="1">
        <v>45664</v>
      </c>
      <c r="D355" s="2" t="s">
        <v>45</v>
      </c>
      <c r="E355" s="2" t="s">
        <v>46</v>
      </c>
      <c r="F355" s="2" t="s">
        <v>85</v>
      </c>
      <c r="G355">
        <v>2</v>
      </c>
      <c r="H355" s="2" t="s">
        <v>41</v>
      </c>
      <c r="I355">
        <v>113.16</v>
      </c>
      <c r="J355">
        <v>0</v>
      </c>
      <c r="K355">
        <v>0</v>
      </c>
      <c r="L355">
        <v>24.68</v>
      </c>
      <c r="M355">
        <v>56.09</v>
      </c>
      <c r="N355">
        <v>0</v>
      </c>
      <c r="O355">
        <v>3.58</v>
      </c>
      <c r="P355" s="2" t="s">
        <v>42</v>
      </c>
      <c r="Q355">
        <v>0</v>
      </c>
      <c r="R355">
        <v>113.16</v>
      </c>
      <c r="S355">
        <v>84.35</v>
      </c>
      <c r="T355">
        <v>28.81</v>
      </c>
      <c r="U355">
        <f t="shared" si="5"/>
        <v>0</v>
      </c>
    </row>
    <row r="356" spans="1:21" x14ac:dyDescent="0.25">
      <c r="A356" s="2" t="s">
        <v>703</v>
      </c>
      <c r="B356" s="2" t="s">
        <v>408</v>
      </c>
      <c r="C356" s="1">
        <v>45739</v>
      </c>
      <c r="D356" s="2" t="s">
        <v>45</v>
      </c>
      <c r="E356" s="2" t="s">
        <v>67</v>
      </c>
      <c r="F356" s="2" t="s">
        <v>47</v>
      </c>
      <c r="G356">
        <v>1</v>
      </c>
      <c r="H356" s="2" t="s">
        <v>56</v>
      </c>
      <c r="I356">
        <v>70.38</v>
      </c>
      <c r="J356">
        <v>0</v>
      </c>
      <c r="K356">
        <v>0</v>
      </c>
      <c r="L356">
        <v>10.039999999999999</v>
      </c>
      <c r="M356">
        <v>23.42</v>
      </c>
      <c r="N356">
        <v>0</v>
      </c>
      <c r="O356">
        <v>2.34</v>
      </c>
      <c r="P356" s="2" t="s">
        <v>42</v>
      </c>
      <c r="Q356">
        <v>0</v>
      </c>
      <c r="R356">
        <v>70.38</v>
      </c>
      <c r="S356">
        <v>35.799999999999997</v>
      </c>
      <c r="T356">
        <v>34.58</v>
      </c>
      <c r="U356">
        <f t="shared" si="5"/>
        <v>0</v>
      </c>
    </row>
    <row r="357" spans="1:21" x14ac:dyDescent="0.25">
      <c r="A357" s="2" t="s">
        <v>704</v>
      </c>
      <c r="B357" s="2" t="s">
        <v>705</v>
      </c>
      <c r="C357" s="1">
        <v>45897</v>
      </c>
      <c r="D357" s="2" t="s">
        <v>38</v>
      </c>
      <c r="E357" s="2" t="s">
        <v>46</v>
      </c>
      <c r="F357" s="2" t="s">
        <v>85</v>
      </c>
      <c r="G357">
        <v>2</v>
      </c>
      <c r="H357" s="2" t="s">
        <v>111</v>
      </c>
      <c r="I357">
        <v>71.66</v>
      </c>
      <c r="J357">
        <v>0</v>
      </c>
      <c r="K357">
        <v>0</v>
      </c>
      <c r="L357">
        <v>20.36</v>
      </c>
      <c r="M357">
        <v>31.01</v>
      </c>
      <c r="N357">
        <v>0</v>
      </c>
      <c r="O357">
        <v>2.38</v>
      </c>
      <c r="P357" s="2" t="s">
        <v>42</v>
      </c>
      <c r="Q357">
        <v>0</v>
      </c>
      <c r="R357">
        <v>71.66</v>
      </c>
      <c r="S357">
        <v>53.75</v>
      </c>
      <c r="T357">
        <v>17.91</v>
      </c>
      <c r="U357">
        <f t="shared" si="5"/>
        <v>0</v>
      </c>
    </row>
    <row r="358" spans="1:21" x14ac:dyDescent="0.25">
      <c r="A358" s="2" t="s">
        <v>706</v>
      </c>
      <c r="B358" s="2" t="s">
        <v>625</v>
      </c>
      <c r="C358" s="1">
        <v>45529</v>
      </c>
      <c r="D358" s="2" t="s">
        <v>45</v>
      </c>
      <c r="E358" s="2" t="s">
        <v>55</v>
      </c>
      <c r="F358" s="2" t="s">
        <v>51</v>
      </c>
      <c r="G358">
        <v>1</v>
      </c>
      <c r="H358" s="2" t="s">
        <v>52</v>
      </c>
      <c r="I358">
        <v>105.08</v>
      </c>
      <c r="J358">
        <v>0</v>
      </c>
      <c r="K358">
        <v>0</v>
      </c>
      <c r="L358">
        <v>11.64</v>
      </c>
      <c r="M358">
        <v>61.16</v>
      </c>
      <c r="N358">
        <v>0</v>
      </c>
      <c r="O358">
        <v>3.35</v>
      </c>
      <c r="P358" s="2" t="s">
        <v>42</v>
      </c>
      <c r="Q358">
        <v>0</v>
      </c>
      <c r="R358">
        <v>105.08</v>
      </c>
      <c r="S358">
        <v>76.150000000000006</v>
      </c>
      <c r="T358">
        <v>28.93</v>
      </c>
      <c r="U358">
        <f t="shared" si="5"/>
        <v>0</v>
      </c>
    </row>
    <row r="359" spans="1:21" x14ac:dyDescent="0.25">
      <c r="A359" s="2" t="s">
        <v>707</v>
      </c>
      <c r="B359" s="2" t="s">
        <v>708</v>
      </c>
      <c r="C359" s="1">
        <v>45997</v>
      </c>
      <c r="D359" s="2" t="s">
        <v>45</v>
      </c>
      <c r="E359" s="2" t="s">
        <v>46</v>
      </c>
      <c r="F359" s="2" t="s">
        <v>94</v>
      </c>
      <c r="G359">
        <v>1</v>
      </c>
      <c r="H359" s="2" t="s">
        <v>111</v>
      </c>
      <c r="I359">
        <v>104.73</v>
      </c>
      <c r="J359">
        <v>10</v>
      </c>
      <c r="K359">
        <v>10.47</v>
      </c>
      <c r="L359">
        <v>14.94</v>
      </c>
      <c r="M359">
        <v>34.15</v>
      </c>
      <c r="N359">
        <v>0</v>
      </c>
      <c r="O359">
        <v>3.03</v>
      </c>
      <c r="P359" s="2" t="s">
        <v>68</v>
      </c>
      <c r="Q359">
        <v>94.26</v>
      </c>
      <c r="R359">
        <v>0</v>
      </c>
      <c r="S359">
        <v>52.12</v>
      </c>
      <c r="T359">
        <v>-52.12</v>
      </c>
      <c r="U359">
        <f t="shared" si="5"/>
        <v>0</v>
      </c>
    </row>
    <row r="360" spans="1:21" x14ac:dyDescent="0.25">
      <c r="A360" s="2" t="s">
        <v>709</v>
      </c>
      <c r="B360" s="2" t="s">
        <v>710</v>
      </c>
      <c r="C360" s="1">
        <v>45797</v>
      </c>
      <c r="D360" s="2" t="s">
        <v>45</v>
      </c>
      <c r="E360" s="2" t="s">
        <v>46</v>
      </c>
      <c r="F360" s="2" t="s">
        <v>94</v>
      </c>
      <c r="G360">
        <v>2</v>
      </c>
      <c r="H360" s="2" t="s">
        <v>74</v>
      </c>
      <c r="I360">
        <v>73</v>
      </c>
      <c r="J360">
        <v>0</v>
      </c>
      <c r="K360">
        <v>0</v>
      </c>
      <c r="L360">
        <v>22.84</v>
      </c>
      <c r="M360">
        <v>28.29</v>
      </c>
      <c r="N360">
        <v>0</v>
      </c>
      <c r="O360">
        <v>2.42</v>
      </c>
      <c r="P360" s="2" t="s">
        <v>42</v>
      </c>
      <c r="Q360">
        <v>0</v>
      </c>
      <c r="R360">
        <v>73</v>
      </c>
      <c r="S360">
        <v>53.55</v>
      </c>
      <c r="T360">
        <v>19.45</v>
      </c>
      <c r="U360">
        <f t="shared" si="5"/>
        <v>0</v>
      </c>
    </row>
    <row r="361" spans="1:21" x14ac:dyDescent="0.25">
      <c r="A361" s="2" t="s">
        <v>711</v>
      </c>
      <c r="B361" s="2" t="s">
        <v>461</v>
      </c>
      <c r="C361" s="1">
        <v>45559</v>
      </c>
      <c r="D361" s="2" t="s">
        <v>59</v>
      </c>
      <c r="E361" s="2" t="s">
        <v>39</v>
      </c>
      <c r="F361" s="2" t="s">
        <v>40</v>
      </c>
      <c r="G361">
        <v>1</v>
      </c>
      <c r="H361" s="2" t="s">
        <v>52</v>
      </c>
      <c r="I361">
        <v>20.100000000000001</v>
      </c>
      <c r="J361">
        <v>10</v>
      </c>
      <c r="K361">
        <v>2.0099999999999998</v>
      </c>
      <c r="L361">
        <v>18.36</v>
      </c>
      <c r="M361">
        <v>13.82</v>
      </c>
      <c r="N361">
        <v>2.71</v>
      </c>
      <c r="O361">
        <v>0.82</v>
      </c>
      <c r="P361" s="2" t="s">
        <v>42</v>
      </c>
      <c r="Q361">
        <v>0</v>
      </c>
      <c r="R361">
        <v>18.09</v>
      </c>
      <c r="S361">
        <v>35.71</v>
      </c>
      <c r="T361">
        <v>-17.62</v>
      </c>
      <c r="U361">
        <f t="shared" si="5"/>
        <v>1</v>
      </c>
    </row>
    <row r="362" spans="1:21" x14ac:dyDescent="0.25">
      <c r="A362" s="2" t="s">
        <v>712</v>
      </c>
      <c r="B362" s="2" t="s">
        <v>713</v>
      </c>
      <c r="C362" s="1">
        <v>45531</v>
      </c>
      <c r="D362" s="2" t="s">
        <v>59</v>
      </c>
      <c r="E362" s="2" t="s">
        <v>46</v>
      </c>
      <c r="F362" s="2" t="s">
        <v>47</v>
      </c>
      <c r="G362">
        <v>2</v>
      </c>
      <c r="H362" s="2" t="s">
        <v>56</v>
      </c>
      <c r="I362">
        <v>281.99</v>
      </c>
      <c r="J362">
        <v>0</v>
      </c>
      <c r="K362">
        <v>0</v>
      </c>
      <c r="L362">
        <v>38.159999999999997</v>
      </c>
      <c r="M362">
        <v>125.93</v>
      </c>
      <c r="N362">
        <v>42.3</v>
      </c>
      <c r="O362">
        <v>8.48</v>
      </c>
      <c r="P362" s="2" t="s">
        <v>42</v>
      </c>
      <c r="Q362">
        <v>0</v>
      </c>
      <c r="R362">
        <v>281.99</v>
      </c>
      <c r="S362">
        <v>214.87</v>
      </c>
      <c r="T362">
        <v>67.12</v>
      </c>
      <c r="U362">
        <f t="shared" si="5"/>
        <v>0</v>
      </c>
    </row>
    <row r="363" spans="1:21" x14ac:dyDescent="0.25">
      <c r="A363" s="2" t="s">
        <v>714</v>
      </c>
      <c r="B363" s="2" t="s">
        <v>715</v>
      </c>
      <c r="C363" s="1">
        <v>45841</v>
      </c>
      <c r="D363" s="2" t="s">
        <v>45</v>
      </c>
      <c r="E363" s="2" t="s">
        <v>67</v>
      </c>
      <c r="F363" s="2" t="s">
        <v>47</v>
      </c>
      <c r="G363">
        <v>1</v>
      </c>
      <c r="H363" s="2" t="s">
        <v>77</v>
      </c>
      <c r="I363">
        <v>9.94</v>
      </c>
      <c r="J363">
        <v>10</v>
      </c>
      <c r="K363">
        <v>0.99</v>
      </c>
      <c r="L363">
        <v>7.34</v>
      </c>
      <c r="M363">
        <v>6.71</v>
      </c>
      <c r="N363">
        <v>0</v>
      </c>
      <c r="O363">
        <v>0.56000000000000005</v>
      </c>
      <c r="P363" s="2" t="s">
        <v>42</v>
      </c>
      <c r="Q363">
        <v>0</v>
      </c>
      <c r="R363">
        <v>8.9499999999999993</v>
      </c>
      <c r="S363">
        <v>14.61</v>
      </c>
      <c r="T363">
        <v>-5.66</v>
      </c>
      <c r="U363">
        <f t="shared" si="5"/>
        <v>0</v>
      </c>
    </row>
    <row r="364" spans="1:21" x14ac:dyDescent="0.25">
      <c r="A364" s="2" t="s">
        <v>716</v>
      </c>
      <c r="B364" s="2" t="s">
        <v>199</v>
      </c>
      <c r="C364" s="1">
        <v>45865</v>
      </c>
      <c r="D364" s="2" t="s">
        <v>38</v>
      </c>
      <c r="E364" s="2" t="s">
        <v>46</v>
      </c>
      <c r="F364" s="2" t="s">
        <v>94</v>
      </c>
      <c r="G364">
        <v>2</v>
      </c>
      <c r="H364" s="2" t="s">
        <v>74</v>
      </c>
      <c r="I364">
        <v>276.94</v>
      </c>
      <c r="J364">
        <v>10</v>
      </c>
      <c r="K364">
        <v>27.69</v>
      </c>
      <c r="L364">
        <v>46.08</v>
      </c>
      <c r="M364">
        <v>148.56</v>
      </c>
      <c r="N364">
        <v>0</v>
      </c>
      <c r="O364">
        <v>7.53</v>
      </c>
      <c r="P364" s="2" t="s">
        <v>42</v>
      </c>
      <c r="Q364">
        <v>0</v>
      </c>
      <c r="R364">
        <v>249.25</v>
      </c>
      <c r="S364">
        <v>202.17</v>
      </c>
      <c r="T364">
        <v>47.08</v>
      </c>
      <c r="U364">
        <f t="shared" si="5"/>
        <v>0</v>
      </c>
    </row>
    <row r="365" spans="1:21" x14ac:dyDescent="0.25">
      <c r="A365" s="2" t="s">
        <v>717</v>
      </c>
      <c r="B365" s="2" t="s">
        <v>718</v>
      </c>
      <c r="C365" s="1">
        <v>45823</v>
      </c>
      <c r="D365" s="2" t="s">
        <v>45</v>
      </c>
      <c r="E365" s="2" t="s">
        <v>71</v>
      </c>
      <c r="F365" s="2" t="s">
        <v>94</v>
      </c>
      <c r="G365">
        <v>4</v>
      </c>
      <c r="H365" s="2" t="s">
        <v>111</v>
      </c>
      <c r="I365">
        <v>298.27</v>
      </c>
      <c r="J365">
        <v>0</v>
      </c>
      <c r="K365">
        <v>0</v>
      </c>
      <c r="L365">
        <v>42.7</v>
      </c>
      <c r="M365">
        <v>115.01</v>
      </c>
      <c r="N365">
        <v>0</v>
      </c>
      <c r="O365">
        <v>8.9499999999999993</v>
      </c>
      <c r="P365" s="2" t="s">
        <v>42</v>
      </c>
      <c r="Q365">
        <v>0</v>
      </c>
      <c r="R365">
        <v>298.27</v>
      </c>
      <c r="S365">
        <v>166.66</v>
      </c>
      <c r="T365">
        <v>131.61000000000001</v>
      </c>
      <c r="U365">
        <f t="shared" si="5"/>
        <v>0</v>
      </c>
    </row>
    <row r="366" spans="1:21" x14ac:dyDescent="0.25">
      <c r="A366" s="2" t="s">
        <v>719</v>
      </c>
      <c r="B366" s="2" t="s">
        <v>720</v>
      </c>
      <c r="C366" s="1">
        <v>45988</v>
      </c>
      <c r="D366" s="2" t="s">
        <v>45</v>
      </c>
      <c r="E366" s="2" t="s">
        <v>39</v>
      </c>
      <c r="F366" s="2" t="s">
        <v>40</v>
      </c>
      <c r="G366">
        <v>1</v>
      </c>
      <c r="H366" s="2" t="s">
        <v>111</v>
      </c>
      <c r="I366">
        <v>62.18</v>
      </c>
      <c r="J366">
        <v>5</v>
      </c>
      <c r="K366">
        <v>3.11</v>
      </c>
      <c r="L366">
        <v>6.06</v>
      </c>
      <c r="M366">
        <v>26.96</v>
      </c>
      <c r="N366">
        <v>0</v>
      </c>
      <c r="O366">
        <v>2.0099999999999998</v>
      </c>
      <c r="P366" s="2" t="s">
        <v>42</v>
      </c>
      <c r="Q366">
        <v>0</v>
      </c>
      <c r="R366">
        <v>59.07</v>
      </c>
      <c r="S366">
        <v>35.03</v>
      </c>
      <c r="T366">
        <v>24.04</v>
      </c>
      <c r="U366">
        <f t="shared" si="5"/>
        <v>0</v>
      </c>
    </row>
    <row r="367" spans="1:21" x14ac:dyDescent="0.25">
      <c r="A367" s="2" t="s">
        <v>721</v>
      </c>
      <c r="B367" s="2" t="s">
        <v>301</v>
      </c>
      <c r="C367" s="1">
        <v>45894</v>
      </c>
      <c r="D367" s="2" t="s">
        <v>45</v>
      </c>
      <c r="E367" s="2" t="s">
        <v>46</v>
      </c>
      <c r="F367" s="2" t="s">
        <v>85</v>
      </c>
      <c r="G367">
        <v>1</v>
      </c>
      <c r="H367" s="2" t="s">
        <v>48</v>
      </c>
      <c r="I367">
        <v>122.88</v>
      </c>
      <c r="J367">
        <v>5</v>
      </c>
      <c r="K367">
        <v>6.14</v>
      </c>
      <c r="L367">
        <v>24.12</v>
      </c>
      <c r="M367">
        <v>39.6</v>
      </c>
      <c r="N367">
        <v>0</v>
      </c>
      <c r="O367">
        <v>3.69</v>
      </c>
      <c r="P367" s="2" t="s">
        <v>42</v>
      </c>
      <c r="Q367">
        <v>0</v>
      </c>
      <c r="R367">
        <v>116.74</v>
      </c>
      <c r="S367">
        <v>67.41</v>
      </c>
      <c r="T367">
        <v>49.33</v>
      </c>
      <c r="U367">
        <f t="shared" si="5"/>
        <v>0</v>
      </c>
    </row>
    <row r="368" spans="1:21" x14ac:dyDescent="0.25">
      <c r="A368" s="2" t="s">
        <v>722</v>
      </c>
      <c r="B368" s="2" t="s">
        <v>274</v>
      </c>
      <c r="C368" s="1">
        <v>45785</v>
      </c>
      <c r="D368" s="2" t="s">
        <v>59</v>
      </c>
      <c r="E368" s="2" t="s">
        <v>67</v>
      </c>
      <c r="F368" s="2" t="s">
        <v>51</v>
      </c>
      <c r="G368">
        <v>1</v>
      </c>
      <c r="H368" s="2" t="s">
        <v>56</v>
      </c>
      <c r="I368">
        <v>103.35</v>
      </c>
      <c r="J368">
        <v>5</v>
      </c>
      <c r="K368">
        <v>5.17</v>
      </c>
      <c r="L368">
        <v>5.0199999999999996</v>
      </c>
      <c r="M368">
        <v>30.95</v>
      </c>
      <c r="N368">
        <v>14.73</v>
      </c>
      <c r="O368">
        <v>3.15</v>
      </c>
      <c r="P368" s="2" t="s">
        <v>42</v>
      </c>
      <c r="Q368">
        <v>0</v>
      </c>
      <c r="R368">
        <v>98.18</v>
      </c>
      <c r="S368">
        <v>53.85</v>
      </c>
      <c r="T368">
        <v>44.33</v>
      </c>
      <c r="U368">
        <f t="shared" si="5"/>
        <v>0</v>
      </c>
    </row>
    <row r="369" spans="1:21" x14ac:dyDescent="0.25">
      <c r="A369" s="2" t="s">
        <v>723</v>
      </c>
      <c r="B369" s="2" t="s">
        <v>724</v>
      </c>
      <c r="C369" s="1">
        <v>45838</v>
      </c>
      <c r="D369" s="2" t="s">
        <v>45</v>
      </c>
      <c r="E369" s="2" t="s">
        <v>39</v>
      </c>
      <c r="F369" s="2" t="s">
        <v>51</v>
      </c>
      <c r="G369">
        <v>1</v>
      </c>
      <c r="H369" s="2" t="s">
        <v>41</v>
      </c>
      <c r="I369">
        <v>268.26</v>
      </c>
      <c r="J369">
        <v>10</v>
      </c>
      <c r="K369">
        <v>26.83</v>
      </c>
      <c r="L369">
        <v>32.340000000000003</v>
      </c>
      <c r="M369">
        <v>108.9</v>
      </c>
      <c r="N369">
        <v>0</v>
      </c>
      <c r="O369">
        <v>7.3</v>
      </c>
      <c r="P369" s="2" t="s">
        <v>42</v>
      </c>
      <c r="Q369">
        <v>0</v>
      </c>
      <c r="R369">
        <v>241.43</v>
      </c>
      <c r="S369">
        <v>148.54</v>
      </c>
      <c r="T369">
        <v>92.89</v>
      </c>
      <c r="U369">
        <f t="shared" si="5"/>
        <v>0</v>
      </c>
    </row>
    <row r="370" spans="1:21" x14ac:dyDescent="0.25">
      <c r="A370" s="2" t="s">
        <v>725</v>
      </c>
      <c r="B370" s="2" t="s">
        <v>726</v>
      </c>
      <c r="C370" s="1">
        <v>45503</v>
      </c>
      <c r="D370" s="2" t="s">
        <v>38</v>
      </c>
      <c r="E370" s="2" t="s">
        <v>46</v>
      </c>
      <c r="F370" s="2" t="s">
        <v>85</v>
      </c>
      <c r="G370">
        <v>3</v>
      </c>
      <c r="H370" s="2" t="s">
        <v>52</v>
      </c>
      <c r="I370">
        <v>33.799999999999997</v>
      </c>
      <c r="J370">
        <v>25</v>
      </c>
      <c r="K370">
        <v>8.4499999999999993</v>
      </c>
      <c r="L370">
        <v>35.299999999999997</v>
      </c>
      <c r="M370">
        <v>14.05</v>
      </c>
      <c r="N370">
        <v>0</v>
      </c>
      <c r="O370">
        <v>1.04</v>
      </c>
      <c r="P370" s="2" t="s">
        <v>42</v>
      </c>
      <c r="Q370">
        <v>0</v>
      </c>
      <c r="R370">
        <v>25.35</v>
      </c>
      <c r="S370">
        <v>50.39</v>
      </c>
      <c r="T370">
        <v>-25.04</v>
      </c>
      <c r="U370">
        <f t="shared" si="5"/>
        <v>0</v>
      </c>
    </row>
    <row r="371" spans="1:21" x14ac:dyDescent="0.25">
      <c r="A371" s="2" t="s">
        <v>727</v>
      </c>
      <c r="B371" s="2" t="s">
        <v>163</v>
      </c>
      <c r="C371" s="1">
        <v>45848</v>
      </c>
      <c r="D371" s="2" t="s">
        <v>45</v>
      </c>
      <c r="E371" s="2" t="s">
        <v>46</v>
      </c>
      <c r="F371" s="2" t="s">
        <v>40</v>
      </c>
      <c r="G371">
        <v>2</v>
      </c>
      <c r="H371" s="2" t="s">
        <v>77</v>
      </c>
      <c r="I371">
        <v>106.21</v>
      </c>
      <c r="J371">
        <v>0</v>
      </c>
      <c r="K371">
        <v>0</v>
      </c>
      <c r="L371">
        <v>14.98</v>
      </c>
      <c r="M371">
        <v>52.51</v>
      </c>
      <c r="N371">
        <v>0</v>
      </c>
      <c r="O371">
        <v>3.38</v>
      </c>
      <c r="P371" s="2" t="s">
        <v>42</v>
      </c>
      <c r="Q371">
        <v>0</v>
      </c>
      <c r="R371">
        <v>106.21</v>
      </c>
      <c r="S371">
        <v>70.87</v>
      </c>
      <c r="T371">
        <v>35.340000000000003</v>
      </c>
      <c r="U371">
        <f t="shared" si="5"/>
        <v>0</v>
      </c>
    </row>
    <row r="372" spans="1:21" x14ac:dyDescent="0.25">
      <c r="A372" s="2" t="s">
        <v>728</v>
      </c>
      <c r="B372" s="2" t="s">
        <v>729</v>
      </c>
      <c r="C372" s="1">
        <v>45434</v>
      </c>
      <c r="D372" s="2" t="s">
        <v>59</v>
      </c>
      <c r="E372" s="2" t="s">
        <v>55</v>
      </c>
      <c r="F372" s="2" t="s">
        <v>47</v>
      </c>
      <c r="G372">
        <v>1</v>
      </c>
      <c r="H372" s="2" t="s">
        <v>48</v>
      </c>
      <c r="I372">
        <v>47.32</v>
      </c>
      <c r="J372">
        <v>10</v>
      </c>
      <c r="K372">
        <v>4.7300000000000004</v>
      </c>
      <c r="L372">
        <v>9.1</v>
      </c>
      <c r="M372">
        <v>20.94</v>
      </c>
      <c r="N372">
        <v>6.39</v>
      </c>
      <c r="O372">
        <v>1.54</v>
      </c>
      <c r="P372" s="2" t="s">
        <v>42</v>
      </c>
      <c r="Q372">
        <v>0</v>
      </c>
      <c r="R372">
        <v>42.59</v>
      </c>
      <c r="S372">
        <v>37.97</v>
      </c>
      <c r="T372">
        <v>4.62</v>
      </c>
      <c r="U372">
        <f t="shared" si="5"/>
        <v>0</v>
      </c>
    </row>
    <row r="373" spans="1:21" x14ac:dyDescent="0.25">
      <c r="A373" s="2" t="s">
        <v>730</v>
      </c>
      <c r="B373" s="2" t="s">
        <v>201</v>
      </c>
      <c r="C373" s="1">
        <v>45637</v>
      </c>
      <c r="D373" s="2" t="s">
        <v>59</v>
      </c>
      <c r="E373" s="2" t="s">
        <v>46</v>
      </c>
      <c r="F373" s="2" t="s">
        <v>47</v>
      </c>
      <c r="G373">
        <v>3</v>
      </c>
      <c r="H373" s="2" t="s">
        <v>111</v>
      </c>
      <c r="I373">
        <v>247.64</v>
      </c>
      <c r="J373">
        <v>5</v>
      </c>
      <c r="K373">
        <v>12.38</v>
      </c>
      <c r="L373">
        <v>46.6</v>
      </c>
      <c r="M373">
        <v>125.24</v>
      </c>
      <c r="N373">
        <v>35.29</v>
      </c>
      <c r="O373">
        <v>7.12</v>
      </c>
      <c r="P373" s="2" t="s">
        <v>42</v>
      </c>
      <c r="Q373">
        <v>0</v>
      </c>
      <c r="R373">
        <v>235.26</v>
      </c>
      <c r="S373">
        <v>214.25</v>
      </c>
      <c r="T373">
        <v>21.01</v>
      </c>
      <c r="U373">
        <f t="shared" si="5"/>
        <v>0</v>
      </c>
    </row>
    <row r="374" spans="1:21" x14ac:dyDescent="0.25">
      <c r="A374" s="2" t="s">
        <v>731</v>
      </c>
      <c r="B374" s="2" t="s">
        <v>732</v>
      </c>
      <c r="C374" s="1">
        <v>45985</v>
      </c>
      <c r="D374" s="2" t="s">
        <v>38</v>
      </c>
      <c r="E374" s="2" t="s">
        <v>71</v>
      </c>
      <c r="F374" s="2" t="s">
        <v>47</v>
      </c>
      <c r="G374">
        <v>1</v>
      </c>
      <c r="H374" s="2" t="s">
        <v>48</v>
      </c>
      <c r="I374">
        <v>24.02</v>
      </c>
      <c r="J374">
        <v>20</v>
      </c>
      <c r="K374">
        <v>4.8</v>
      </c>
      <c r="L374">
        <v>3.98</v>
      </c>
      <c r="M374">
        <v>10.75</v>
      </c>
      <c r="N374">
        <v>0</v>
      </c>
      <c r="O374">
        <v>0.86</v>
      </c>
      <c r="P374" s="2" t="s">
        <v>42</v>
      </c>
      <c r="Q374">
        <v>0</v>
      </c>
      <c r="R374">
        <v>19.22</v>
      </c>
      <c r="S374">
        <v>15.59</v>
      </c>
      <c r="T374">
        <v>3.63</v>
      </c>
      <c r="U374">
        <f t="shared" si="5"/>
        <v>0</v>
      </c>
    </row>
    <row r="375" spans="1:21" x14ac:dyDescent="0.25">
      <c r="A375" s="2" t="s">
        <v>733</v>
      </c>
      <c r="B375" s="2" t="s">
        <v>734</v>
      </c>
      <c r="C375" s="1">
        <v>45844</v>
      </c>
      <c r="D375" s="2" t="s">
        <v>59</v>
      </c>
      <c r="E375" s="2" t="s">
        <v>67</v>
      </c>
      <c r="F375" s="2" t="s">
        <v>85</v>
      </c>
      <c r="G375">
        <v>3</v>
      </c>
      <c r="H375" s="2" t="s">
        <v>52</v>
      </c>
      <c r="I375">
        <v>125.82</v>
      </c>
      <c r="J375">
        <v>0</v>
      </c>
      <c r="K375">
        <v>0</v>
      </c>
      <c r="L375">
        <v>33.299999999999997</v>
      </c>
      <c r="M375">
        <v>54.56</v>
      </c>
      <c r="N375">
        <v>18.87</v>
      </c>
      <c r="O375">
        <v>3.95</v>
      </c>
      <c r="P375" s="2" t="s">
        <v>42</v>
      </c>
      <c r="Q375">
        <v>0</v>
      </c>
      <c r="R375">
        <v>125.82</v>
      </c>
      <c r="S375">
        <v>110.68</v>
      </c>
      <c r="T375">
        <v>15.14</v>
      </c>
      <c r="U375">
        <f t="shared" si="5"/>
        <v>0</v>
      </c>
    </row>
    <row r="376" spans="1:21" x14ac:dyDescent="0.25">
      <c r="A376" s="2" t="s">
        <v>735</v>
      </c>
      <c r="B376" s="2" t="s">
        <v>736</v>
      </c>
      <c r="C376" s="1">
        <v>45832</v>
      </c>
      <c r="D376" s="2" t="s">
        <v>59</v>
      </c>
      <c r="E376" s="2" t="s">
        <v>55</v>
      </c>
      <c r="F376" s="2" t="s">
        <v>40</v>
      </c>
      <c r="G376">
        <v>1</v>
      </c>
      <c r="H376" s="2" t="s">
        <v>41</v>
      </c>
      <c r="I376">
        <v>24.38</v>
      </c>
      <c r="J376">
        <v>20</v>
      </c>
      <c r="K376">
        <v>4.88</v>
      </c>
      <c r="L376">
        <v>13.9</v>
      </c>
      <c r="M376">
        <v>16.190000000000001</v>
      </c>
      <c r="N376">
        <v>2.92</v>
      </c>
      <c r="O376">
        <v>0.87</v>
      </c>
      <c r="P376" s="2" t="s">
        <v>68</v>
      </c>
      <c r="Q376">
        <v>19.5</v>
      </c>
      <c r="R376">
        <v>0</v>
      </c>
      <c r="S376">
        <v>33.880000000000003</v>
      </c>
      <c r="T376">
        <v>-33.880000000000003</v>
      </c>
      <c r="U376">
        <f t="shared" si="5"/>
        <v>0</v>
      </c>
    </row>
    <row r="377" spans="1:21" x14ac:dyDescent="0.25">
      <c r="A377" s="2" t="s">
        <v>737</v>
      </c>
      <c r="B377" s="2" t="s">
        <v>738</v>
      </c>
      <c r="C377" s="1">
        <v>45866</v>
      </c>
      <c r="D377" s="2" t="s">
        <v>45</v>
      </c>
      <c r="E377" s="2" t="s">
        <v>39</v>
      </c>
      <c r="F377" s="2" t="s">
        <v>85</v>
      </c>
      <c r="G377">
        <v>1</v>
      </c>
      <c r="H377" s="2" t="s">
        <v>77</v>
      </c>
      <c r="I377">
        <v>23.2</v>
      </c>
      <c r="J377">
        <v>10</v>
      </c>
      <c r="K377">
        <v>2.3199999999999998</v>
      </c>
      <c r="L377">
        <v>7.98</v>
      </c>
      <c r="M377">
        <v>6.77</v>
      </c>
      <c r="N377">
        <v>0</v>
      </c>
      <c r="O377">
        <v>0.91</v>
      </c>
      <c r="P377" s="2" t="s">
        <v>42</v>
      </c>
      <c r="Q377">
        <v>0</v>
      </c>
      <c r="R377">
        <v>20.88</v>
      </c>
      <c r="S377">
        <v>15.66</v>
      </c>
      <c r="T377">
        <v>5.22</v>
      </c>
      <c r="U377">
        <f t="shared" si="5"/>
        <v>0</v>
      </c>
    </row>
    <row r="378" spans="1:21" x14ac:dyDescent="0.25">
      <c r="A378" s="2" t="s">
        <v>739</v>
      </c>
      <c r="B378" s="2" t="s">
        <v>363</v>
      </c>
      <c r="C378" s="1">
        <v>45775</v>
      </c>
      <c r="D378" s="2" t="s">
        <v>45</v>
      </c>
      <c r="E378" s="2" t="s">
        <v>46</v>
      </c>
      <c r="F378" s="2" t="s">
        <v>51</v>
      </c>
      <c r="G378">
        <v>4</v>
      </c>
      <c r="H378" s="2" t="s">
        <v>56</v>
      </c>
      <c r="I378">
        <v>173.72</v>
      </c>
      <c r="J378">
        <v>10</v>
      </c>
      <c r="K378">
        <v>17.37</v>
      </c>
      <c r="L378">
        <v>52.16</v>
      </c>
      <c r="M378">
        <v>66.81</v>
      </c>
      <c r="N378">
        <v>0</v>
      </c>
      <c r="O378">
        <v>4.83</v>
      </c>
      <c r="P378" s="2" t="s">
        <v>42</v>
      </c>
      <c r="Q378">
        <v>0</v>
      </c>
      <c r="R378">
        <v>156.35</v>
      </c>
      <c r="S378">
        <v>123.8</v>
      </c>
      <c r="T378">
        <v>32.549999999999997</v>
      </c>
      <c r="U378">
        <f t="shared" si="5"/>
        <v>1</v>
      </c>
    </row>
    <row r="379" spans="1:21" x14ac:dyDescent="0.25">
      <c r="A379" s="2" t="s">
        <v>740</v>
      </c>
      <c r="B379" s="2" t="s">
        <v>186</v>
      </c>
      <c r="C379" s="1">
        <v>45872</v>
      </c>
      <c r="D379" s="2" t="s">
        <v>38</v>
      </c>
      <c r="E379" s="2" t="s">
        <v>39</v>
      </c>
      <c r="F379" s="2" t="s">
        <v>85</v>
      </c>
      <c r="G379">
        <v>4</v>
      </c>
      <c r="H379" s="2" t="s">
        <v>111</v>
      </c>
      <c r="I379">
        <v>338.66</v>
      </c>
      <c r="J379">
        <v>15</v>
      </c>
      <c r="K379">
        <v>50.8</v>
      </c>
      <c r="L379">
        <v>44.94</v>
      </c>
      <c r="M379">
        <v>157.1</v>
      </c>
      <c r="N379">
        <v>0</v>
      </c>
      <c r="O379">
        <v>8.65</v>
      </c>
      <c r="P379" s="2" t="s">
        <v>42</v>
      </c>
      <c r="Q379">
        <v>0</v>
      </c>
      <c r="R379">
        <v>287.86</v>
      </c>
      <c r="S379">
        <v>210.69</v>
      </c>
      <c r="T379">
        <v>77.17</v>
      </c>
      <c r="U379">
        <f t="shared" si="5"/>
        <v>0</v>
      </c>
    </row>
    <row r="380" spans="1:21" x14ac:dyDescent="0.25">
      <c r="A380" s="2" t="s">
        <v>741</v>
      </c>
      <c r="B380" s="2" t="s">
        <v>742</v>
      </c>
      <c r="C380" s="1">
        <v>45777</v>
      </c>
      <c r="D380" s="2" t="s">
        <v>59</v>
      </c>
      <c r="E380" s="2" t="s">
        <v>67</v>
      </c>
      <c r="F380" s="2" t="s">
        <v>47</v>
      </c>
      <c r="G380">
        <v>1</v>
      </c>
      <c r="H380" s="2" t="s">
        <v>48</v>
      </c>
      <c r="I380">
        <v>106.23</v>
      </c>
      <c r="J380">
        <v>20</v>
      </c>
      <c r="K380">
        <v>21.25</v>
      </c>
      <c r="L380">
        <v>36.42</v>
      </c>
      <c r="M380">
        <v>56.67</v>
      </c>
      <c r="N380">
        <v>12.75</v>
      </c>
      <c r="O380">
        <v>2.76</v>
      </c>
      <c r="P380" s="2" t="s">
        <v>42</v>
      </c>
      <c r="Q380">
        <v>0</v>
      </c>
      <c r="R380">
        <v>84.98</v>
      </c>
      <c r="S380">
        <v>108.6</v>
      </c>
      <c r="T380">
        <v>-23.62</v>
      </c>
      <c r="U380">
        <f t="shared" si="5"/>
        <v>0</v>
      </c>
    </row>
    <row r="381" spans="1:21" x14ac:dyDescent="0.25">
      <c r="A381" s="2" t="s">
        <v>743</v>
      </c>
      <c r="B381" s="2" t="s">
        <v>355</v>
      </c>
      <c r="C381" s="1">
        <v>45801</v>
      </c>
      <c r="D381" s="2" t="s">
        <v>45</v>
      </c>
      <c r="E381" s="2" t="s">
        <v>71</v>
      </c>
      <c r="F381" s="2" t="s">
        <v>85</v>
      </c>
      <c r="G381">
        <v>3</v>
      </c>
      <c r="H381" s="2" t="s">
        <v>48</v>
      </c>
      <c r="I381">
        <v>145.91999999999999</v>
      </c>
      <c r="J381">
        <v>15</v>
      </c>
      <c r="K381">
        <v>21.89</v>
      </c>
      <c r="L381">
        <v>28.72</v>
      </c>
      <c r="M381">
        <v>71.06</v>
      </c>
      <c r="N381">
        <v>0</v>
      </c>
      <c r="O381">
        <v>3.9</v>
      </c>
      <c r="P381" s="2" t="s">
        <v>42</v>
      </c>
      <c r="Q381">
        <v>0</v>
      </c>
      <c r="R381">
        <v>124.03</v>
      </c>
      <c r="S381">
        <v>103.68</v>
      </c>
      <c r="T381">
        <v>20.350000000000001</v>
      </c>
      <c r="U381">
        <f t="shared" si="5"/>
        <v>0</v>
      </c>
    </row>
    <row r="382" spans="1:21" x14ac:dyDescent="0.25">
      <c r="A382" s="2" t="s">
        <v>744</v>
      </c>
      <c r="B382" s="2" t="s">
        <v>530</v>
      </c>
      <c r="C382" s="1">
        <v>45843</v>
      </c>
      <c r="D382" s="2" t="s">
        <v>38</v>
      </c>
      <c r="E382" s="2" t="s">
        <v>39</v>
      </c>
      <c r="F382" s="2" t="s">
        <v>94</v>
      </c>
      <c r="G382">
        <v>5</v>
      </c>
      <c r="H382" s="2" t="s">
        <v>64</v>
      </c>
      <c r="I382">
        <v>449.88</v>
      </c>
      <c r="J382">
        <v>0</v>
      </c>
      <c r="K382">
        <v>0</v>
      </c>
      <c r="L382">
        <v>66.48</v>
      </c>
      <c r="M382">
        <v>153.06</v>
      </c>
      <c r="N382">
        <v>0</v>
      </c>
      <c r="O382">
        <v>13.35</v>
      </c>
      <c r="P382" s="2" t="s">
        <v>42</v>
      </c>
      <c r="Q382">
        <v>0</v>
      </c>
      <c r="R382">
        <v>449.88</v>
      </c>
      <c r="S382">
        <v>232.89</v>
      </c>
      <c r="T382">
        <v>216.99</v>
      </c>
      <c r="U382">
        <f t="shared" si="5"/>
        <v>0</v>
      </c>
    </row>
    <row r="383" spans="1:21" x14ac:dyDescent="0.25">
      <c r="A383" s="2" t="s">
        <v>745</v>
      </c>
      <c r="B383" s="2" t="s">
        <v>170</v>
      </c>
      <c r="C383" s="1">
        <v>45904</v>
      </c>
      <c r="D383" s="2" t="s">
        <v>59</v>
      </c>
      <c r="E383" s="2" t="s">
        <v>67</v>
      </c>
      <c r="F383" s="2" t="s">
        <v>85</v>
      </c>
      <c r="G383">
        <v>4</v>
      </c>
      <c r="H383" s="2" t="s">
        <v>56</v>
      </c>
      <c r="I383">
        <v>477.27</v>
      </c>
      <c r="J383">
        <v>15</v>
      </c>
      <c r="K383">
        <v>71.59</v>
      </c>
      <c r="L383">
        <v>55.22</v>
      </c>
      <c r="M383">
        <v>180.41</v>
      </c>
      <c r="N383">
        <v>60.85</v>
      </c>
      <c r="O383">
        <v>12.06</v>
      </c>
      <c r="P383" s="2" t="s">
        <v>42</v>
      </c>
      <c r="Q383">
        <v>0</v>
      </c>
      <c r="R383">
        <v>405.68</v>
      </c>
      <c r="S383">
        <v>308.54000000000002</v>
      </c>
      <c r="T383">
        <v>97.14</v>
      </c>
      <c r="U383">
        <f t="shared" si="5"/>
        <v>0</v>
      </c>
    </row>
    <row r="384" spans="1:21" x14ac:dyDescent="0.25">
      <c r="A384" s="2" t="s">
        <v>746</v>
      </c>
      <c r="B384" s="2" t="s">
        <v>747</v>
      </c>
      <c r="C384" s="1">
        <v>45783</v>
      </c>
      <c r="D384" s="2" t="s">
        <v>45</v>
      </c>
      <c r="E384" s="2" t="s">
        <v>71</v>
      </c>
      <c r="F384" s="2" t="s">
        <v>94</v>
      </c>
      <c r="G384">
        <v>1</v>
      </c>
      <c r="H384" s="2" t="s">
        <v>56</v>
      </c>
      <c r="I384">
        <v>208.14</v>
      </c>
      <c r="J384">
        <v>0</v>
      </c>
      <c r="K384">
        <v>0</v>
      </c>
      <c r="L384">
        <v>42.9</v>
      </c>
      <c r="M384">
        <v>81.09</v>
      </c>
      <c r="N384">
        <v>0</v>
      </c>
      <c r="O384">
        <v>6.34</v>
      </c>
      <c r="P384" s="2" t="s">
        <v>42</v>
      </c>
      <c r="Q384">
        <v>0</v>
      </c>
      <c r="R384">
        <v>208.14</v>
      </c>
      <c r="S384">
        <v>130.33000000000001</v>
      </c>
      <c r="T384">
        <v>77.81</v>
      </c>
      <c r="U384">
        <f t="shared" si="5"/>
        <v>0</v>
      </c>
    </row>
    <row r="385" spans="1:21" x14ac:dyDescent="0.25">
      <c r="A385" s="2" t="s">
        <v>748</v>
      </c>
      <c r="B385" s="2" t="s">
        <v>749</v>
      </c>
      <c r="C385" s="1">
        <v>45879</v>
      </c>
      <c r="D385" s="2" t="s">
        <v>38</v>
      </c>
      <c r="E385" s="2" t="s">
        <v>46</v>
      </c>
      <c r="F385" s="2" t="s">
        <v>51</v>
      </c>
      <c r="G385">
        <v>1</v>
      </c>
      <c r="H385" s="2" t="s">
        <v>111</v>
      </c>
      <c r="I385">
        <v>105.44</v>
      </c>
      <c r="J385">
        <v>0</v>
      </c>
      <c r="K385">
        <v>0</v>
      </c>
      <c r="L385">
        <v>8.94</v>
      </c>
      <c r="M385">
        <v>42.07</v>
      </c>
      <c r="N385">
        <v>0</v>
      </c>
      <c r="O385">
        <v>3.36</v>
      </c>
      <c r="P385" s="2" t="s">
        <v>42</v>
      </c>
      <c r="Q385">
        <v>0</v>
      </c>
      <c r="R385">
        <v>105.44</v>
      </c>
      <c r="S385">
        <v>54.37</v>
      </c>
      <c r="T385">
        <v>51.07</v>
      </c>
      <c r="U385">
        <f t="shared" si="5"/>
        <v>0</v>
      </c>
    </row>
    <row r="386" spans="1:21" x14ac:dyDescent="0.25">
      <c r="A386" s="2" t="s">
        <v>750</v>
      </c>
      <c r="B386" s="2" t="s">
        <v>500</v>
      </c>
      <c r="C386" s="1">
        <v>45322</v>
      </c>
      <c r="D386" s="2" t="s">
        <v>45</v>
      </c>
      <c r="E386" s="2" t="s">
        <v>46</v>
      </c>
      <c r="F386" s="2" t="s">
        <v>94</v>
      </c>
      <c r="G386">
        <v>1</v>
      </c>
      <c r="H386" s="2" t="s">
        <v>41</v>
      </c>
      <c r="I386">
        <v>112.16</v>
      </c>
      <c r="J386">
        <v>25</v>
      </c>
      <c r="K386">
        <v>28.04</v>
      </c>
      <c r="L386">
        <v>26.84</v>
      </c>
      <c r="M386">
        <v>58.88</v>
      </c>
      <c r="N386">
        <v>0</v>
      </c>
      <c r="O386">
        <v>2.74</v>
      </c>
      <c r="P386" s="2" t="s">
        <v>42</v>
      </c>
      <c r="Q386">
        <v>0</v>
      </c>
      <c r="R386">
        <v>84.12</v>
      </c>
      <c r="S386">
        <v>88.46</v>
      </c>
      <c r="T386">
        <v>-4.34</v>
      </c>
      <c r="U386">
        <f t="shared" si="5"/>
        <v>0</v>
      </c>
    </row>
    <row r="387" spans="1:21" x14ac:dyDescent="0.25">
      <c r="A387" s="2" t="s">
        <v>751</v>
      </c>
      <c r="B387" s="2" t="s">
        <v>271</v>
      </c>
      <c r="C387" s="1">
        <v>45793</v>
      </c>
      <c r="D387" s="2" t="s">
        <v>59</v>
      </c>
      <c r="E387" s="2" t="s">
        <v>46</v>
      </c>
      <c r="F387" s="2" t="s">
        <v>94</v>
      </c>
      <c r="G387">
        <v>1</v>
      </c>
      <c r="H387" s="2" t="s">
        <v>41</v>
      </c>
      <c r="I387">
        <v>73.73</v>
      </c>
      <c r="J387">
        <v>15</v>
      </c>
      <c r="K387">
        <v>11.06</v>
      </c>
      <c r="L387">
        <v>9.34</v>
      </c>
      <c r="M387">
        <v>48.17</v>
      </c>
      <c r="N387">
        <v>9.4</v>
      </c>
      <c r="O387">
        <v>2.12</v>
      </c>
      <c r="P387" s="2" t="s">
        <v>42</v>
      </c>
      <c r="Q387">
        <v>0</v>
      </c>
      <c r="R387">
        <v>62.67</v>
      </c>
      <c r="S387">
        <v>69.03</v>
      </c>
      <c r="T387">
        <v>-6.36</v>
      </c>
      <c r="U387">
        <f t="shared" si="5"/>
        <v>0</v>
      </c>
    </row>
    <row r="388" spans="1:21" x14ac:dyDescent="0.25">
      <c r="A388" s="2" t="s">
        <v>752</v>
      </c>
      <c r="B388" s="2" t="s">
        <v>753</v>
      </c>
      <c r="C388" s="1">
        <v>45856</v>
      </c>
      <c r="D388" s="2" t="s">
        <v>45</v>
      </c>
      <c r="E388" s="2" t="s">
        <v>46</v>
      </c>
      <c r="F388" s="2" t="s">
        <v>85</v>
      </c>
      <c r="G388">
        <v>1</v>
      </c>
      <c r="H388" s="2" t="s">
        <v>41</v>
      </c>
      <c r="I388">
        <v>153.84</v>
      </c>
      <c r="J388">
        <v>5</v>
      </c>
      <c r="K388">
        <v>7.69</v>
      </c>
      <c r="L388">
        <v>37.14</v>
      </c>
      <c r="M388">
        <v>64.319999999999993</v>
      </c>
      <c r="N388">
        <v>0</v>
      </c>
      <c r="O388">
        <v>4.54</v>
      </c>
      <c r="P388" s="2" t="s">
        <v>42</v>
      </c>
      <c r="Q388">
        <v>0</v>
      </c>
      <c r="R388">
        <v>146.15</v>
      </c>
      <c r="S388">
        <v>106</v>
      </c>
      <c r="T388">
        <v>40.15</v>
      </c>
      <c r="U388">
        <f t="shared" si="5"/>
        <v>0</v>
      </c>
    </row>
    <row r="389" spans="1:21" x14ac:dyDescent="0.25">
      <c r="A389" s="2" t="s">
        <v>754</v>
      </c>
      <c r="B389" s="2" t="s">
        <v>312</v>
      </c>
      <c r="C389" s="1">
        <v>45679</v>
      </c>
      <c r="D389" s="2" t="s">
        <v>38</v>
      </c>
      <c r="E389" s="2" t="s">
        <v>46</v>
      </c>
      <c r="F389" s="2" t="s">
        <v>94</v>
      </c>
      <c r="G389">
        <v>4</v>
      </c>
      <c r="H389" s="2" t="s">
        <v>48</v>
      </c>
      <c r="I389">
        <v>259.89</v>
      </c>
      <c r="J389">
        <v>15</v>
      </c>
      <c r="K389">
        <v>38.979999999999997</v>
      </c>
      <c r="L389">
        <v>39.24</v>
      </c>
      <c r="M389">
        <v>92.77</v>
      </c>
      <c r="N389">
        <v>0</v>
      </c>
      <c r="O389">
        <v>6.71</v>
      </c>
      <c r="P389" s="2" t="s">
        <v>42</v>
      </c>
      <c r="Q389">
        <v>0</v>
      </c>
      <c r="R389">
        <v>220.91</v>
      </c>
      <c r="S389">
        <v>138.72</v>
      </c>
      <c r="T389">
        <v>82.19</v>
      </c>
      <c r="U389">
        <f t="shared" ref="U389:U452" si="6">IF(P387="Yes", 1, 0)</f>
        <v>0</v>
      </c>
    </row>
    <row r="390" spans="1:21" x14ac:dyDescent="0.25">
      <c r="A390" s="2" t="s">
        <v>755</v>
      </c>
      <c r="B390" s="2" t="s">
        <v>397</v>
      </c>
      <c r="C390" s="1">
        <v>45814</v>
      </c>
      <c r="D390" s="2" t="s">
        <v>45</v>
      </c>
      <c r="E390" s="2" t="s">
        <v>71</v>
      </c>
      <c r="F390" s="2" t="s">
        <v>94</v>
      </c>
      <c r="G390">
        <v>1</v>
      </c>
      <c r="H390" s="2" t="s">
        <v>64</v>
      </c>
      <c r="I390">
        <v>7.77</v>
      </c>
      <c r="J390">
        <v>5</v>
      </c>
      <c r="K390">
        <v>0.39</v>
      </c>
      <c r="L390">
        <v>4.7</v>
      </c>
      <c r="M390">
        <v>4.58</v>
      </c>
      <c r="N390">
        <v>0</v>
      </c>
      <c r="O390">
        <v>0.51</v>
      </c>
      <c r="P390" s="2" t="s">
        <v>42</v>
      </c>
      <c r="Q390">
        <v>0</v>
      </c>
      <c r="R390">
        <v>7.38</v>
      </c>
      <c r="S390">
        <v>9.7899999999999991</v>
      </c>
      <c r="T390">
        <v>-2.41</v>
      </c>
      <c r="U390">
        <f t="shared" si="6"/>
        <v>0</v>
      </c>
    </row>
    <row r="391" spans="1:21" x14ac:dyDescent="0.25">
      <c r="A391" s="2" t="s">
        <v>756</v>
      </c>
      <c r="B391" s="2" t="s">
        <v>264</v>
      </c>
      <c r="C391" s="1">
        <v>45764</v>
      </c>
      <c r="D391" s="2" t="s">
        <v>59</v>
      </c>
      <c r="E391" s="2" t="s">
        <v>46</v>
      </c>
      <c r="F391" s="2" t="s">
        <v>51</v>
      </c>
      <c r="G391">
        <v>1</v>
      </c>
      <c r="H391" s="2" t="s">
        <v>56</v>
      </c>
      <c r="I391">
        <v>14.58</v>
      </c>
      <c r="J391">
        <v>0</v>
      </c>
      <c r="K391">
        <v>0</v>
      </c>
      <c r="L391">
        <v>9.1</v>
      </c>
      <c r="M391">
        <v>4.3600000000000003</v>
      </c>
      <c r="N391">
        <v>2.19</v>
      </c>
      <c r="O391">
        <v>0.72</v>
      </c>
      <c r="P391" s="2" t="s">
        <v>42</v>
      </c>
      <c r="Q391">
        <v>0</v>
      </c>
      <c r="R391">
        <v>14.58</v>
      </c>
      <c r="S391">
        <v>16.37</v>
      </c>
      <c r="T391">
        <v>-1.79</v>
      </c>
      <c r="U391">
        <f t="shared" si="6"/>
        <v>0</v>
      </c>
    </row>
    <row r="392" spans="1:21" x14ac:dyDescent="0.25">
      <c r="A392" s="2" t="s">
        <v>757</v>
      </c>
      <c r="B392" s="2" t="s">
        <v>758</v>
      </c>
      <c r="C392" s="1">
        <v>45691</v>
      </c>
      <c r="D392" s="2" t="s">
        <v>59</v>
      </c>
      <c r="E392" s="2" t="s">
        <v>55</v>
      </c>
      <c r="F392" s="2" t="s">
        <v>94</v>
      </c>
      <c r="G392">
        <v>2</v>
      </c>
      <c r="H392" s="2" t="s">
        <v>111</v>
      </c>
      <c r="I392">
        <v>292.44</v>
      </c>
      <c r="J392">
        <v>0</v>
      </c>
      <c r="K392">
        <v>0</v>
      </c>
      <c r="L392">
        <v>20.56</v>
      </c>
      <c r="M392">
        <v>105.86</v>
      </c>
      <c r="N392">
        <v>43.87</v>
      </c>
      <c r="O392">
        <v>8.7799999999999994</v>
      </c>
      <c r="P392" s="2" t="s">
        <v>42</v>
      </c>
      <c r="Q392">
        <v>0</v>
      </c>
      <c r="R392">
        <v>292.44</v>
      </c>
      <c r="S392">
        <v>179.07</v>
      </c>
      <c r="T392">
        <v>113.37</v>
      </c>
      <c r="U392">
        <f t="shared" si="6"/>
        <v>0</v>
      </c>
    </row>
    <row r="393" spans="1:21" x14ac:dyDescent="0.25">
      <c r="A393" s="2" t="s">
        <v>759</v>
      </c>
      <c r="B393" s="2" t="s">
        <v>760</v>
      </c>
      <c r="C393" s="1">
        <v>45937</v>
      </c>
      <c r="D393" s="2" t="s">
        <v>80</v>
      </c>
      <c r="E393" s="2" t="s">
        <v>55</v>
      </c>
      <c r="F393" s="2" t="s">
        <v>85</v>
      </c>
      <c r="G393">
        <v>1</v>
      </c>
      <c r="H393" s="2" t="s">
        <v>48</v>
      </c>
      <c r="I393">
        <v>106.23</v>
      </c>
      <c r="J393">
        <v>0</v>
      </c>
      <c r="K393">
        <v>0</v>
      </c>
      <c r="L393">
        <v>36.42</v>
      </c>
      <c r="M393">
        <v>56.67</v>
      </c>
      <c r="N393">
        <v>8.5</v>
      </c>
      <c r="O393">
        <v>3.38</v>
      </c>
      <c r="P393" s="2" t="s">
        <v>42</v>
      </c>
      <c r="Q393">
        <v>0</v>
      </c>
      <c r="R393">
        <v>106.23</v>
      </c>
      <c r="S393">
        <v>104.97</v>
      </c>
      <c r="T393">
        <v>1.26</v>
      </c>
      <c r="U393">
        <f t="shared" si="6"/>
        <v>0</v>
      </c>
    </row>
    <row r="394" spans="1:21" x14ac:dyDescent="0.25">
      <c r="A394" s="2" t="s">
        <v>761</v>
      </c>
      <c r="B394" s="2" t="s">
        <v>762</v>
      </c>
      <c r="C394" s="1">
        <v>45847</v>
      </c>
      <c r="D394" s="2" t="s">
        <v>80</v>
      </c>
      <c r="E394" s="2" t="s">
        <v>46</v>
      </c>
      <c r="F394" s="2" t="s">
        <v>85</v>
      </c>
      <c r="G394">
        <v>5</v>
      </c>
      <c r="H394" s="2" t="s">
        <v>52</v>
      </c>
      <c r="I394">
        <v>188.23</v>
      </c>
      <c r="J394">
        <v>25</v>
      </c>
      <c r="K394">
        <v>47.06</v>
      </c>
      <c r="L394">
        <v>39.340000000000003</v>
      </c>
      <c r="M394">
        <v>69.94</v>
      </c>
      <c r="N394">
        <v>11.29</v>
      </c>
      <c r="O394">
        <v>4.3899999999999997</v>
      </c>
      <c r="P394" s="2" t="s">
        <v>42</v>
      </c>
      <c r="Q394">
        <v>0</v>
      </c>
      <c r="R394">
        <v>141.16999999999999</v>
      </c>
      <c r="S394">
        <v>124.96</v>
      </c>
      <c r="T394">
        <v>16.21</v>
      </c>
      <c r="U394">
        <f t="shared" si="6"/>
        <v>0</v>
      </c>
    </row>
    <row r="395" spans="1:21" x14ac:dyDescent="0.25">
      <c r="A395" s="2" t="s">
        <v>763</v>
      </c>
      <c r="B395" s="2" t="s">
        <v>764</v>
      </c>
      <c r="C395" s="1">
        <v>45987</v>
      </c>
      <c r="D395" s="2" t="s">
        <v>59</v>
      </c>
      <c r="E395" s="2" t="s">
        <v>71</v>
      </c>
      <c r="F395" s="2" t="s">
        <v>40</v>
      </c>
      <c r="G395">
        <v>2</v>
      </c>
      <c r="H395" s="2" t="s">
        <v>41</v>
      </c>
      <c r="I395">
        <v>554.75</v>
      </c>
      <c r="J395">
        <v>15</v>
      </c>
      <c r="K395">
        <v>83.21</v>
      </c>
      <c r="L395">
        <v>34.32</v>
      </c>
      <c r="M395">
        <v>187.67</v>
      </c>
      <c r="N395">
        <v>70.73</v>
      </c>
      <c r="O395">
        <v>13.97</v>
      </c>
      <c r="P395" s="2" t="s">
        <v>42</v>
      </c>
      <c r="Q395">
        <v>0</v>
      </c>
      <c r="R395">
        <v>471.54</v>
      </c>
      <c r="S395">
        <v>306.69</v>
      </c>
      <c r="T395">
        <v>164.85</v>
      </c>
      <c r="U395">
        <f t="shared" si="6"/>
        <v>0</v>
      </c>
    </row>
    <row r="396" spans="1:21" x14ac:dyDescent="0.25">
      <c r="A396" s="2" t="s">
        <v>765</v>
      </c>
      <c r="B396" s="2" t="s">
        <v>766</v>
      </c>
      <c r="C396" s="1">
        <v>45771</v>
      </c>
      <c r="D396" s="2" t="s">
        <v>45</v>
      </c>
      <c r="E396" s="2" t="s">
        <v>39</v>
      </c>
      <c r="F396" s="2" t="s">
        <v>94</v>
      </c>
      <c r="G396">
        <v>2</v>
      </c>
      <c r="H396" s="2" t="s">
        <v>74</v>
      </c>
      <c r="I396">
        <v>324.77</v>
      </c>
      <c r="J396">
        <v>0</v>
      </c>
      <c r="K396">
        <v>0</v>
      </c>
      <c r="L396">
        <v>18.420000000000002</v>
      </c>
      <c r="M396">
        <v>102.5</v>
      </c>
      <c r="N396">
        <v>0</v>
      </c>
      <c r="O396">
        <v>9.7200000000000006</v>
      </c>
      <c r="P396" s="2" t="s">
        <v>42</v>
      </c>
      <c r="Q396">
        <v>0</v>
      </c>
      <c r="R396">
        <v>324.77</v>
      </c>
      <c r="S396">
        <v>130.63999999999999</v>
      </c>
      <c r="T396">
        <v>194.13</v>
      </c>
      <c r="U396">
        <f t="shared" si="6"/>
        <v>0</v>
      </c>
    </row>
    <row r="397" spans="1:21" x14ac:dyDescent="0.25">
      <c r="A397" s="2" t="s">
        <v>767</v>
      </c>
      <c r="B397" s="2" t="s">
        <v>768</v>
      </c>
      <c r="C397" s="1">
        <v>45852</v>
      </c>
      <c r="D397" s="2" t="s">
        <v>59</v>
      </c>
      <c r="E397" s="2" t="s">
        <v>46</v>
      </c>
      <c r="F397" s="2" t="s">
        <v>85</v>
      </c>
      <c r="G397">
        <v>1</v>
      </c>
      <c r="H397" s="2" t="s">
        <v>64</v>
      </c>
      <c r="I397">
        <v>89.44</v>
      </c>
      <c r="J397">
        <v>5</v>
      </c>
      <c r="K397">
        <v>4.47</v>
      </c>
      <c r="L397">
        <v>18.84</v>
      </c>
      <c r="M397">
        <v>62.18</v>
      </c>
      <c r="N397">
        <v>12.75</v>
      </c>
      <c r="O397">
        <v>2.76</v>
      </c>
      <c r="P397" s="2" t="s">
        <v>42</v>
      </c>
      <c r="Q397">
        <v>0</v>
      </c>
      <c r="R397">
        <v>84.97</v>
      </c>
      <c r="S397">
        <v>96.53</v>
      </c>
      <c r="T397">
        <v>-11.56</v>
      </c>
      <c r="U397">
        <f t="shared" si="6"/>
        <v>0</v>
      </c>
    </row>
    <row r="398" spans="1:21" x14ac:dyDescent="0.25">
      <c r="A398" s="2" t="s">
        <v>769</v>
      </c>
      <c r="B398" s="2" t="s">
        <v>770</v>
      </c>
      <c r="C398" s="1">
        <v>45652</v>
      </c>
      <c r="D398" s="2" t="s">
        <v>45</v>
      </c>
      <c r="E398" s="2" t="s">
        <v>46</v>
      </c>
      <c r="F398" s="2" t="s">
        <v>47</v>
      </c>
      <c r="G398">
        <v>1</v>
      </c>
      <c r="H398" s="2" t="s">
        <v>41</v>
      </c>
      <c r="I398">
        <v>34</v>
      </c>
      <c r="J398">
        <v>5</v>
      </c>
      <c r="K398">
        <v>1.7</v>
      </c>
      <c r="L398">
        <v>13.66</v>
      </c>
      <c r="M398">
        <v>21.92</v>
      </c>
      <c r="N398">
        <v>0</v>
      </c>
      <c r="O398">
        <v>1.24</v>
      </c>
      <c r="P398" s="2" t="s">
        <v>42</v>
      </c>
      <c r="Q398">
        <v>0</v>
      </c>
      <c r="R398">
        <v>32.299999999999997</v>
      </c>
      <c r="S398">
        <v>36.82</v>
      </c>
      <c r="T398">
        <v>-4.5199999999999996</v>
      </c>
      <c r="U398">
        <f t="shared" si="6"/>
        <v>0</v>
      </c>
    </row>
    <row r="399" spans="1:21" x14ac:dyDescent="0.25">
      <c r="A399" s="2" t="s">
        <v>771</v>
      </c>
      <c r="B399" s="2" t="s">
        <v>511</v>
      </c>
      <c r="C399" s="1">
        <v>45771</v>
      </c>
      <c r="D399" s="2" t="s">
        <v>45</v>
      </c>
      <c r="E399" s="2" t="s">
        <v>71</v>
      </c>
      <c r="F399" s="2" t="s">
        <v>40</v>
      </c>
      <c r="G399">
        <v>3</v>
      </c>
      <c r="H399" s="2" t="s">
        <v>41</v>
      </c>
      <c r="I399">
        <v>766.2</v>
      </c>
      <c r="J399">
        <v>0</v>
      </c>
      <c r="K399">
        <v>0</v>
      </c>
      <c r="L399">
        <v>52.86</v>
      </c>
      <c r="M399">
        <v>247.71</v>
      </c>
      <c r="N399">
        <v>0</v>
      </c>
      <c r="O399">
        <v>22.52</v>
      </c>
      <c r="P399" s="2" t="s">
        <v>68</v>
      </c>
      <c r="Q399">
        <v>766.2</v>
      </c>
      <c r="R399">
        <v>0</v>
      </c>
      <c r="S399">
        <v>323.08999999999997</v>
      </c>
      <c r="T399">
        <v>-323.08999999999997</v>
      </c>
      <c r="U399">
        <f t="shared" si="6"/>
        <v>0</v>
      </c>
    </row>
    <row r="400" spans="1:21" x14ac:dyDescent="0.25">
      <c r="A400" s="2" t="s">
        <v>772</v>
      </c>
      <c r="B400" s="2" t="s">
        <v>394</v>
      </c>
      <c r="C400" s="1">
        <v>45543</v>
      </c>
      <c r="D400" s="2" t="s">
        <v>59</v>
      </c>
      <c r="E400" s="2" t="s">
        <v>46</v>
      </c>
      <c r="F400" s="2" t="s">
        <v>40</v>
      </c>
      <c r="G400">
        <v>1</v>
      </c>
      <c r="H400" s="2" t="s">
        <v>64</v>
      </c>
      <c r="I400">
        <v>90.19</v>
      </c>
      <c r="J400">
        <v>20</v>
      </c>
      <c r="K400">
        <v>18.04</v>
      </c>
      <c r="L400">
        <v>13.42</v>
      </c>
      <c r="M400">
        <v>33.04</v>
      </c>
      <c r="N400">
        <v>10.82</v>
      </c>
      <c r="O400">
        <v>2.39</v>
      </c>
      <c r="P400" s="2" t="s">
        <v>42</v>
      </c>
      <c r="Q400">
        <v>0</v>
      </c>
      <c r="R400">
        <v>72.150000000000006</v>
      </c>
      <c r="S400">
        <v>59.67</v>
      </c>
      <c r="T400">
        <v>12.48</v>
      </c>
      <c r="U400">
        <f t="shared" si="6"/>
        <v>0</v>
      </c>
    </row>
    <row r="401" spans="1:21" x14ac:dyDescent="0.25">
      <c r="A401" s="2" t="s">
        <v>773</v>
      </c>
      <c r="B401" s="2" t="s">
        <v>774</v>
      </c>
      <c r="C401" s="1">
        <v>45758</v>
      </c>
      <c r="D401" s="2" t="s">
        <v>38</v>
      </c>
      <c r="E401" s="2" t="s">
        <v>46</v>
      </c>
      <c r="F401" s="2" t="s">
        <v>51</v>
      </c>
      <c r="G401">
        <v>1</v>
      </c>
      <c r="H401" s="2" t="s">
        <v>52</v>
      </c>
      <c r="I401">
        <v>75.84</v>
      </c>
      <c r="J401">
        <v>15</v>
      </c>
      <c r="K401">
        <v>11.38</v>
      </c>
      <c r="L401">
        <v>12.3</v>
      </c>
      <c r="M401">
        <v>34.479999999999997</v>
      </c>
      <c r="N401">
        <v>0</v>
      </c>
      <c r="O401">
        <v>2.17</v>
      </c>
      <c r="P401" s="2" t="s">
        <v>42</v>
      </c>
      <c r="Q401">
        <v>0</v>
      </c>
      <c r="R401">
        <v>64.459999999999994</v>
      </c>
      <c r="S401">
        <v>48.95</v>
      </c>
      <c r="T401">
        <v>15.51</v>
      </c>
      <c r="U401">
        <f t="shared" si="6"/>
        <v>1</v>
      </c>
    </row>
    <row r="402" spans="1:21" x14ac:dyDescent="0.25">
      <c r="A402" s="2" t="s">
        <v>775</v>
      </c>
      <c r="B402" s="2" t="s">
        <v>713</v>
      </c>
      <c r="C402" s="1">
        <v>45891</v>
      </c>
      <c r="D402" s="2" t="s">
        <v>59</v>
      </c>
      <c r="E402" s="2" t="s">
        <v>71</v>
      </c>
      <c r="F402" s="2" t="s">
        <v>47</v>
      </c>
      <c r="G402">
        <v>1</v>
      </c>
      <c r="H402" s="2" t="s">
        <v>48</v>
      </c>
      <c r="I402">
        <v>10.44</v>
      </c>
      <c r="J402">
        <v>10</v>
      </c>
      <c r="K402">
        <v>1.04</v>
      </c>
      <c r="L402">
        <v>28.6</v>
      </c>
      <c r="M402">
        <v>5.7</v>
      </c>
      <c r="N402">
        <v>1.41</v>
      </c>
      <c r="O402">
        <v>0.56999999999999995</v>
      </c>
      <c r="P402" s="2" t="s">
        <v>42</v>
      </c>
      <c r="Q402">
        <v>0</v>
      </c>
      <c r="R402">
        <v>9.4</v>
      </c>
      <c r="S402">
        <v>36.28</v>
      </c>
      <c r="T402">
        <v>-26.88</v>
      </c>
      <c r="U402">
        <f t="shared" si="6"/>
        <v>0</v>
      </c>
    </row>
    <row r="403" spans="1:21" x14ac:dyDescent="0.25">
      <c r="A403" s="2" t="s">
        <v>776</v>
      </c>
      <c r="B403" s="2" t="s">
        <v>777</v>
      </c>
      <c r="C403" s="1">
        <v>45547</v>
      </c>
      <c r="D403" s="2" t="s">
        <v>38</v>
      </c>
      <c r="E403" s="2" t="s">
        <v>67</v>
      </c>
      <c r="F403" s="2" t="s">
        <v>51</v>
      </c>
      <c r="G403">
        <v>1</v>
      </c>
      <c r="H403" s="2" t="s">
        <v>77</v>
      </c>
      <c r="I403">
        <v>9.0299999999999994</v>
      </c>
      <c r="J403">
        <v>0</v>
      </c>
      <c r="K403">
        <v>0</v>
      </c>
      <c r="L403">
        <v>13.98</v>
      </c>
      <c r="M403">
        <v>6.37</v>
      </c>
      <c r="N403">
        <v>0</v>
      </c>
      <c r="O403">
        <v>0.56000000000000005</v>
      </c>
      <c r="P403" s="2" t="s">
        <v>42</v>
      </c>
      <c r="Q403">
        <v>0</v>
      </c>
      <c r="R403">
        <v>9.0299999999999994</v>
      </c>
      <c r="S403">
        <v>20.91</v>
      </c>
      <c r="T403">
        <v>-11.88</v>
      </c>
      <c r="U403">
        <f t="shared" si="6"/>
        <v>0</v>
      </c>
    </row>
    <row r="404" spans="1:21" x14ac:dyDescent="0.25">
      <c r="A404" s="2" t="s">
        <v>778</v>
      </c>
      <c r="B404" s="2" t="s">
        <v>779</v>
      </c>
      <c r="C404" s="1">
        <v>45436</v>
      </c>
      <c r="D404" s="2" t="s">
        <v>80</v>
      </c>
      <c r="E404" s="2" t="s">
        <v>55</v>
      </c>
      <c r="F404" s="2" t="s">
        <v>47</v>
      </c>
      <c r="G404">
        <v>2</v>
      </c>
      <c r="H404" s="2" t="s">
        <v>111</v>
      </c>
      <c r="I404">
        <v>277.97000000000003</v>
      </c>
      <c r="J404">
        <v>5</v>
      </c>
      <c r="K404">
        <v>13.9</v>
      </c>
      <c r="L404">
        <v>30.1</v>
      </c>
      <c r="M404">
        <v>109.73</v>
      </c>
      <c r="N404">
        <v>21.13</v>
      </c>
      <c r="O404">
        <v>7.96</v>
      </c>
      <c r="P404" s="2" t="s">
        <v>42</v>
      </c>
      <c r="Q404">
        <v>0</v>
      </c>
      <c r="R404">
        <v>264.07</v>
      </c>
      <c r="S404">
        <v>168.92</v>
      </c>
      <c r="T404">
        <v>95.15</v>
      </c>
      <c r="U404">
        <f t="shared" si="6"/>
        <v>0</v>
      </c>
    </row>
    <row r="405" spans="1:21" x14ac:dyDescent="0.25">
      <c r="A405" s="2" t="s">
        <v>780</v>
      </c>
      <c r="B405" s="2" t="s">
        <v>199</v>
      </c>
      <c r="C405" s="1">
        <v>45928</v>
      </c>
      <c r="D405" s="2" t="s">
        <v>45</v>
      </c>
      <c r="E405" s="2" t="s">
        <v>46</v>
      </c>
      <c r="F405" s="2" t="s">
        <v>94</v>
      </c>
      <c r="G405">
        <v>5</v>
      </c>
      <c r="H405" s="2" t="s">
        <v>48</v>
      </c>
      <c r="I405">
        <v>159.86000000000001</v>
      </c>
      <c r="J405">
        <v>0</v>
      </c>
      <c r="K405">
        <v>0</v>
      </c>
      <c r="L405">
        <v>62.2</v>
      </c>
      <c r="M405">
        <v>56.77</v>
      </c>
      <c r="N405">
        <v>0</v>
      </c>
      <c r="O405">
        <v>4.9400000000000004</v>
      </c>
      <c r="P405" s="2" t="s">
        <v>42</v>
      </c>
      <c r="Q405">
        <v>0</v>
      </c>
      <c r="R405">
        <v>159.86000000000001</v>
      </c>
      <c r="S405">
        <v>123.91</v>
      </c>
      <c r="T405">
        <v>35.950000000000003</v>
      </c>
      <c r="U405">
        <f t="shared" si="6"/>
        <v>0</v>
      </c>
    </row>
    <row r="406" spans="1:21" x14ac:dyDescent="0.25">
      <c r="A406" s="2" t="s">
        <v>781</v>
      </c>
      <c r="B406" s="2" t="s">
        <v>782</v>
      </c>
      <c r="C406" s="1">
        <v>45772</v>
      </c>
      <c r="D406" s="2" t="s">
        <v>38</v>
      </c>
      <c r="E406" s="2" t="s">
        <v>46</v>
      </c>
      <c r="F406" s="2" t="s">
        <v>51</v>
      </c>
      <c r="G406">
        <v>3</v>
      </c>
      <c r="H406" s="2" t="s">
        <v>74</v>
      </c>
      <c r="I406">
        <v>252.32</v>
      </c>
      <c r="J406">
        <v>5</v>
      </c>
      <c r="K406">
        <v>12.62</v>
      </c>
      <c r="L406">
        <v>64.92</v>
      </c>
      <c r="M406">
        <v>95.06</v>
      </c>
      <c r="N406">
        <v>0</v>
      </c>
      <c r="O406">
        <v>7.25</v>
      </c>
      <c r="P406" s="2" t="s">
        <v>42</v>
      </c>
      <c r="Q406">
        <v>0</v>
      </c>
      <c r="R406">
        <v>239.7</v>
      </c>
      <c r="S406">
        <v>167.23</v>
      </c>
      <c r="T406">
        <v>72.47</v>
      </c>
      <c r="U406">
        <f t="shared" si="6"/>
        <v>0</v>
      </c>
    </row>
    <row r="407" spans="1:21" x14ac:dyDescent="0.25">
      <c r="A407" s="2" t="s">
        <v>783</v>
      </c>
      <c r="B407" s="2" t="s">
        <v>186</v>
      </c>
      <c r="C407" s="1">
        <v>45913</v>
      </c>
      <c r="D407" s="2" t="s">
        <v>59</v>
      </c>
      <c r="E407" s="2" t="s">
        <v>46</v>
      </c>
      <c r="F407" s="2" t="s">
        <v>85</v>
      </c>
      <c r="G407">
        <v>1</v>
      </c>
      <c r="H407" s="2" t="s">
        <v>52</v>
      </c>
      <c r="I407">
        <v>10.050000000000001</v>
      </c>
      <c r="J407">
        <v>25</v>
      </c>
      <c r="K407">
        <v>2.5099999999999998</v>
      </c>
      <c r="L407">
        <v>9.18</v>
      </c>
      <c r="M407">
        <v>6.91</v>
      </c>
      <c r="N407">
        <v>1.1299999999999999</v>
      </c>
      <c r="O407">
        <v>0.52</v>
      </c>
      <c r="P407" s="2" t="s">
        <v>68</v>
      </c>
      <c r="Q407">
        <v>7.54</v>
      </c>
      <c r="R407">
        <v>0</v>
      </c>
      <c r="S407">
        <v>17.739999999999998</v>
      </c>
      <c r="T407">
        <v>-17.739999999999998</v>
      </c>
      <c r="U407">
        <f t="shared" si="6"/>
        <v>0</v>
      </c>
    </row>
    <row r="408" spans="1:21" x14ac:dyDescent="0.25">
      <c r="A408" s="2" t="s">
        <v>784</v>
      </c>
      <c r="B408" s="2" t="s">
        <v>427</v>
      </c>
      <c r="C408" s="1">
        <v>45491</v>
      </c>
      <c r="D408" s="2" t="s">
        <v>80</v>
      </c>
      <c r="E408" s="2" t="s">
        <v>55</v>
      </c>
      <c r="F408" s="2" t="s">
        <v>47</v>
      </c>
      <c r="G408">
        <v>2</v>
      </c>
      <c r="H408" s="2" t="s">
        <v>64</v>
      </c>
      <c r="I408">
        <v>66</v>
      </c>
      <c r="J408">
        <v>15</v>
      </c>
      <c r="K408">
        <v>9.9</v>
      </c>
      <c r="L408">
        <v>19</v>
      </c>
      <c r="M408">
        <v>23.17</v>
      </c>
      <c r="N408">
        <v>4.49</v>
      </c>
      <c r="O408">
        <v>1.93</v>
      </c>
      <c r="P408" s="2" t="s">
        <v>42</v>
      </c>
      <c r="Q408">
        <v>0</v>
      </c>
      <c r="R408">
        <v>56.1</v>
      </c>
      <c r="S408">
        <v>48.59</v>
      </c>
      <c r="T408">
        <v>7.51</v>
      </c>
      <c r="U408">
        <f t="shared" si="6"/>
        <v>0</v>
      </c>
    </row>
    <row r="409" spans="1:21" x14ac:dyDescent="0.25">
      <c r="A409" s="2" t="s">
        <v>785</v>
      </c>
      <c r="B409" s="2" t="s">
        <v>149</v>
      </c>
      <c r="C409" s="1">
        <v>45894</v>
      </c>
      <c r="D409" s="2" t="s">
        <v>38</v>
      </c>
      <c r="E409" s="2" t="s">
        <v>46</v>
      </c>
      <c r="F409" s="2" t="s">
        <v>85</v>
      </c>
      <c r="G409">
        <v>3</v>
      </c>
      <c r="H409" s="2" t="s">
        <v>48</v>
      </c>
      <c r="I409">
        <v>221.03</v>
      </c>
      <c r="J409">
        <v>0</v>
      </c>
      <c r="K409">
        <v>0</v>
      </c>
      <c r="L409">
        <v>26.98</v>
      </c>
      <c r="M409">
        <v>98.36</v>
      </c>
      <c r="N409">
        <v>0</v>
      </c>
      <c r="O409">
        <v>6.71</v>
      </c>
      <c r="P409" s="2" t="s">
        <v>42</v>
      </c>
      <c r="Q409">
        <v>0</v>
      </c>
      <c r="R409">
        <v>221.03</v>
      </c>
      <c r="S409">
        <v>132.05000000000001</v>
      </c>
      <c r="T409">
        <v>88.98</v>
      </c>
      <c r="U409">
        <f t="shared" si="6"/>
        <v>1</v>
      </c>
    </row>
    <row r="410" spans="1:21" x14ac:dyDescent="0.25">
      <c r="A410" s="2" t="s">
        <v>786</v>
      </c>
      <c r="B410" s="2" t="s">
        <v>479</v>
      </c>
      <c r="C410" s="1">
        <v>45483</v>
      </c>
      <c r="D410" s="2" t="s">
        <v>45</v>
      </c>
      <c r="E410" s="2" t="s">
        <v>46</v>
      </c>
      <c r="F410" s="2" t="s">
        <v>47</v>
      </c>
      <c r="G410">
        <v>5</v>
      </c>
      <c r="H410" s="2" t="s">
        <v>64</v>
      </c>
      <c r="I410">
        <v>408.47</v>
      </c>
      <c r="J410">
        <v>5</v>
      </c>
      <c r="K410">
        <v>20.420000000000002</v>
      </c>
      <c r="L410">
        <v>88.24</v>
      </c>
      <c r="M410">
        <v>169.37</v>
      </c>
      <c r="N410">
        <v>0</v>
      </c>
      <c r="O410">
        <v>11.55</v>
      </c>
      <c r="P410" s="2" t="s">
        <v>42</v>
      </c>
      <c r="Q410">
        <v>0</v>
      </c>
      <c r="R410">
        <v>388.05</v>
      </c>
      <c r="S410">
        <v>269.16000000000003</v>
      </c>
      <c r="T410">
        <v>118.89</v>
      </c>
      <c r="U410">
        <f t="shared" si="6"/>
        <v>0</v>
      </c>
    </row>
    <row r="411" spans="1:21" x14ac:dyDescent="0.25">
      <c r="A411" s="2" t="s">
        <v>787</v>
      </c>
      <c r="B411" s="2" t="s">
        <v>788</v>
      </c>
      <c r="C411" s="1">
        <v>45431</v>
      </c>
      <c r="D411" s="2" t="s">
        <v>38</v>
      </c>
      <c r="E411" s="2" t="s">
        <v>46</v>
      </c>
      <c r="F411" s="2" t="s">
        <v>51</v>
      </c>
      <c r="G411">
        <v>3</v>
      </c>
      <c r="H411" s="2" t="s">
        <v>41</v>
      </c>
      <c r="I411">
        <v>298.58999999999997</v>
      </c>
      <c r="J411">
        <v>0</v>
      </c>
      <c r="K411">
        <v>0</v>
      </c>
      <c r="L411">
        <v>27.7</v>
      </c>
      <c r="M411">
        <v>133.66999999999999</v>
      </c>
      <c r="N411">
        <v>0</v>
      </c>
      <c r="O411">
        <v>8.9600000000000009</v>
      </c>
      <c r="P411" s="2" t="s">
        <v>42</v>
      </c>
      <c r="Q411">
        <v>0</v>
      </c>
      <c r="R411">
        <v>298.58999999999997</v>
      </c>
      <c r="S411">
        <v>170.33</v>
      </c>
      <c r="T411">
        <v>128.26</v>
      </c>
      <c r="U411">
        <f t="shared" si="6"/>
        <v>0</v>
      </c>
    </row>
    <row r="412" spans="1:21" x14ac:dyDescent="0.25">
      <c r="A412" s="2" t="s">
        <v>789</v>
      </c>
      <c r="B412" s="2" t="s">
        <v>790</v>
      </c>
      <c r="C412" s="1">
        <v>45650</v>
      </c>
      <c r="D412" s="2" t="s">
        <v>45</v>
      </c>
      <c r="E412" s="2" t="s">
        <v>67</v>
      </c>
      <c r="F412" s="2" t="s">
        <v>40</v>
      </c>
      <c r="G412">
        <v>3</v>
      </c>
      <c r="H412" s="2" t="s">
        <v>48</v>
      </c>
      <c r="I412">
        <v>112.37</v>
      </c>
      <c r="J412">
        <v>10</v>
      </c>
      <c r="K412">
        <v>11.24</v>
      </c>
      <c r="L412">
        <v>27.78</v>
      </c>
      <c r="M412">
        <v>67.33</v>
      </c>
      <c r="N412">
        <v>0</v>
      </c>
      <c r="O412">
        <v>3.23</v>
      </c>
      <c r="P412" s="2" t="s">
        <v>42</v>
      </c>
      <c r="Q412">
        <v>0</v>
      </c>
      <c r="R412">
        <v>101.13</v>
      </c>
      <c r="S412">
        <v>98.34</v>
      </c>
      <c r="T412">
        <v>2.79</v>
      </c>
      <c r="U412">
        <f t="shared" si="6"/>
        <v>0</v>
      </c>
    </row>
    <row r="413" spans="1:21" x14ac:dyDescent="0.25">
      <c r="A413" s="2" t="s">
        <v>791</v>
      </c>
      <c r="B413" s="2" t="s">
        <v>155</v>
      </c>
      <c r="C413" s="1">
        <v>45690</v>
      </c>
      <c r="D413" s="2" t="s">
        <v>45</v>
      </c>
      <c r="E413" s="2" t="s">
        <v>39</v>
      </c>
      <c r="F413" s="2" t="s">
        <v>94</v>
      </c>
      <c r="G413">
        <v>3</v>
      </c>
      <c r="H413" s="2" t="s">
        <v>77</v>
      </c>
      <c r="I413">
        <v>254.6</v>
      </c>
      <c r="J413">
        <v>0</v>
      </c>
      <c r="K413">
        <v>0</v>
      </c>
      <c r="L413">
        <v>49.52</v>
      </c>
      <c r="M413">
        <v>93.95</v>
      </c>
      <c r="N413">
        <v>0</v>
      </c>
      <c r="O413">
        <v>7.68</v>
      </c>
      <c r="P413" s="2" t="s">
        <v>42</v>
      </c>
      <c r="Q413">
        <v>0</v>
      </c>
      <c r="R413">
        <v>254.6</v>
      </c>
      <c r="S413">
        <v>151.15</v>
      </c>
      <c r="T413">
        <v>103.45</v>
      </c>
      <c r="U413">
        <f t="shared" si="6"/>
        <v>0</v>
      </c>
    </row>
    <row r="414" spans="1:21" x14ac:dyDescent="0.25">
      <c r="A414" s="2" t="s">
        <v>792</v>
      </c>
      <c r="B414" s="2" t="s">
        <v>297</v>
      </c>
      <c r="C414" s="1">
        <v>45782</v>
      </c>
      <c r="D414" s="2" t="s">
        <v>59</v>
      </c>
      <c r="E414" s="2" t="s">
        <v>67</v>
      </c>
      <c r="F414" s="2" t="s">
        <v>94</v>
      </c>
      <c r="G414">
        <v>1</v>
      </c>
      <c r="H414" s="2" t="s">
        <v>41</v>
      </c>
      <c r="I414">
        <v>89.42</v>
      </c>
      <c r="J414">
        <v>10</v>
      </c>
      <c r="K414">
        <v>8.94</v>
      </c>
      <c r="L414">
        <v>10.78</v>
      </c>
      <c r="M414">
        <v>36.299999999999997</v>
      </c>
      <c r="N414">
        <v>12.07</v>
      </c>
      <c r="O414">
        <v>2.63</v>
      </c>
      <c r="P414" s="2" t="s">
        <v>42</v>
      </c>
      <c r="Q414">
        <v>0</v>
      </c>
      <c r="R414">
        <v>80.48</v>
      </c>
      <c r="S414">
        <v>61.78</v>
      </c>
      <c r="T414">
        <v>18.7</v>
      </c>
      <c r="U414">
        <f t="shared" si="6"/>
        <v>0</v>
      </c>
    </row>
    <row r="415" spans="1:21" x14ac:dyDescent="0.25">
      <c r="A415" s="2" t="s">
        <v>793</v>
      </c>
      <c r="B415" s="2" t="s">
        <v>794</v>
      </c>
      <c r="C415" s="1">
        <v>45851</v>
      </c>
      <c r="D415" s="2" t="s">
        <v>45</v>
      </c>
      <c r="E415" s="2" t="s">
        <v>71</v>
      </c>
      <c r="F415" s="2" t="s">
        <v>51</v>
      </c>
      <c r="G415">
        <v>1</v>
      </c>
      <c r="H415" s="2" t="s">
        <v>64</v>
      </c>
      <c r="I415">
        <v>24.88</v>
      </c>
      <c r="J415">
        <v>10</v>
      </c>
      <c r="K415">
        <v>2.4900000000000002</v>
      </c>
      <c r="L415">
        <v>7.02</v>
      </c>
      <c r="M415">
        <v>13.77</v>
      </c>
      <c r="N415">
        <v>0</v>
      </c>
      <c r="O415">
        <v>0.95</v>
      </c>
      <c r="P415" s="2" t="s">
        <v>42</v>
      </c>
      <c r="Q415">
        <v>0</v>
      </c>
      <c r="R415">
        <v>22.39</v>
      </c>
      <c r="S415">
        <v>21.74</v>
      </c>
      <c r="T415">
        <v>0.65</v>
      </c>
      <c r="U415">
        <f t="shared" si="6"/>
        <v>0</v>
      </c>
    </row>
    <row r="416" spans="1:21" x14ac:dyDescent="0.25">
      <c r="A416" s="2" t="s">
        <v>795</v>
      </c>
      <c r="B416" s="2" t="s">
        <v>295</v>
      </c>
      <c r="C416" s="1">
        <v>45967</v>
      </c>
      <c r="D416" s="2" t="s">
        <v>38</v>
      </c>
      <c r="E416" s="2" t="s">
        <v>46</v>
      </c>
      <c r="F416" s="2" t="s">
        <v>40</v>
      </c>
      <c r="G416">
        <v>3</v>
      </c>
      <c r="H416" s="2" t="s">
        <v>64</v>
      </c>
      <c r="I416">
        <v>687.19</v>
      </c>
      <c r="J416">
        <v>15</v>
      </c>
      <c r="K416">
        <v>103.08</v>
      </c>
      <c r="L416">
        <v>52.46</v>
      </c>
      <c r="M416">
        <v>207.64</v>
      </c>
      <c r="N416">
        <v>0</v>
      </c>
      <c r="O416">
        <v>17.239999999999998</v>
      </c>
      <c r="P416" s="2" t="s">
        <v>42</v>
      </c>
      <c r="Q416">
        <v>0</v>
      </c>
      <c r="R416">
        <v>584.11</v>
      </c>
      <c r="S416">
        <v>277.33999999999997</v>
      </c>
      <c r="T416">
        <v>306.77</v>
      </c>
      <c r="U416">
        <f t="shared" si="6"/>
        <v>0</v>
      </c>
    </row>
    <row r="417" spans="1:21" x14ac:dyDescent="0.25">
      <c r="A417" s="2" t="s">
        <v>796</v>
      </c>
      <c r="B417" s="2" t="s">
        <v>797</v>
      </c>
      <c r="C417" s="1">
        <v>45940</v>
      </c>
      <c r="D417" s="2" t="s">
        <v>45</v>
      </c>
      <c r="E417" s="2" t="s">
        <v>46</v>
      </c>
      <c r="F417" s="2" t="s">
        <v>51</v>
      </c>
      <c r="G417">
        <v>1</v>
      </c>
      <c r="H417" s="2" t="s">
        <v>52</v>
      </c>
      <c r="I417">
        <v>100.66</v>
      </c>
      <c r="J417">
        <v>0</v>
      </c>
      <c r="K417">
        <v>0</v>
      </c>
      <c r="L417">
        <v>10.46</v>
      </c>
      <c r="M417">
        <v>36.479999999999997</v>
      </c>
      <c r="N417">
        <v>0</v>
      </c>
      <c r="O417">
        <v>3.22</v>
      </c>
      <c r="P417" s="2" t="s">
        <v>42</v>
      </c>
      <c r="Q417">
        <v>0</v>
      </c>
      <c r="R417">
        <v>100.66</v>
      </c>
      <c r="S417">
        <v>50.16</v>
      </c>
      <c r="T417">
        <v>50.5</v>
      </c>
      <c r="U417">
        <f t="shared" si="6"/>
        <v>0</v>
      </c>
    </row>
    <row r="418" spans="1:21" x14ac:dyDescent="0.25">
      <c r="A418" s="2" t="s">
        <v>798</v>
      </c>
      <c r="B418" s="2" t="s">
        <v>799</v>
      </c>
      <c r="C418" s="1">
        <v>45799</v>
      </c>
      <c r="D418" s="2" t="s">
        <v>38</v>
      </c>
      <c r="E418" s="2" t="s">
        <v>67</v>
      </c>
      <c r="F418" s="2" t="s">
        <v>40</v>
      </c>
      <c r="G418">
        <v>3</v>
      </c>
      <c r="H418" s="2" t="s">
        <v>52</v>
      </c>
      <c r="I418">
        <v>206.35</v>
      </c>
      <c r="J418">
        <v>10</v>
      </c>
      <c r="K418">
        <v>20.64</v>
      </c>
      <c r="L418">
        <v>30.02</v>
      </c>
      <c r="M418">
        <v>75.89</v>
      </c>
      <c r="N418">
        <v>0</v>
      </c>
      <c r="O418">
        <v>5.69</v>
      </c>
      <c r="P418" s="2" t="s">
        <v>42</v>
      </c>
      <c r="Q418">
        <v>0</v>
      </c>
      <c r="R418">
        <v>185.71</v>
      </c>
      <c r="S418">
        <v>111.6</v>
      </c>
      <c r="T418">
        <v>74.11</v>
      </c>
      <c r="U418">
        <f t="shared" si="6"/>
        <v>0</v>
      </c>
    </row>
    <row r="419" spans="1:21" x14ac:dyDescent="0.25">
      <c r="A419" s="2" t="s">
        <v>800</v>
      </c>
      <c r="B419" s="2" t="s">
        <v>801</v>
      </c>
      <c r="C419" s="1">
        <v>45777</v>
      </c>
      <c r="D419" s="2" t="s">
        <v>45</v>
      </c>
      <c r="E419" s="2" t="s">
        <v>55</v>
      </c>
      <c r="F419" s="2" t="s">
        <v>94</v>
      </c>
      <c r="G419">
        <v>3</v>
      </c>
      <c r="H419" s="2" t="s">
        <v>56</v>
      </c>
      <c r="I419">
        <v>116.57</v>
      </c>
      <c r="J419">
        <v>0</v>
      </c>
      <c r="K419">
        <v>0</v>
      </c>
      <c r="L419">
        <v>50.24</v>
      </c>
      <c r="M419">
        <v>52.73</v>
      </c>
      <c r="N419">
        <v>0</v>
      </c>
      <c r="O419">
        <v>3.68</v>
      </c>
      <c r="P419" s="2" t="s">
        <v>42</v>
      </c>
      <c r="Q419">
        <v>0</v>
      </c>
      <c r="R419">
        <v>116.57</v>
      </c>
      <c r="S419">
        <v>106.65</v>
      </c>
      <c r="T419">
        <v>9.92</v>
      </c>
      <c r="U419">
        <f t="shared" si="6"/>
        <v>0</v>
      </c>
    </row>
    <row r="420" spans="1:21" x14ac:dyDescent="0.25">
      <c r="A420" s="2" t="s">
        <v>802</v>
      </c>
      <c r="B420" s="2" t="s">
        <v>803</v>
      </c>
      <c r="C420" s="1">
        <v>45411</v>
      </c>
      <c r="D420" s="2" t="s">
        <v>80</v>
      </c>
      <c r="E420" s="2" t="s">
        <v>46</v>
      </c>
      <c r="F420" s="2" t="s">
        <v>51</v>
      </c>
      <c r="G420">
        <v>1</v>
      </c>
      <c r="H420" s="2" t="s">
        <v>52</v>
      </c>
      <c r="I420">
        <v>27.88</v>
      </c>
      <c r="J420">
        <v>15</v>
      </c>
      <c r="K420">
        <v>4.18</v>
      </c>
      <c r="L420">
        <v>11.18</v>
      </c>
      <c r="M420">
        <v>12.13</v>
      </c>
      <c r="N420">
        <v>1.9</v>
      </c>
      <c r="O420">
        <v>0.99</v>
      </c>
      <c r="P420" s="2" t="s">
        <v>42</v>
      </c>
      <c r="Q420">
        <v>0</v>
      </c>
      <c r="R420">
        <v>23.7</v>
      </c>
      <c r="S420">
        <v>26.2</v>
      </c>
      <c r="T420">
        <v>-2.5</v>
      </c>
      <c r="U420">
        <f t="shared" si="6"/>
        <v>0</v>
      </c>
    </row>
    <row r="421" spans="1:21" x14ac:dyDescent="0.25">
      <c r="A421" s="2" t="s">
        <v>804</v>
      </c>
      <c r="B421" s="2" t="s">
        <v>532</v>
      </c>
      <c r="C421" s="1">
        <v>45802</v>
      </c>
      <c r="D421" s="2" t="s">
        <v>45</v>
      </c>
      <c r="E421" s="2" t="s">
        <v>71</v>
      </c>
      <c r="F421" s="2" t="s">
        <v>94</v>
      </c>
      <c r="G421">
        <v>3</v>
      </c>
      <c r="H421" s="2" t="s">
        <v>48</v>
      </c>
      <c r="I421">
        <v>109.16</v>
      </c>
      <c r="J421">
        <v>5</v>
      </c>
      <c r="K421">
        <v>5.46</v>
      </c>
      <c r="L421">
        <v>42.16</v>
      </c>
      <c r="M421">
        <v>42.38</v>
      </c>
      <c r="N421">
        <v>0</v>
      </c>
      <c r="O421">
        <v>3.31</v>
      </c>
      <c r="P421" s="2" t="s">
        <v>68</v>
      </c>
      <c r="Q421">
        <v>103.7</v>
      </c>
      <c r="R421">
        <v>0</v>
      </c>
      <c r="S421">
        <v>87.85</v>
      </c>
      <c r="T421">
        <v>-87.85</v>
      </c>
      <c r="U421">
        <f t="shared" si="6"/>
        <v>0</v>
      </c>
    </row>
    <row r="422" spans="1:21" x14ac:dyDescent="0.25">
      <c r="A422" s="2" t="s">
        <v>805</v>
      </c>
      <c r="B422" s="2" t="s">
        <v>143</v>
      </c>
      <c r="C422" s="1">
        <v>45959</v>
      </c>
      <c r="D422" s="2" t="s">
        <v>45</v>
      </c>
      <c r="E422" s="2" t="s">
        <v>67</v>
      </c>
      <c r="F422" s="2" t="s">
        <v>40</v>
      </c>
      <c r="G422">
        <v>1</v>
      </c>
      <c r="H422" s="2" t="s">
        <v>56</v>
      </c>
      <c r="I422">
        <v>17.399999999999999</v>
      </c>
      <c r="J422">
        <v>25</v>
      </c>
      <c r="K422">
        <v>4.3499999999999996</v>
      </c>
      <c r="L422">
        <v>12.3</v>
      </c>
      <c r="M422">
        <v>7.23</v>
      </c>
      <c r="N422">
        <v>0</v>
      </c>
      <c r="O422">
        <v>0.68</v>
      </c>
      <c r="P422" s="2" t="s">
        <v>42</v>
      </c>
      <c r="Q422">
        <v>0</v>
      </c>
      <c r="R422">
        <v>13.05</v>
      </c>
      <c r="S422">
        <v>20.21</v>
      </c>
      <c r="T422">
        <v>-7.16</v>
      </c>
      <c r="U422">
        <f t="shared" si="6"/>
        <v>0</v>
      </c>
    </row>
    <row r="423" spans="1:21" x14ac:dyDescent="0.25">
      <c r="A423" s="2" t="s">
        <v>806</v>
      </c>
      <c r="B423" s="2" t="s">
        <v>507</v>
      </c>
      <c r="C423" s="1">
        <v>45927</v>
      </c>
      <c r="D423" s="2" t="s">
        <v>45</v>
      </c>
      <c r="E423" s="2" t="s">
        <v>39</v>
      </c>
      <c r="F423" s="2" t="s">
        <v>94</v>
      </c>
      <c r="G423">
        <v>2</v>
      </c>
      <c r="H423" s="2" t="s">
        <v>48</v>
      </c>
      <c r="I423">
        <v>94.32</v>
      </c>
      <c r="J423">
        <v>0</v>
      </c>
      <c r="K423">
        <v>0</v>
      </c>
      <c r="L423">
        <v>21.08</v>
      </c>
      <c r="M423">
        <v>35.4</v>
      </c>
      <c r="N423">
        <v>0</v>
      </c>
      <c r="O423">
        <v>3.04</v>
      </c>
      <c r="P423" s="2" t="s">
        <v>42</v>
      </c>
      <c r="Q423">
        <v>0</v>
      </c>
      <c r="R423">
        <v>94.32</v>
      </c>
      <c r="S423">
        <v>59.52</v>
      </c>
      <c r="T423">
        <v>34.799999999999997</v>
      </c>
      <c r="U423">
        <f t="shared" si="6"/>
        <v>1</v>
      </c>
    </row>
    <row r="424" spans="1:21" x14ac:dyDescent="0.25">
      <c r="A424" s="2" t="s">
        <v>807</v>
      </c>
      <c r="B424" s="2" t="s">
        <v>808</v>
      </c>
      <c r="C424" s="1">
        <v>45774</v>
      </c>
      <c r="D424" s="2" t="s">
        <v>80</v>
      </c>
      <c r="E424" s="2" t="s">
        <v>71</v>
      </c>
      <c r="F424" s="2" t="s">
        <v>47</v>
      </c>
      <c r="G424">
        <v>2</v>
      </c>
      <c r="H424" s="2" t="s">
        <v>77</v>
      </c>
      <c r="I424">
        <v>74.14</v>
      </c>
      <c r="J424">
        <v>5</v>
      </c>
      <c r="K424">
        <v>3.71</v>
      </c>
      <c r="L424">
        <v>41.38</v>
      </c>
      <c r="M424">
        <v>42.18</v>
      </c>
      <c r="N424">
        <v>5.63</v>
      </c>
      <c r="O424">
        <v>2.34</v>
      </c>
      <c r="P424" s="2" t="s">
        <v>42</v>
      </c>
      <c r="Q424">
        <v>0</v>
      </c>
      <c r="R424">
        <v>70.430000000000007</v>
      </c>
      <c r="S424">
        <v>91.53</v>
      </c>
      <c r="T424">
        <v>-21.1</v>
      </c>
      <c r="U424">
        <f t="shared" si="6"/>
        <v>0</v>
      </c>
    </row>
    <row r="425" spans="1:21" x14ac:dyDescent="0.25">
      <c r="A425" s="2" t="s">
        <v>809</v>
      </c>
      <c r="B425" s="2" t="s">
        <v>810</v>
      </c>
      <c r="C425" s="1">
        <v>46007</v>
      </c>
      <c r="D425" s="2" t="s">
        <v>45</v>
      </c>
      <c r="E425" s="2" t="s">
        <v>46</v>
      </c>
      <c r="F425" s="2" t="s">
        <v>40</v>
      </c>
      <c r="G425">
        <v>1</v>
      </c>
      <c r="H425" s="2" t="s">
        <v>52</v>
      </c>
      <c r="I425">
        <v>19.95</v>
      </c>
      <c r="J425">
        <v>25</v>
      </c>
      <c r="K425">
        <v>4.99</v>
      </c>
      <c r="L425">
        <v>4.46</v>
      </c>
      <c r="M425">
        <v>6.83</v>
      </c>
      <c r="N425">
        <v>0</v>
      </c>
      <c r="O425">
        <v>0.73</v>
      </c>
      <c r="P425" s="2" t="s">
        <v>42</v>
      </c>
      <c r="Q425">
        <v>0</v>
      </c>
      <c r="R425">
        <v>14.96</v>
      </c>
      <c r="S425">
        <v>12.02</v>
      </c>
      <c r="T425">
        <v>2.94</v>
      </c>
      <c r="U425">
        <f t="shared" si="6"/>
        <v>0</v>
      </c>
    </row>
    <row r="426" spans="1:21" x14ac:dyDescent="0.25">
      <c r="A426" s="2" t="s">
        <v>811</v>
      </c>
      <c r="B426" s="2" t="s">
        <v>812</v>
      </c>
      <c r="C426" s="1">
        <v>45455</v>
      </c>
      <c r="D426" s="2" t="s">
        <v>38</v>
      </c>
      <c r="E426" s="2" t="s">
        <v>46</v>
      </c>
      <c r="F426" s="2" t="s">
        <v>85</v>
      </c>
      <c r="G426">
        <v>2</v>
      </c>
      <c r="H426" s="2" t="s">
        <v>111</v>
      </c>
      <c r="I426">
        <v>397.99</v>
      </c>
      <c r="J426">
        <v>10</v>
      </c>
      <c r="K426">
        <v>39.799999999999997</v>
      </c>
      <c r="L426">
        <v>41.98</v>
      </c>
      <c r="M426">
        <v>156.72999999999999</v>
      </c>
      <c r="N426">
        <v>0</v>
      </c>
      <c r="O426">
        <v>10.69</v>
      </c>
      <c r="P426" s="2" t="s">
        <v>42</v>
      </c>
      <c r="Q426">
        <v>0</v>
      </c>
      <c r="R426">
        <v>358.19</v>
      </c>
      <c r="S426">
        <v>209.4</v>
      </c>
      <c r="T426">
        <v>148.79</v>
      </c>
      <c r="U426">
        <f t="shared" si="6"/>
        <v>0</v>
      </c>
    </row>
    <row r="427" spans="1:21" x14ac:dyDescent="0.25">
      <c r="A427" s="2" t="s">
        <v>813</v>
      </c>
      <c r="B427" s="2" t="s">
        <v>814</v>
      </c>
      <c r="C427" s="1">
        <v>45904</v>
      </c>
      <c r="D427" s="2" t="s">
        <v>59</v>
      </c>
      <c r="E427" s="2" t="s">
        <v>46</v>
      </c>
      <c r="F427" s="2" t="s">
        <v>47</v>
      </c>
      <c r="G427">
        <v>1</v>
      </c>
      <c r="H427" s="2" t="s">
        <v>48</v>
      </c>
      <c r="I427">
        <v>58.23</v>
      </c>
      <c r="J427">
        <v>0</v>
      </c>
      <c r="K427">
        <v>0</v>
      </c>
      <c r="L427">
        <v>13.42</v>
      </c>
      <c r="M427">
        <v>22.42</v>
      </c>
      <c r="N427">
        <v>8.73</v>
      </c>
      <c r="O427">
        <v>1.99</v>
      </c>
      <c r="P427" s="2" t="s">
        <v>42</v>
      </c>
      <c r="Q427">
        <v>0</v>
      </c>
      <c r="R427">
        <v>58.23</v>
      </c>
      <c r="S427">
        <v>46.56</v>
      </c>
      <c r="T427">
        <v>11.67</v>
      </c>
      <c r="U427">
        <f t="shared" si="6"/>
        <v>0</v>
      </c>
    </row>
    <row r="428" spans="1:21" x14ac:dyDescent="0.25">
      <c r="A428" s="2" t="s">
        <v>815</v>
      </c>
      <c r="B428" s="2" t="s">
        <v>816</v>
      </c>
      <c r="C428" s="1">
        <v>45342</v>
      </c>
      <c r="D428" s="2" t="s">
        <v>80</v>
      </c>
      <c r="E428" s="2" t="s">
        <v>55</v>
      </c>
      <c r="F428" s="2" t="s">
        <v>40</v>
      </c>
      <c r="G428">
        <v>4</v>
      </c>
      <c r="H428" s="2" t="s">
        <v>48</v>
      </c>
      <c r="I428">
        <v>286.83</v>
      </c>
      <c r="J428">
        <v>15</v>
      </c>
      <c r="K428">
        <v>43.02</v>
      </c>
      <c r="L428">
        <v>45.42</v>
      </c>
      <c r="M428">
        <v>113.82</v>
      </c>
      <c r="N428">
        <v>19.5</v>
      </c>
      <c r="O428">
        <v>7.37</v>
      </c>
      <c r="P428" s="2" t="s">
        <v>42</v>
      </c>
      <c r="Q428">
        <v>0</v>
      </c>
      <c r="R428">
        <v>243.81</v>
      </c>
      <c r="S428">
        <v>186.11</v>
      </c>
      <c r="T428">
        <v>57.7</v>
      </c>
      <c r="U428">
        <f t="shared" si="6"/>
        <v>0</v>
      </c>
    </row>
    <row r="429" spans="1:21" x14ac:dyDescent="0.25">
      <c r="A429" s="2" t="s">
        <v>817</v>
      </c>
      <c r="B429" s="2" t="s">
        <v>818</v>
      </c>
      <c r="C429" s="1">
        <v>45834</v>
      </c>
      <c r="D429" s="2" t="s">
        <v>45</v>
      </c>
      <c r="E429" s="2" t="s">
        <v>71</v>
      </c>
      <c r="F429" s="2" t="s">
        <v>47</v>
      </c>
      <c r="G429">
        <v>1</v>
      </c>
      <c r="H429" s="2" t="s">
        <v>64</v>
      </c>
      <c r="I429">
        <v>63.94</v>
      </c>
      <c r="J429">
        <v>0</v>
      </c>
      <c r="K429">
        <v>0</v>
      </c>
      <c r="L429">
        <v>8.4600000000000009</v>
      </c>
      <c r="M429">
        <v>20.51</v>
      </c>
      <c r="N429">
        <v>0</v>
      </c>
      <c r="O429">
        <v>2.15</v>
      </c>
      <c r="P429" s="2" t="s">
        <v>42</v>
      </c>
      <c r="Q429">
        <v>0</v>
      </c>
      <c r="R429">
        <v>63.94</v>
      </c>
      <c r="S429">
        <v>31.12</v>
      </c>
      <c r="T429">
        <v>32.82</v>
      </c>
      <c r="U429">
        <f t="shared" si="6"/>
        <v>0</v>
      </c>
    </row>
    <row r="430" spans="1:21" x14ac:dyDescent="0.25">
      <c r="A430" s="2" t="s">
        <v>819</v>
      </c>
      <c r="B430" s="2" t="s">
        <v>779</v>
      </c>
      <c r="C430" s="1">
        <v>45982</v>
      </c>
      <c r="D430" s="2" t="s">
        <v>45</v>
      </c>
      <c r="E430" s="2" t="s">
        <v>67</v>
      </c>
      <c r="F430" s="2" t="s">
        <v>40</v>
      </c>
      <c r="G430">
        <v>2</v>
      </c>
      <c r="H430" s="2" t="s">
        <v>74</v>
      </c>
      <c r="I430">
        <v>74.56</v>
      </c>
      <c r="J430">
        <v>0</v>
      </c>
      <c r="K430">
        <v>0</v>
      </c>
      <c r="L430">
        <v>23.32</v>
      </c>
      <c r="M430">
        <v>46.03</v>
      </c>
      <c r="N430">
        <v>0</v>
      </c>
      <c r="O430">
        <v>2.46</v>
      </c>
      <c r="P430" s="2" t="s">
        <v>42</v>
      </c>
      <c r="Q430">
        <v>0</v>
      </c>
      <c r="R430">
        <v>74.56</v>
      </c>
      <c r="S430">
        <v>71.81</v>
      </c>
      <c r="T430">
        <v>2.75</v>
      </c>
      <c r="U430">
        <f t="shared" si="6"/>
        <v>0</v>
      </c>
    </row>
    <row r="431" spans="1:21" x14ac:dyDescent="0.25">
      <c r="A431" s="2" t="s">
        <v>820</v>
      </c>
      <c r="B431" s="2" t="s">
        <v>821</v>
      </c>
      <c r="C431" s="1">
        <v>45750</v>
      </c>
      <c r="D431" s="2" t="s">
        <v>45</v>
      </c>
      <c r="E431" s="2" t="s">
        <v>55</v>
      </c>
      <c r="F431" s="2" t="s">
        <v>51</v>
      </c>
      <c r="G431">
        <v>3</v>
      </c>
      <c r="H431" s="2" t="s">
        <v>77</v>
      </c>
      <c r="I431">
        <v>79.66</v>
      </c>
      <c r="J431">
        <v>10</v>
      </c>
      <c r="K431">
        <v>7.97</v>
      </c>
      <c r="L431">
        <v>31.7</v>
      </c>
      <c r="M431">
        <v>38.549999999999997</v>
      </c>
      <c r="N431">
        <v>0</v>
      </c>
      <c r="O431">
        <v>2.38</v>
      </c>
      <c r="P431" s="2" t="s">
        <v>42</v>
      </c>
      <c r="Q431">
        <v>0</v>
      </c>
      <c r="R431">
        <v>71.69</v>
      </c>
      <c r="S431">
        <v>72.63</v>
      </c>
      <c r="T431">
        <v>-0.94</v>
      </c>
      <c r="U431">
        <f t="shared" si="6"/>
        <v>0</v>
      </c>
    </row>
    <row r="432" spans="1:21" x14ac:dyDescent="0.25">
      <c r="A432" s="2" t="s">
        <v>822</v>
      </c>
      <c r="B432" s="2" t="s">
        <v>823</v>
      </c>
      <c r="C432" s="1">
        <v>45571</v>
      </c>
      <c r="D432" s="2" t="s">
        <v>45</v>
      </c>
      <c r="E432" s="2" t="s">
        <v>71</v>
      </c>
      <c r="F432" s="2" t="s">
        <v>40</v>
      </c>
      <c r="G432">
        <v>1</v>
      </c>
      <c r="H432" s="2" t="s">
        <v>48</v>
      </c>
      <c r="I432">
        <v>47.32</v>
      </c>
      <c r="J432">
        <v>20</v>
      </c>
      <c r="K432">
        <v>9.4600000000000009</v>
      </c>
      <c r="L432">
        <v>9.1</v>
      </c>
      <c r="M432">
        <v>20.94</v>
      </c>
      <c r="N432">
        <v>0</v>
      </c>
      <c r="O432">
        <v>1.4</v>
      </c>
      <c r="P432" s="2" t="s">
        <v>42</v>
      </c>
      <c r="Q432">
        <v>0</v>
      </c>
      <c r="R432">
        <v>37.86</v>
      </c>
      <c r="S432">
        <v>31.44</v>
      </c>
      <c r="T432">
        <v>6.42</v>
      </c>
      <c r="U432">
        <f t="shared" si="6"/>
        <v>0</v>
      </c>
    </row>
    <row r="433" spans="1:21" x14ac:dyDescent="0.25">
      <c r="A433" s="2" t="s">
        <v>824</v>
      </c>
      <c r="B433" s="2" t="s">
        <v>388</v>
      </c>
      <c r="C433" s="1">
        <v>45884</v>
      </c>
      <c r="D433" s="2" t="s">
        <v>45</v>
      </c>
      <c r="E433" s="2" t="s">
        <v>46</v>
      </c>
      <c r="F433" s="2" t="s">
        <v>51</v>
      </c>
      <c r="G433">
        <v>4</v>
      </c>
      <c r="H433" s="2" t="s">
        <v>52</v>
      </c>
      <c r="I433">
        <v>258.49</v>
      </c>
      <c r="J433">
        <v>0</v>
      </c>
      <c r="K433">
        <v>0</v>
      </c>
      <c r="L433">
        <v>43.42</v>
      </c>
      <c r="M433">
        <v>99.78</v>
      </c>
      <c r="N433">
        <v>0</v>
      </c>
      <c r="O433">
        <v>7.8</v>
      </c>
      <c r="P433" s="2" t="s">
        <v>42</v>
      </c>
      <c r="Q433">
        <v>0</v>
      </c>
      <c r="R433">
        <v>258.49</v>
      </c>
      <c r="S433">
        <v>151</v>
      </c>
      <c r="T433">
        <v>107.49</v>
      </c>
      <c r="U433">
        <f t="shared" si="6"/>
        <v>0</v>
      </c>
    </row>
    <row r="434" spans="1:21" x14ac:dyDescent="0.25">
      <c r="A434" s="2" t="s">
        <v>825</v>
      </c>
      <c r="B434" s="2" t="s">
        <v>826</v>
      </c>
      <c r="C434" s="1">
        <v>45323</v>
      </c>
      <c r="D434" s="2" t="s">
        <v>38</v>
      </c>
      <c r="E434" s="2" t="s">
        <v>71</v>
      </c>
      <c r="F434" s="2" t="s">
        <v>40</v>
      </c>
      <c r="G434">
        <v>1</v>
      </c>
      <c r="H434" s="2" t="s">
        <v>52</v>
      </c>
      <c r="I434">
        <v>63.63</v>
      </c>
      <c r="J434">
        <v>15</v>
      </c>
      <c r="K434">
        <v>9.5399999999999991</v>
      </c>
      <c r="L434">
        <v>8.3800000000000008</v>
      </c>
      <c r="M434">
        <v>31.76</v>
      </c>
      <c r="N434">
        <v>0</v>
      </c>
      <c r="O434">
        <v>1.87</v>
      </c>
      <c r="P434" s="2" t="s">
        <v>42</v>
      </c>
      <c r="Q434">
        <v>0</v>
      </c>
      <c r="R434">
        <v>54.09</v>
      </c>
      <c r="S434">
        <v>42.01</v>
      </c>
      <c r="T434">
        <v>12.08</v>
      </c>
      <c r="U434">
        <f t="shared" si="6"/>
        <v>0</v>
      </c>
    </row>
    <row r="435" spans="1:21" x14ac:dyDescent="0.25">
      <c r="A435" s="2" t="s">
        <v>827</v>
      </c>
      <c r="B435" s="2" t="s">
        <v>828</v>
      </c>
      <c r="C435" s="1">
        <v>45828</v>
      </c>
      <c r="D435" s="2" t="s">
        <v>38</v>
      </c>
      <c r="E435" s="2" t="s">
        <v>71</v>
      </c>
      <c r="F435" s="2" t="s">
        <v>94</v>
      </c>
      <c r="G435">
        <v>3</v>
      </c>
      <c r="H435" s="2" t="s">
        <v>41</v>
      </c>
      <c r="I435">
        <v>329.19</v>
      </c>
      <c r="J435">
        <v>0</v>
      </c>
      <c r="K435">
        <v>0</v>
      </c>
      <c r="L435">
        <v>22.5</v>
      </c>
      <c r="M435">
        <v>107.31</v>
      </c>
      <c r="N435">
        <v>0</v>
      </c>
      <c r="O435">
        <v>9.85</v>
      </c>
      <c r="P435" s="2" t="s">
        <v>42</v>
      </c>
      <c r="Q435">
        <v>0</v>
      </c>
      <c r="R435">
        <v>329.19</v>
      </c>
      <c r="S435">
        <v>139.66</v>
      </c>
      <c r="T435">
        <v>189.53</v>
      </c>
      <c r="U435">
        <f t="shared" si="6"/>
        <v>0</v>
      </c>
    </row>
    <row r="436" spans="1:21" x14ac:dyDescent="0.25">
      <c r="A436" s="2" t="s">
        <v>829</v>
      </c>
      <c r="B436" s="2" t="s">
        <v>830</v>
      </c>
      <c r="C436" s="1">
        <v>45668</v>
      </c>
      <c r="D436" s="2" t="s">
        <v>38</v>
      </c>
      <c r="E436" s="2" t="s">
        <v>46</v>
      </c>
      <c r="F436" s="2" t="s">
        <v>51</v>
      </c>
      <c r="G436">
        <v>3</v>
      </c>
      <c r="H436" s="2" t="s">
        <v>74</v>
      </c>
      <c r="I436">
        <v>167.68</v>
      </c>
      <c r="J436">
        <v>10</v>
      </c>
      <c r="K436">
        <v>16.77</v>
      </c>
      <c r="L436">
        <v>30.9</v>
      </c>
      <c r="M436">
        <v>74.540000000000006</v>
      </c>
      <c r="N436">
        <v>0</v>
      </c>
      <c r="O436">
        <v>4.68</v>
      </c>
      <c r="P436" s="2" t="s">
        <v>42</v>
      </c>
      <c r="Q436">
        <v>0</v>
      </c>
      <c r="R436">
        <v>150.91</v>
      </c>
      <c r="S436">
        <v>110.12</v>
      </c>
      <c r="T436">
        <v>40.79</v>
      </c>
      <c r="U436">
        <f t="shared" si="6"/>
        <v>0</v>
      </c>
    </row>
    <row r="437" spans="1:21" x14ac:dyDescent="0.25">
      <c r="A437" s="2" t="s">
        <v>831</v>
      </c>
      <c r="B437" s="2" t="s">
        <v>788</v>
      </c>
      <c r="C437" s="1">
        <v>45924</v>
      </c>
      <c r="D437" s="2" t="s">
        <v>45</v>
      </c>
      <c r="E437" s="2" t="s">
        <v>39</v>
      </c>
      <c r="F437" s="2" t="s">
        <v>51</v>
      </c>
      <c r="G437">
        <v>1</v>
      </c>
      <c r="H437" s="2" t="s">
        <v>77</v>
      </c>
      <c r="I437">
        <v>17.59</v>
      </c>
      <c r="J437">
        <v>10</v>
      </c>
      <c r="K437">
        <v>1.76</v>
      </c>
      <c r="L437">
        <v>14.78</v>
      </c>
      <c r="M437">
        <v>6.31</v>
      </c>
      <c r="N437">
        <v>0</v>
      </c>
      <c r="O437">
        <v>0.76</v>
      </c>
      <c r="P437" s="2" t="s">
        <v>42</v>
      </c>
      <c r="Q437">
        <v>0</v>
      </c>
      <c r="R437">
        <v>15.83</v>
      </c>
      <c r="S437">
        <v>21.85</v>
      </c>
      <c r="T437">
        <v>-6.02</v>
      </c>
      <c r="U437">
        <f t="shared" si="6"/>
        <v>0</v>
      </c>
    </row>
    <row r="438" spans="1:21" x14ac:dyDescent="0.25">
      <c r="A438" s="2" t="s">
        <v>832</v>
      </c>
      <c r="B438" s="2" t="s">
        <v>833</v>
      </c>
      <c r="C438" s="1">
        <v>45710</v>
      </c>
      <c r="D438" s="2" t="s">
        <v>45</v>
      </c>
      <c r="E438" s="2" t="s">
        <v>55</v>
      </c>
      <c r="F438" s="2" t="s">
        <v>85</v>
      </c>
      <c r="G438">
        <v>2</v>
      </c>
      <c r="H438" s="2" t="s">
        <v>111</v>
      </c>
      <c r="I438">
        <v>102.73</v>
      </c>
      <c r="J438">
        <v>5</v>
      </c>
      <c r="K438">
        <v>5.14</v>
      </c>
      <c r="L438">
        <v>23.72</v>
      </c>
      <c r="M438">
        <v>37.4</v>
      </c>
      <c r="N438">
        <v>0</v>
      </c>
      <c r="O438">
        <v>3.13</v>
      </c>
      <c r="P438" s="2" t="s">
        <v>42</v>
      </c>
      <c r="Q438">
        <v>0</v>
      </c>
      <c r="R438">
        <v>97.59</v>
      </c>
      <c r="S438">
        <v>64.25</v>
      </c>
      <c r="T438">
        <v>33.340000000000003</v>
      </c>
      <c r="U438">
        <f t="shared" si="6"/>
        <v>0</v>
      </c>
    </row>
    <row r="439" spans="1:21" x14ac:dyDescent="0.25">
      <c r="A439" s="2" t="s">
        <v>834</v>
      </c>
      <c r="B439" s="2" t="s">
        <v>522</v>
      </c>
      <c r="C439" s="1">
        <v>45998</v>
      </c>
      <c r="D439" s="2" t="s">
        <v>38</v>
      </c>
      <c r="E439" s="2" t="s">
        <v>46</v>
      </c>
      <c r="F439" s="2" t="s">
        <v>51</v>
      </c>
      <c r="G439">
        <v>1</v>
      </c>
      <c r="H439" s="2" t="s">
        <v>41</v>
      </c>
      <c r="I439">
        <v>222.97</v>
      </c>
      <c r="J439">
        <v>0</v>
      </c>
      <c r="K439">
        <v>0</v>
      </c>
      <c r="L439">
        <v>12.94</v>
      </c>
      <c r="M439">
        <v>67.05</v>
      </c>
      <c r="N439">
        <v>0</v>
      </c>
      <c r="O439">
        <v>6.77</v>
      </c>
      <c r="P439" s="2" t="s">
        <v>42</v>
      </c>
      <c r="Q439">
        <v>0</v>
      </c>
      <c r="R439">
        <v>222.97</v>
      </c>
      <c r="S439">
        <v>86.76</v>
      </c>
      <c r="T439">
        <v>136.21</v>
      </c>
      <c r="U439">
        <f t="shared" si="6"/>
        <v>0</v>
      </c>
    </row>
    <row r="440" spans="1:21" x14ac:dyDescent="0.25">
      <c r="A440" s="2" t="s">
        <v>835</v>
      </c>
      <c r="B440" s="2" t="s">
        <v>836</v>
      </c>
      <c r="C440" s="1">
        <v>45697</v>
      </c>
      <c r="D440" s="2" t="s">
        <v>45</v>
      </c>
      <c r="E440" s="2" t="s">
        <v>55</v>
      </c>
      <c r="F440" s="2" t="s">
        <v>85</v>
      </c>
      <c r="G440">
        <v>1</v>
      </c>
      <c r="H440" s="2" t="s">
        <v>74</v>
      </c>
      <c r="I440">
        <v>408.12</v>
      </c>
      <c r="J440">
        <v>10</v>
      </c>
      <c r="K440">
        <v>40.81</v>
      </c>
      <c r="L440">
        <v>18.899999999999999</v>
      </c>
      <c r="M440">
        <v>119.04</v>
      </c>
      <c r="N440">
        <v>0</v>
      </c>
      <c r="O440">
        <v>10.95</v>
      </c>
      <c r="P440" s="2" t="s">
        <v>68</v>
      </c>
      <c r="Q440">
        <v>367.31</v>
      </c>
      <c r="R440">
        <v>0</v>
      </c>
      <c r="S440">
        <v>148.88999999999999</v>
      </c>
      <c r="T440">
        <v>-148.88999999999999</v>
      </c>
      <c r="U440">
        <f t="shared" si="6"/>
        <v>0</v>
      </c>
    </row>
    <row r="441" spans="1:21" x14ac:dyDescent="0.25">
      <c r="A441" s="2" t="s">
        <v>837</v>
      </c>
      <c r="B441" s="2" t="s">
        <v>838</v>
      </c>
      <c r="C441" s="1">
        <v>45747</v>
      </c>
      <c r="D441" s="2" t="s">
        <v>80</v>
      </c>
      <c r="E441" s="2" t="s">
        <v>55</v>
      </c>
      <c r="F441" s="2" t="s">
        <v>94</v>
      </c>
      <c r="G441">
        <v>2</v>
      </c>
      <c r="H441" s="2" t="s">
        <v>64</v>
      </c>
      <c r="I441">
        <v>100.1</v>
      </c>
      <c r="J441">
        <v>5</v>
      </c>
      <c r="K441">
        <v>5</v>
      </c>
      <c r="L441">
        <v>19.96</v>
      </c>
      <c r="M441">
        <v>55.07</v>
      </c>
      <c r="N441">
        <v>7.61</v>
      </c>
      <c r="O441">
        <v>3.06</v>
      </c>
      <c r="P441" s="2" t="s">
        <v>42</v>
      </c>
      <c r="Q441">
        <v>0</v>
      </c>
      <c r="R441">
        <v>95.1</v>
      </c>
      <c r="S441">
        <v>85.7</v>
      </c>
      <c r="T441">
        <v>9.4</v>
      </c>
      <c r="U441">
        <f t="shared" si="6"/>
        <v>0</v>
      </c>
    </row>
    <row r="442" spans="1:21" x14ac:dyDescent="0.25">
      <c r="A442" s="2" t="s">
        <v>839</v>
      </c>
      <c r="B442" s="2" t="s">
        <v>365</v>
      </c>
      <c r="C442" s="1">
        <v>45896</v>
      </c>
      <c r="D442" s="2" t="s">
        <v>80</v>
      </c>
      <c r="E442" s="2" t="s">
        <v>46</v>
      </c>
      <c r="F442" s="2" t="s">
        <v>94</v>
      </c>
      <c r="G442">
        <v>2</v>
      </c>
      <c r="H442" s="2" t="s">
        <v>77</v>
      </c>
      <c r="I442">
        <v>45.01</v>
      </c>
      <c r="J442">
        <v>0</v>
      </c>
      <c r="K442">
        <v>0</v>
      </c>
      <c r="L442">
        <v>20.18</v>
      </c>
      <c r="M442">
        <v>15.71</v>
      </c>
      <c r="N442">
        <v>3.6</v>
      </c>
      <c r="O442">
        <v>1.61</v>
      </c>
      <c r="P442" s="2" t="s">
        <v>42</v>
      </c>
      <c r="Q442">
        <v>0</v>
      </c>
      <c r="R442">
        <v>45.01</v>
      </c>
      <c r="S442">
        <v>41.1</v>
      </c>
      <c r="T442">
        <v>3.91</v>
      </c>
      <c r="U442">
        <f t="shared" si="6"/>
        <v>1</v>
      </c>
    </row>
    <row r="443" spans="1:21" x14ac:dyDescent="0.25">
      <c r="A443" s="2" t="s">
        <v>840</v>
      </c>
      <c r="B443" s="2" t="s">
        <v>251</v>
      </c>
      <c r="C443" s="1">
        <v>45853</v>
      </c>
      <c r="D443" s="2" t="s">
        <v>38</v>
      </c>
      <c r="E443" s="2" t="s">
        <v>67</v>
      </c>
      <c r="F443" s="2" t="s">
        <v>51</v>
      </c>
      <c r="G443">
        <v>1</v>
      </c>
      <c r="H443" s="2" t="s">
        <v>56</v>
      </c>
      <c r="I443">
        <v>29.59</v>
      </c>
      <c r="J443">
        <v>5</v>
      </c>
      <c r="K443">
        <v>1.48</v>
      </c>
      <c r="L443">
        <v>4.7</v>
      </c>
      <c r="M443">
        <v>12.42</v>
      </c>
      <c r="N443">
        <v>0</v>
      </c>
      <c r="O443">
        <v>1.1200000000000001</v>
      </c>
      <c r="P443" s="2" t="s">
        <v>42</v>
      </c>
      <c r="Q443">
        <v>0</v>
      </c>
      <c r="R443">
        <v>28.11</v>
      </c>
      <c r="S443">
        <v>18.239999999999998</v>
      </c>
      <c r="T443">
        <v>9.8699999999999992</v>
      </c>
      <c r="U443">
        <f t="shared" si="6"/>
        <v>0</v>
      </c>
    </row>
    <row r="444" spans="1:21" x14ac:dyDescent="0.25">
      <c r="A444" s="2" t="s">
        <v>841</v>
      </c>
      <c r="B444" s="2" t="s">
        <v>842</v>
      </c>
      <c r="C444" s="1">
        <v>45904</v>
      </c>
      <c r="D444" s="2" t="s">
        <v>80</v>
      </c>
      <c r="E444" s="2" t="s">
        <v>46</v>
      </c>
      <c r="F444" s="2" t="s">
        <v>85</v>
      </c>
      <c r="G444">
        <v>1</v>
      </c>
      <c r="H444" s="2" t="s">
        <v>56</v>
      </c>
      <c r="I444">
        <v>49.35</v>
      </c>
      <c r="J444">
        <v>20</v>
      </c>
      <c r="K444">
        <v>9.8699999999999992</v>
      </c>
      <c r="L444">
        <v>8.3800000000000008</v>
      </c>
      <c r="M444">
        <v>26.77</v>
      </c>
      <c r="N444">
        <v>3.16</v>
      </c>
      <c r="O444">
        <v>1.44</v>
      </c>
      <c r="P444" s="2" t="s">
        <v>42</v>
      </c>
      <c r="Q444">
        <v>0</v>
      </c>
      <c r="R444">
        <v>39.479999999999997</v>
      </c>
      <c r="S444">
        <v>39.75</v>
      </c>
      <c r="T444">
        <v>-0.27</v>
      </c>
      <c r="U444">
        <f t="shared" si="6"/>
        <v>0</v>
      </c>
    </row>
    <row r="445" spans="1:21" x14ac:dyDescent="0.25">
      <c r="A445" s="2" t="s">
        <v>843</v>
      </c>
      <c r="B445" s="2" t="s">
        <v>844</v>
      </c>
      <c r="C445" s="1">
        <v>45650</v>
      </c>
      <c r="D445" s="2" t="s">
        <v>45</v>
      </c>
      <c r="E445" s="2" t="s">
        <v>71</v>
      </c>
      <c r="F445" s="2" t="s">
        <v>85</v>
      </c>
      <c r="G445">
        <v>1</v>
      </c>
      <c r="H445" s="2" t="s">
        <v>56</v>
      </c>
      <c r="I445">
        <v>103.35</v>
      </c>
      <c r="J445">
        <v>5</v>
      </c>
      <c r="K445">
        <v>5.17</v>
      </c>
      <c r="L445">
        <v>5.0199999999999996</v>
      </c>
      <c r="M445">
        <v>30.95</v>
      </c>
      <c r="N445">
        <v>0</v>
      </c>
      <c r="O445">
        <v>3.15</v>
      </c>
      <c r="P445" s="2" t="s">
        <v>42</v>
      </c>
      <c r="Q445">
        <v>0</v>
      </c>
      <c r="R445">
        <v>98.18</v>
      </c>
      <c r="S445">
        <v>39.119999999999997</v>
      </c>
      <c r="T445">
        <v>59.06</v>
      </c>
      <c r="U445">
        <f t="shared" si="6"/>
        <v>0</v>
      </c>
    </row>
    <row r="446" spans="1:21" x14ac:dyDescent="0.25">
      <c r="A446" s="2" t="s">
        <v>845</v>
      </c>
      <c r="B446" s="2" t="s">
        <v>846</v>
      </c>
      <c r="C446" s="1">
        <v>45679</v>
      </c>
      <c r="D446" s="2" t="s">
        <v>80</v>
      </c>
      <c r="E446" s="2" t="s">
        <v>46</v>
      </c>
      <c r="F446" s="2" t="s">
        <v>94</v>
      </c>
      <c r="G446">
        <v>2</v>
      </c>
      <c r="H446" s="2" t="s">
        <v>77</v>
      </c>
      <c r="I446">
        <v>121.03</v>
      </c>
      <c r="J446">
        <v>5</v>
      </c>
      <c r="K446">
        <v>6.05</v>
      </c>
      <c r="L446">
        <v>38.64</v>
      </c>
      <c r="M446">
        <v>53.19</v>
      </c>
      <c r="N446">
        <v>9.1999999999999993</v>
      </c>
      <c r="O446">
        <v>3.63</v>
      </c>
      <c r="P446" s="2" t="s">
        <v>42</v>
      </c>
      <c r="Q446">
        <v>0</v>
      </c>
      <c r="R446">
        <v>114.98</v>
      </c>
      <c r="S446">
        <v>104.66</v>
      </c>
      <c r="T446">
        <v>10.32</v>
      </c>
      <c r="U446">
        <f t="shared" si="6"/>
        <v>0</v>
      </c>
    </row>
    <row r="447" spans="1:21" x14ac:dyDescent="0.25">
      <c r="A447" s="2" t="s">
        <v>847</v>
      </c>
      <c r="B447" s="2" t="s">
        <v>848</v>
      </c>
      <c r="C447" s="1">
        <v>45857</v>
      </c>
      <c r="D447" s="2" t="s">
        <v>45</v>
      </c>
      <c r="E447" s="2" t="s">
        <v>71</v>
      </c>
      <c r="F447" s="2" t="s">
        <v>94</v>
      </c>
      <c r="G447">
        <v>2</v>
      </c>
      <c r="H447" s="2" t="s">
        <v>77</v>
      </c>
      <c r="I447">
        <v>105.78</v>
      </c>
      <c r="J447">
        <v>10</v>
      </c>
      <c r="K447">
        <v>10.58</v>
      </c>
      <c r="L447">
        <v>16.260000000000002</v>
      </c>
      <c r="M447">
        <v>66.66</v>
      </c>
      <c r="N447">
        <v>0</v>
      </c>
      <c r="O447">
        <v>3.06</v>
      </c>
      <c r="P447" s="2" t="s">
        <v>42</v>
      </c>
      <c r="Q447">
        <v>0</v>
      </c>
      <c r="R447">
        <v>95.2</v>
      </c>
      <c r="S447">
        <v>85.98</v>
      </c>
      <c r="T447">
        <v>9.2200000000000006</v>
      </c>
      <c r="U447">
        <f t="shared" si="6"/>
        <v>0</v>
      </c>
    </row>
    <row r="448" spans="1:21" x14ac:dyDescent="0.25">
      <c r="A448" s="2" t="s">
        <v>849</v>
      </c>
      <c r="B448" s="2" t="s">
        <v>850</v>
      </c>
      <c r="C448" s="1">
        <v>45990</v>
      </c>
      <c r="D448" s="2" t="s">
        <v>38</v>
      </c>
      <c r="E448" s="2" t="s">
        <v>39</v>
      </c>
      <c r="F448" s="2" t="s">
        <v>94</v>
      </c>
      <c r="G448">
        <v>2</v>
      </c>
      <c r="H448" s="2" t="s">
        <v>56</v>
      </c>
      <c r="I448">
        <v>111.62</v>
      </c>
      <c r="J448">
        <v>0</v>
      </c>
      <c r="K448">
        <v>0</v>
      </c>
      <c r="L448">
        <v>36.5</v>
      </c>
      <c r="M448">
        <v>55.02</v>
      </c>
      <c r="N448">
        <v>0</v>
      </c>
      <c r="O448">
        <v>3.54</v>
      </c>
      <c r="P448" s="2" t="s">
        <v>68</v>
      </c>
      <c r="Q448">
        <v>111.62</v>
      </c>
      <c r="R448">
        <v>0</v>
      </c>
      <c r="S448">
        <v>95.06</v>
      </c>
      <c r="T448">
        <v>-95.06</v>
      </c>
      <c r="U448">
        <f t="shared" si="6"/>
        <v>0</v>
      </c>
    </row>
    <row r="449" spans="1:21" x14ac:dyDescent="0.25">
      <c r="A449" s="2" t="s">
        <v>851</v>
      </c>
      <c r="B449" s="2" t="s">
        <v>852</v>
      </c>
      <c r="C449" s="1">
        <v>45438</v>
      </c>
      <c r="D449" s="2" t="s">
        <v>45</v>
      </c>
      <c r="E449" s="2" t="s">
        <v>46</v>
      </c>
      <c r="F449" s="2" t="s">
        <v>40</v>
      </c>
      <c r="G449">
        <v>3</v>
      </c>
      <c r="H449" s="2" t="s">
        <v>48</v>
      </c>
      <c r="I449">
        <v>93.73</v>
      </c>
      <c r="J449">
        <v>0</v>
      </c>
      <c r="K449">
        <v>0</v>
      </c>
      <c r="L449">
        <v>41.12</v>
      </c>
      <c r="M449">
        <v>40.56</v>
      </c>
      <c r="N449">
        <v>0</v>
      </c>
      <c r="O449">
        <v>3.02</v>
      </c>
      <c r="P449" s="2" t="s">
        <v>68</v>
      </c>
      <c r="Q449">
        <v>93.73</v>
      </c>
      <c r="R449">
        <v>0</v>
      </c>
      <c r="S449">
        <v>84.7</v>
      </c>
      <c r="T449">
        <v>-84.7</v>
      </c>
      <c r="U449">
        <f t="shared" si="6"/>
        <v>0</v>
      </c>
    </row>
    <row r="450" spans="1:21" x14ac:dyDescent="0.25">
      <c r="A450" s="2" t="s">
        <v>853</v>
      </c>
      <c r="B450" s="2" t="s">
        <v>854</v>
      </c>
      <c r="C450" s="1">
        <v>45891</v>
      </c>
      <c r="D450" s="2" t="s">
        <v>45</v>
      </c>
      <c r="E450" s="2" t="s">
        <v>55</v>
      </c>
      <c r="F450" s="2" t="s">
        <v>85</v>
      </c>
      <c r="G450">
        <v>4</v>
      </c>
      <c r="H450" s="2" t="s">
        <v>74</v>
      </c>
      <c r="I450">
        <v>117.49</v>
      </c>
      <c r="J450">
        <v>15</v>
      </c>
      <c r="K450">
        <v>17.62</v>
      </c>
      <c r="L450">
        <v>64.78</v>
      </c>
      <c r="M450">
        <v>51.68</v>
      </c>
      <c r="N450">
        <v>0</v>
      </c>
      <c r="O450">
        <v>3.2</v>
      </c>
      <c r="P450" s="2" t="s">
        <v>42</v>
      </c>
      <c r="Q450">
        <v>0</v>
      </c>
      <c r="R450">
        <v>99.87</v>
      </c>
      <c r="S450">
        <v>119.66</v>
      </c>
      <c r="T450">
        <v>-19.79</v>
      </c>
      <c r="U450">
        <f t="shared" si="6"/>
        <v>1</v>
      </c>
    </row>
    <row r="451" spans="1:21" x14ac:dyDescent="0.25">
      <c r="A451" s="2" t="s">
        <v>855</v>
      </c>
      <c r="B451" s="2" t="s">
        <v>856</v>
      </c>
      <c r="C451" s="1">
        <v>45510</v>
      </c>
      <c r="D451" s="2" t="s">
        <v>59</v>
      </c>
      <c r="E451" s="2" t="s">
        <v>71</v>
      </c>
      <c r="F451" s="2" t="s">
        <v>85</v>
      </c>
      <c r="G451">
        <v>1</v>
      </c>
      <c r="H451" s="2" t="s">
        <v>56</v>
      </c>
      <c r="I451">
        <v>96.35</v>
      </c>
      <c r="J451">
        <v>10</v>
      </c>
      <c r="K451">
        <v>9.6300000000000008</v>
      </c>
      <c r="L451">
        <v>3.82</v>
      </c>
      <c r="M451">
        <v>38.61</v>
      </c>
      <c r="N451">
        <v>13.01</v>
      </c>
      <c r="O451">
        <v>2.81</v>
      </c>
      <c r="P451" s="2" t="s">
        <v>42</v>
      </c>
      <c r="Q451">
        <v>0</v>
      </c>
      <c r="R451">
        <v>86.72</v>
      </c>
      <c r="S451">
        <v>58.25</v>
      </c>
      <c r="T451">
        <v>28.47</v>
      </c>
      <c r="U451">
        <f t="shared" si="6"/>
        <v>1</v>
      </c>
    </row>
    <row r="452" spans="1:21" x14ac:dyDescent="0.25">
      <c r="A452" s="2" t="s">
        <v>857</v>
      </c>
      <c r="B452" s="2" t="s">
        <v>858</v>
      </c>
      <c r="C452" s="1">
        <v>45687</v>
      </c>
      <c r="D452" s="2" t="s">
        <v>45</v>
      </c>
      <c r="E452" s="2" t="s">
        <v>39</v>
      </c>
      <c r="F452" s="2" t="s">
        <v>85</v>
      </c>
      <c r="G452">
        <v>1</v>
      </c>
      <c r="H452" s="2" t="s">
        <v>52</v>
      </c>
      <c r="I452">
        <v>272.49</v>
      </c>
      <c r="J452">
        <v>0</v>
      </c>
      <c r="K452">
        <v>0</v>
      </c>
      <c r="L452">
        <v>46.26</v>
      </c>
      <c r="M452">
        <v>80.040000000000006</v>
      </c>
      <c r="N452">
        <v>0</v>
      </c>
      <c r="O452">
        <v>8.1999999999999993</v>
      </c>
      <c r="P452" s="2" t="s">
        <v>42</v>
      </c>
      <c r="Q452">
        <v>0</v>
      </c>
      <c r="R452">
        <v>272.49</v>
      </c>
      <c r="S452">
        <v>134.5</v>
      </c>
      <c r="T452">
        <v>137.99</v>
      </c>
      <c r="U452">
        <f t="shared" si="6"/>
        <v>0</v>
      </c>
    </row>
    <row r="453" spans="1:21" x14ac:dyDescent="0.25">
      <c r="A453" s="2" t="s">
        <v>859</v>
      </c>
      <c r="B453" s="2" t="s">
        <v>860</v>
      </c>
      <c r="C453" s="1">
        <v>45436</v>
      </c>
      <c r="D453" s="2" t="s">
        <v>45</v>
      </c>
      <c r="E453" s="2" t="s">
        <v>46</v>
      </c>
      <c r="F453" s="2" t="s">
        <v>51</v>
      </c>
      <c r="G453">
        <v>3</v>
      </c>
      <c r="H453" s="2" t="s">
        <v>111</v>
      </c>
      <c r="I453">
        <v>265.58</v>
      </c>
      <c r="J453">
        <v>0</v>
      </c>
      <c r="K453">
        <v>0</v>
      </c>
      <c r="L453">
        <v>36.26</v>
      </c>
      <c r="M453">
        <v>83.96</v>
      </c>
      <c r="N453">
        <v>0</v>
      </c>
      <c r="O453">
        <v>8</v>
      </c>
      <c r="P453" s="2" t="s">
        <v>42</v>
      </c>
      <c r="Q453">
        <v>0</v>
      </c>
      <c r="R453">
        <v>265.58</v>
      </c>
      <c r="S453">
        <v>128.22</v>
      </c>
      <c r="T453">
        <v>137.36000000000001</v>
      </c>
      <c r="U453">
        <f t="shared" ref="U453:U516" si="7">IF(P451="Yes", 1, 0)</f>
        <v>0</v>
      </c>
    </row>
    <row r="454" spans="1:21" x14ac:dyDescent="0.25">
      <c r="A454" s="2" t="s">
        <v>861</v>
      </c>
      <c r="B454" s="2" t="s">
        <v>862</v>
      </c>
      <c r="C454" s="1">
        <v>45796</v>
      </c>
      <c r="D454" s="2" t="s">
        <v>38</v>
      </c>
      <c r="E454" s="2" t="s">
        <v>46</v>
      </c>
      <c r="F454" s="2" t="s">
        <v>51</v>
      </c>
      <c r="G454">
        <v>1</v>
      </c>
      <c r="H454" s="2" t="s">
        <v>74</v>
      </c>
      <c r="I454">
        <v>86.62</v>
      </c>
      <c r="J454">
        <v>0</v>
      </c>
      <c r="K454">
        <v>0</v>
      </c>
      <c r="L454">
        <v>7.58</v>
      </c>
      <c r="M454">
        <v>37.79</v>
      </c>
      <c r="N454">
        <v>0</v>
      </c>
      <c r="O454">
        <v>2.81</v>
      </c>
      <c r="P454" s="2" t="s">
        <v>42</v>
      </c>
      <c r="Q454">
        <v>0</v>
      </c>
      <c r="R454">
        <v>86.62</v>
      </c>
      <c r="S454">
        <v>48.18</v>
      </c>
      <c r="T454">
        <v>38.44</v>
      </c>
      <c r="U454">
        <f t="shared" si="7"/>
        <v>0</v>
      </c>
    </row>
    <row r="455" spans="1:21" x14ac:dyDescent="0.25">
      <c r="A455" s="2" t="s">
        <v>863</v>
      </c>
      <c r="B455" s="2" t="s">
        <v>663</v>
      </c>
      <c r="C455" s="1">
        <v>45910</v>
      </c>
      <c r="D455" s="2" t="s">
        <v>38</v>
      </c>
      <c r="E455" s="2" t="s">
        <v>55</v>
      </c>
      <c r="F455" s="2" t="s">
        <v>94</v>
      </c>
      <c r="G455">
        <v>2</v>
      </c>
      <c r="H455" s="2" t="s">
        <v>111</v>
      </c>
      <c r="I455">
        <v>144.66999999999999</v>
      </c>
      <c r="J455">
        <v>0</v>
      </c>
      <c r="K455">
        <v>0</v>
      </c>
      <c r="L455">
        <v>24.36</v>
      </c>
      <c r="M455">
        <v>54.29</v>
      </c>
      <c r="N455">
        <v>0</v>
      </c>
      <c r="O455">
        <v>4.5</v>
      </c>
      <c r="P455" s="2" t="s">
        <v>42</v>
      </c>
      <c r="Q455">
        <v>0</v>
      </c>
      <c r="R455">
        <v>144.66999999999999</v>
      </c>
      <c r="S455">
        <v>83.15</v>
      </c>
      <c r="T455">
        <v>61.52</v>
      </c>
      <c r="U455">
        <f t="shared" si="7"/>
        <v>0</v>
      </c>
    </row>
    <row r="456" spans="1:21" x14ac:dyDescent="0.25">
      <c r="A456" s="2" t="s">
        <v>864</v>
      </c>
      <c r="B456" s="2" t="s">
        <v>397</v>
      </c>
      <c r="C456" s="1">
        <v>45663</v>
      </c>
      <c r="D456" s="2" t="s">
        <v>38</v>
      </c>
      <c r="E456" s="2" t="s">
        <v>46</v>
      </c>
      <c r="F456" s="2" t="s">
        <v>94</v>
      </c>
      <c r="G456">
        <v>2</v>
      </c>
      <c r="H456" s="2" t="s">
        <v>41</v>
      </c>
      <c r="I456">
        <v>214.83</v>
      </c>
      <c r="J456">
        <v>0</v>
      </c>
      <c r="K456">
        <v>0</v>
      </c>
      <c r="L456">
        <v>19.8</v>
      </c>
      <c r="M456">
        <v>71.040000000000006</v>
      </c>
      <c r="N456">
        <v>0</v>
      </c>
      <c r="O456">
        <v>6.53</v>
      </c>
      <c r="P456" s="2" t="s">
        <v>42</v>
      </c>
      <c r="Q456">
        <v>0</v>
      </c>
      <c r="R456">
        <v>214.83</v>
      </c>
      <c r="S456">
        <v>97.37</v>
      </c>
      <c r="T456">
        <v>117.46</v>
      </c>
      <c r="U456">
        <f t="shared" si="7"/>
        <v>0</v>
      </c>
    </row>
    <row r="457" spans="1:21" x14ac:dyDescent="0.25">
      <c r="A457" s="2" t="s">
        <v>865</v>
      </c>
      <c r="B457" s="2" t="s">
        <v>382</v>
      </c>
      <c r="C457" s="1">
        <v>45833</v>
      </c>
      <c r="D457" s="2" t="s">
        <v>38</v>
      </c>
      <c r="E457" s="2" t="s">
        <v>71</v>
      </c>
      <c r="F457" s="2" t="s">
        <v>47</v>
      </c>
      <c r="G457">
        <v>1</v>
      </c>
      <c r="H457" s="2" t="s">
        <v>52</v>
      </c>
      <c r="I457">
        <v>19.95</v>
      </c>
      <c r="J457">
        <v>0</v>
      </c>
      <c r="K457">
        <v>0</v>
      </c>
      <c r="L457">
        <v>4.46</v>
      </c>
      <c r="M457">
        <v>6.83</v>
      </c>
      <c r="N457">
        <v>0</v>
      </c>
      <c r="O457">
        <v>0.88</v>
      </c>
      <c r="P457" s="2" t="s">
        <v>42</v>
      </c>
      <c r="Q457">
        <v>0</v>
      </c>
      <c r="R457">
        <v>19.95</v>
      </c>
      <c r="S457">
        <v>12.17</v>
      </c>
      <c r="T457">
        <v>7.78</v>
      </c>
      <c r="U457">
        <f t="shared" si="7"/>
        <v>0</v>
      </c>
    </row>
    <row r="458" spans="1:21" x14ac:dyDescent="0.25">
      <c r="A458" s="2" t="s">
        <v>866</v>
      </c>
      <c r="B458" s="2" t="s">
        <v>867</v>
      </c>
      <c r="C458" s="1">
        <v>45850</v>
      </c>
      <c r="D458" s="2" t="s">
        <v>59</v>
      </c>
      <c r="E458" s="2" t="s">
        <v>39</v>
      </c>
      <c r="F458" s="2" t="s">
        <v>51</v>
      </c>
      <c r="G458">
        <v>1</v>
      </c>
      <c r="H458" s="2" t="s">
        <v>52</v>
      </c>
      <c r="I458">
        <v>46.8</v>
      </c>
      <c r="J458">
        <v>0</v>
      </c>
      <c r="K458">
        <v>0</v>
      </c>
      <c r="L458">
        <v>9.9</v>
      </c>
      <c r="M458">
        <v>19.21</v>
      </c>
      <c r="N458">
        <v>7.02</v>
      </c>
      <c r="O458">
        <v>1.66</v>
      </c>
      <c r="P458" s="2" t="s">
        <v>42</v>
      </c>
      <c r="Q458">
        <v>0</v>
      </c>
      <c r="R458">
        <v>46.8</v>
      </c>
      <c r="S458">
        <v>37.79</v>
      </c>
      <c r="T458">
        <v>9.01</v>
      </c>
      <c r="U458">
        <f t="shared" si="7"/>
        <v>0</v>
      </c>
    </row>
    <row r="459" spans="1:21" x14ac:dyDescent="0.25">
      <c r="A459" s="2" t="s">
        <v>868</v>
      </c>
      <c r="B459" s="2" t="s">
        <v>869</v>
      </c>
      <c r="C459" s="1">
        <v>45632</v>
      </c>
      <c r="D459" s="2" t="s">
        <v>45</v>
      </c>
      <c r="E459" s="2" t="s">
        <v>46</v>
      </c>
      <c r="F459" s="2" t="s">
        <v>40</v>
      </c>
      <c r="G459">
        <v>2</v>
      </c>
      <c r="H459" s="2" t="s">
        <v>56</v>
      </c>
      <c r="I459">
        <v>65.45</v>
      </c>
      <c r="J459">
        <v>15</v>
      </c>
      <c r="K459">
        <v>9.82</v>
      </c>
      <c r="L459">
        <v>25.06</v>
      </c>
      <c r="M459">
        <v>41.46</v>
      </c>
      <c r="N459">
        <v>0</v>
      </c>
      <c r="O459">
        <v>1.91</v>
      </c>
      <c r="P459" s="2" t="s">
        <v>42</v>
      </c>
      <c r="Q459">
        <v>0</v>
      </c>
      <c r="R459">
        <v>55.63</v>
      </c>
      <c r="S459">
        <v>68.430000000000007</v>
      </c>
      <c r="T459">
        <v>-12.8</v>
      </c>
      <c r="U459">
        <f t="shared" si="7"/>
        <v>0</v>
      </c>
    </row>
    <row r="460" spans="1:21" x14ac:dyDescent="0.25">
      <c r="A460" s="2" t="s">
        <v>870</v>
      </c>
      <c r="B460" s="2" t="s">
        <v>615</v>
      </c>
      <c r="C460" s="1">
        <v>45761</v>
      </c>
      <c r="D460" s="2" t="s">
        <v>80</v>
      </c>
      <c r="E460" s="2" t="s">
        <v>46</v>
      </c>
      <c r="F460" s="2" t="s">
        <v>40</v>
      </c>
      <c r="G460">
        <v>1</v>
      </c>
      <c r="H460" s="2" t="s">
        <v>56</v>
      </c>
      <c r="I460">
        <v>192.7</v>
      </c>
      <c r="J460">
        <v>0</v>
      </c>
      <c r="K460">
        <v>0</v>
      </c>
      <c r="L460">
        <v>7.64</v>
      </c>
      <c r="M460">
        <v>77.22</v>
      </c>
      <c r="N460">
        <v>15.42</v>
      </c>
      <c r="O460">
        <v>5.89</v>
      </c>
      <c r="P460" s="2" t="s">
        <v>42</v>
      </c>
      <c r="Q460">
        <v>0</v>
      </c>
      <c r="R460">
        <v>192.7</v>
      </c>
      <c r="S460">
        <v>106.17</v>
      </c>
      <c r="T460">
        <v>86.53</v>
      </c>
      <c r="U460">
        <f t="shared" si="7"/>
        <v>0</v>
      </c>
    </row>
    <row r="461" spans="1:21" x14ac:dyDescent="0.25">
      <c r="A461" s="2" t="s">
        <v>871</v>
      </c>
      <c r="B461" s="2" t="s">
        <v>76</v>
      </c>
      <c r="C461" s="1">
        <v>45632</v>
      </c>
      <c r="D461" s="2" t="s">
        <v>80</v>
      </c>
      <c r="E461" s="2" t="s">
        <v>39</v>
      </c>
      <c r="F461" s="2" t="s">
        <v>51</v>
      </c>
      <c r="G461">
        <v>1</v>
      </c>
      <c r="H461" s="2" t="s">
        <v>74</v>
      </c>
      <c r="I461">
        <v>11.52</v>
      </c>
      <c r="J461">
        <v>0</v>
      </c>
      <c r="K461">
        <v>0</v>
      </c>
      <c r="L461">
        <v>7.58</v>
      </c>
      <c r="M461">
        <v>3.71</v>
      </c>
      <c r="N461">
        <v>0.92</v>
      </c>
      <c r="O461">
        <v>0.63</v>
      </c>
      <c r="P461" s="2" t="s">
        <v>42</v>
      </c>
      <c r="Q461">
        <v>0</v>
      </c>
      <c r="R461">
        <v>11.52</v>
      </c>
      <c r="S461">
        <v>12.84</v>
      </c>
      <c r="T461">
        <v>-1.32</v>
      </c>
      <c r="U461">
        <f t="shared" si="7"/>
        <v>0</v>
      </c>
    </row>
    <row r="462" spans="1:21" x14ac:dyDescent="0.25">
      <c r="A462" s="2" t="s">
        <v>872</v>
      </c>
      <c r="B462" s="2" t="s">
        <v>873</v>
      </c>
      <c r="C462" s="1">
        <v>45898</v>
      </c>
      <c r="D462" s="2" t="s">
        <v>59</v>
      </c>
      <c r="E462" s="2" t="s">
        <v>55</v>
      </c>
      <c r="F462" s="2" t="s">
        <v>47</v>
      </c>
      <c r="G462">
        <v>2</v>
      </c>
      <c r="H462" s="2" t="s">
        <v>64</v>
      </c>
      <c r="I462">
        <v>66.63</v>
      </c>
      <c r="J462">
        <v>10</v>
      </c>
      <c r="K462">
        <v>6.66</v>
      </c>
      <c r="L462">
        <v>14.76</v>
      </c>
      <c r="M462">
        <v>22.56</v>
      </c>
      <c r="N462">
        <v>9</v>
      </c>
      <c r="O462">
        <v>2.04</v>
      </c>
      <c r="P462" s="2" t="s">
        <v>42</v>
      </c>
      <c r="Q462">
        <v>0</v>
      </c>
      <c r="R462">
        <v>59.97</v>
      </c>
      <c r="S462">
        <v>48.36</v>
      </c>
      <c r="T462">
        <v>11.61</v>
      </c>
      <c r="U462">
        <f t="shared" si="7"/>
        <v>0</v>
      </c>
    </row>
    <row r="463" spans="1:21" x14ac:dyDescent="0.25">
      <c r="A463" s="2" t="s">
        <v>874</v>
      </c>
      <c r="B463" s="2" t="s">
        <v>209</v>
      </c>
      <c r="C463" s="1">
        <v>45342</v>
      </c>
      <c r="D463" s="2" t="s">
        <v>38</v>
      </c>
      <c r="E463" s="2" t="s">
        <v>67</v>
      </c>
      <c r="F463" s="2" t="s">
        <v>40</v>
      </c>
      <c r="G463">
        <v>2</v>
      </c>
      <c r="H463" s="2" t="s">
        <v>74</v>
      </c>
      <c r="I463">
        <v>147.33000000000001</v>
      </c>
      <c r="J463">
        <v>0</v>
      </c>
      <c r="K463">
        <v>0</v>
      </c>
      <c r="L463">
        <v>67.66</v>
      </c>
      <c r="M463">
        <v>80.88</v>
      </c>
      <c r="N463">
        <v>0</v>
      </c>
      <c r="O463">
        <v>4.57</v>
      </c>
      <c r="P463" s="2" t="s">
        <v>42</v>
      </c>
      <c r="Q463">
        <v>0</v>
      </c>
      <c r="R463">
        <v>147.33000000000001</v>
      </c>
      <c r="S463">
        <v>153.11000000000001</v>
      </c>
      <c r="T463">
        <v>-5.78</v>
      </c>
      <c r="U463">
        <f t="shared" si="7"/>
        <v>0</v>
      </c>
    </row>
    <row r="464" spans="1:21" x14ac:dyDescent="0.25">
      <c r="A464" s="2" t="s">
        <v>875</v>
      </c>
      <c r="B464" s="2" t="s">
        <v>876</v>
      </c>
      <c r="C464" s="1">
        <v>45943</v>
      </c>
      <c r="D464" s="2" t="s">
        <v>45</v>
      </c>
      <c r="E464" s="2" t="s">
        <v>71</v>
      </c>
      <c r="F464" s="2" t="s">
        <v>40</v>
      </c>
      <c r="G464">
        <v>1</v>
      </c>
      <c r="H464" s="2" t="s">
        <v>41</v>
      </c>
      <c r="I464">
        <v>112.16</v>
      </c>
      <c r="J464">
        <v>0</v>
      </c>
      <c r="K464">
        <v>0</v>
      </c>
      <c r="L464">
        <v>26.84</v>
      </c>
      <c r="M464">
        <v>58.88</v>
      </c>
      <c r="N464">
        <v>0</v>
      </c>
      <c r="O464">
        <v>3.55</v>
      </c>
      <c r="P464" s="2" t="s">
        <v>42</v>
      </c>
      <c r="Q464">
        <v>0</v>
      </c>
      <c r="R464">
        <v>112.16</v>
      </c>
      <c r="S464">
        <v>89.27</v>
      </c>
      <c r="T464">
        <v>22.89</v>
      </c>
      <c r="U464">
        <f t="shared" si="7"/>
        <v>0</v>
      </c>
    </row>
    <row r="465" spans="1:21" x14ac:dyDescent="0.25">
      <c r="A465" s="2" t="s">
        <v>877</v>
      </c>
      <c r="B465" s="2" t="s">
        <v>878</v>
      </c>
      <c r="C465" s="1">
        <v>45857</v>
      </c>
      <c r="D465" s="2" t="s">
        <v>38</v>
      </c>
      <c r="E465" s="2" t="s">
        <v>55</v>
      </c>
      <c r="F465" s="2" t="s">
        <v>94</v>
      </c>
      <c r="G465">
        <v>2</v>
      </c>
      <c r="H465" s="2" t="s">
        <v>77</v>
      </c>
      <c r="I465">
        <v>87</v>
      </c>
      <c r="J465">
        <v>10</v>
      </c>
      <c r="K465">
        <v>8.6999999999999993</v>
      </c>
      <c r="L465">
        <v>23.04</v>
      </c>
      <c r="M465">
        <v>39.39</v>
      </c>
      <c r="N465">
        <v>0</v>
      </c>
      <c r="O465">
        <v>2.57</v>
      </c>
      <c r="P465" s="2" t="s">
        <v>42</v>
      </c>
      <c r="Q465">
        <v>0</v>
      </c>
      <c r="R465">
        <v>78.3</v>
      </c>
      <c r="S465">
        <v>65</v>
      </c>
      <c r="T465">
        <v>13.3</v>
      </c>
      <c r="U465">
        <f t="shared" si="7"/>
        <v>0</v>
      </c>
    </row>
    <row r="466" spans="1:21" x14ac:dyDescent="0.25">
      <c r="A466" s="2" t="s">
        <v>879</v>
      </c>
      <c r="B466" s="2" t="s">
        <v>880</v>
      </c>
      <c r="C466" s="1">
        <v>45589</v>
      </c>
      <c r="D466" s="2" t="s">
        <v>45</v>
      </c>
      <c r="E466" s="2" t="s">
        <v>46</v>
      </c>
      <c r="F466" s="2" t="s">
        <v>40</v>
      </c>
      <c r="G466">
        <v>3</v>
      </c>
      <c r="H466" s="2" t="s">
        <v>74</v>
      </c>
      <c r="I466">
        <v>442.07</v>
      </c>
      <c r="J466">
        <v>0</v>
      </c>
      <c r="K466">
        <v>0</v>
      </c>
      <c r="L466">
        <v>55.5</v>
      </c>
      <c r="M466">
        <v>217.05</v>
      </c>
      <c r="N466">
        <v>0</v>
      </c>
      <c r="O466">
        <v>13.12</v>
      </c>
      <c r="P466" s="2" t="s">
        <v>42</v>
      </c>
      <c r="Q466">
        <v>0</v>
      </c>
      <c r="R466">
        <v>442.07</v>
      </c>
      <c r="S466">
        <v>285.67</v>
      </c>
      <c r="T466">
        <v>156.4</v>
      </c>
      <c r="U466">
        <f t="shared" si="7"/>
        <v>0</v>
      </c>
    </row>
    <row r="467" spans="1:21" x14ac:dyDescent="0.25">
      <c r="A467" s="2" t="s">
        <v>881</v>
      </c>
      <c r="B467" s="2" t="s">
        <v>882</v>
      </c>
      <c r="C467" s="1">
        <v>45798</v>
      </c>
      <c r="D467" s="2" t="s">
        <v>45</v>
      </c>
      <c r="E467" s="2" t="s">
        <v>46</v>
      </c>
      <c r="F467" s="2" t="s">
        <v>51</v>
      </c>
      <c r="G467">
        <v>2</v>
      </c>
      <c r="H467" s="2" t="s">
        <v>64</v>
      </c>
      <c r="I467">
        <v>358.53</v>
      </c>
      <c r="J467">
        <v>10</v>
      </c>
      <c r="K467">
        <v>35.85</v>
      </c>
      <c r="L467">
        <v>31.3</v>
      </c>
      <c r="M467">
        <v>120.41</v>
      </c>
      <c r="N467">
        <v>0</v>
      </c>
      <c r="O467">
        <v>9.66</v>
      </c>
      <c r="P467" s="2" t="s">
        <v>42</v>
      </c>
      <c r="Q467">
        <v>0</v>
      </c>
      <c r="R467">
        <v>322.68</v>
      </c>
      <c r="S467">
        <v>161.37</v>
      </c>
      <c r="T467">
        <v>161.31</v>
      </c>
      <c r="U467">
        <f t="shared" si="7"/>
        <v>0</v>
      </c>
    </row>
    <row r="468" spans="1:21" x14ac:dyDescent="0.25">
      <c r="A468" s="2" t="s">
        <v>883</v>
      </c>
      <c r="B468" s="2" t="s">
        <v>274</v>
      </c>
      <c r="C468" s="1">
        <v>45953</v>
      </c>
      <c r="D468" s="2" t="s">
        <v>38</v>
      </c>
      <c r="E468" s="2" t="s">
        <v>71</v>
      </c>
      <c r="F468" s="2" t="s">
        <v>40</v>
      </c>
      <c r="G468">
        <v>3</v>
      </c>
      <c r="H468" s="2" t="s">
        <v>52</v>
      </c>
      <c r="I468">
        <v>86.54</v>
      </c>
      <c r="J468">
        <v>5</v>
      </c>
      <c r="K468">
        <v>4.33</v>
      </c>
      <c r="L468">
        <v>26.32</v>
      </c>
      <c r="M468">
        <v>28.38</v>
      </c>
      <c r="N468">
        <v>0</v>
      </c>
      <c r="O468">
        <v>2.68</v>
      </c>
      <c r="P468" s="2" t="s">
        <v>42</v>
      </c>
      <c r="Q468">
        <v>0</v>
      </c>
      <c r="R468">
        <v>82.21</v>
      </c>
      <c r="S468">
        <v>57.38</v>
      </c>
      <c r="T468">
        <v>24.83</v>
      </c>
      <c r="U468">
        <f t="shared" si="7"/>
        <v>0</v>
      </c>
    </row>
    <row r="469" spans="1:21" x14ac:dyDescent="0.25">
      <c r="A469" s="2" t="s">
        <v>884</v>
      </c>
      <c r="B469" s="2" t="s">
        <v>121</v>
      </c>
      <c r="C469" s="1">
        <v>45826</v>
      </c>
      <c r="D469" s="2" t="s">
        <v>45</v>
      </c>
      <c r="E469" s="2" t="s">
        <v>67</v>
      </c>
      <c r="F469" s="2" t="s">
        <v>94</v>
      </c>
      <c r="G469">
        <v>1</v>
      </c>
      <c r="H469" s="2" t="s">
        <v>48</v>
      </c>
      <c r="I469">
        <v>21.93</v>
      </c>
      <c r="J469">
        <v>20</v>
      </c>
      <c r="K469">
        <v>4.3899999999999997</v>
      </c>
      <c r="L469">
        <v>14.06</v>
      </c>
      <c r="M469">
        <v>15.36</v>
      </c>
      <c r="N469">
        <v>0</v>
      </c>
      <c r="O469">
        <v>0.81</v>
      </c>
      <c r="P469" s="2" t="s">
        <v>42</v>
      </c>
      <c r="Q469">
        <v>0</v>
      </c>
      <c r="R469">
        <v>17.54</v>
      </c>
      <c r="S469">
        <v>30.23</v>
      </c>
      <c r="T469">
        <v>-12.69</v>
      </c>
      <c r="U469">
        <f t="shared" si="7"/>
        <v>0</v>
      </c>
    </row>
    <row r="470" spans="1:21" x14ac:dyDescent="0.25">
      <c r="A470" s="2" t="s">
        <v>885</v>
      </c>
      <c r="B470" s="2" t="s">
        <v>886</v>
      </c>
      <c r="C470" s="1">
        <v>45699</v>
      </c>
      <c r="D470" s="2" t="s">
        <v>38</v>
      </c>
      <c r="E470" s="2" t="s">
        <v>71</v>
      </c>
      <c r="F470" s="2" t="s">
        <v>94</v>
      </c>
      <c r="G470">
        <v>3</v>
      </c>
      <c r="H470" s="2" t="s">
        <v>56</v>
      </c>
      <c r="I470">
        <v>218.94</v>
      </c>
      <c r="J470">
        <v>20</v>
      </c>
      <c r="K470">
        <v>43.79</v>
      </c>
      <c r="L470">
        <v>48.96</v>
      </c>
      <c r="M470">
        <v>118.06</v>
      </c>
      <c r="N470">
        <v>0</v>
      </c>
      <c r="O470">
        <v>5.38</v>
      </c>
      <c r="P470" s="2" t="s">
        <v>42</v>
      </c>
      <c r="Q470">
        <v>0</v>
      </c>
      <c r="R470">
        <v>175.15</v>
      </c>
      <c r="S470">
        <v>172.4</v>
      </c>
      <c r="T470">
        <v>2.75</v>
      </c>
      <c r="U470">
        <f t="shared" si="7"/>
        <v>0</v>
      </c>
    </row>
    <row r="471" spans="1:21" x14ac:dyDescent="0.25">
      <c r="A471" s="2" t="s">
        <v>887</v>
      </c>
      <c r="B471" s="2" t="s">
        <v>888</v>
      </c>
      <c r="C471" s="1">
        <v>45864</v>
      </c>
      <c r="D471" s="2" t="s">
        <v>38</v>
      </c>
      <c r="E471" s="2" t="s">
        <v>71</v>
      </c>
      <c r="F471" s="2" t="s">
        <v>85</v>
      </c>
      <c r="G471">
        <v>3</v>
      </c>
      <c r="H471" s="2" t="s">
        <v>41</v>
      </c>
      <c r="I471">
        <v>398.28</v>
      </c>
      <c r="J471">
        <v>15</v>
      </c>
      <c r="K471">
        <v>59.74</v>
      </c>
      <c r="L471">
        <v>67.8</v>
      </c>
      <c r="M471">
        <v>157.41999999999999</v>
      </c>
      <c r="N471">
        <v>0</v>
      </c>
      <c r="O471">
        <v>10.119999999999999</v>
      </c>
      <c r="P471" s="2" t="s">
        <v>42</v>
      </c>
      <c r="Q471">
        <v>0</v>
      </c>
      <c r="R471">
        <v>338.54</v>
      </c>
      <c r="S471">
        <v>235.34</v>
      </c>
      <c r="T471">
        <v>103.2</v>
      </c>
      <c r="U471">
        <f t="shared" si="7"/>
        <v>0</v>
      </c>
    </row>
    <row r="472" spans="1:21" x14ac:dyDescent="0.25">
      <c r="A472" s="2" t="s">
        <v>889</v>
      </c>
      <c r="B472" s="2" t="s">
        <v>557</v>
      </c>
      <c r="C472" s="1">
        <v>45821</v>
      </c>
      <c r="D472" s="2" t="s">
        <v>38</v>
      </c>
      <c r="E472" s="2" t="s">
        <v>46</v>
      </c>
      <c r="F472" s="2" t="s">
        <v>47</v>
      </c>
      <c r="G472">
        <v>2</v>
      </c>
      <c r="H472" s="2" t="s">
        <v>48</v>
      </c>
      <c r="I472">
        <v>158.88999999999999</v>
      </c>
      <c r="J472">
        <v>25</v>
      </c>
      <c r="K472">
        <v>39.72</v>
      </c>
      <c r="L472">
        <v>33.78</v>
      </c>
      <c r="M472">
        <v>51.24</v>
      </c>
      <c r="N472">
        <v>0</v>
      </c>
      <c r="O472">
        <v>3.76</v>
      </c>
      <c r="P472" s="2" t="s">
        <v>42</v>
      </c>
      <c r="Q472">
        <v>0</v>
      </c>
      <c r="R472">
        <v>119.17</v>
      </c>
      <c r="S472">
        <v>88.78</v>
      </c>
      <c r="T472">
        <v>30.39</v>
      </c>
      <c r="U472">
        <f t="shared" si="7"/>
        <v>0</v>
      </c>
    </row>
    <row r="473" spans="1:21" x14ac:dyDescent="0.25">
      <c r="A473" s="2" t="s">
        <v>890</v>
      </c>
      <c r="B473" s="2" t="s">
        <v>443</v>
      </c>
      <c r="C473" s="1">
        <v>45973</v>
      </c>
      <c r="D473" s="2" t="s">
        <v>45</v>
      </c>
      <c r="E473" s="2" t="s">
        <v>67</v>
      </c>
      <c r="F473" s="2" t="s">
        <v>51</v>
      </c>
      <c r="G473">
        <v>4</v>
      </c>
      <c r="H473" s="2" t="s">
        <v>74</v>
      </c>
      <c r="I473">
        <v>225.62</v>
      </c>
      <c r="J473">
        <v>10</v>
      </c>
      <c r="K473">
        <v>22.56</v>
      </c>
      <c r="L473">
        <v>48</v>
      </c>
      <c r="M473">
        <v>88.77</v>
      </c>
      <c r="N473">
        <v>0</v>
      </c>
      <c r="O473">
        <v>6.19</v>
      </c>
      <c r="P473" s="2" t="s">
        <v>42</v>
      </c>
      <c r="Q473">
        <v>0</v>
      </c>
      <c r="R473">
        <v>203.06</v>
      </c>
      <c r="S473">
        <v>142.96</v>
      </c>
      <c r="T473">
        <v>60.1</v>
      </c>
      <c r="U473">
        <f t="shared" si="7"/>
        <v>0</v>
      </c>
    </row>
    <row r="474" spans="1:21" x14ac:dyDescent="0.25">
      <c r="A474" s="2" t="s">
        <v>891</v>
      </c>
      <c r="B474" s="2" t="s">
        <v>297</v>
      </c>
      <c r="C474" s="1">
        <v>45855</v>
      </c>
      <c r="D474" s="2" t="s">
        <v>59</v>
      </c>
      <c r="E474" s="2" t="s">
        <v>46</v>
      </c>
      <c r="F474" s="2" t="s">
        <v>40</v>
      </c>
      <c r="G474">
        <v>3</v>
      </c>
      <c r="H474" s="2" t="s">
        <v>56</v>
      </c>
      <c r="I474">
        <v>144.69999999999999</v>
      </c>
      <c r="J474">
        <v>15</v>
      </c>
      <c r="K474">
        <v>21.7</v>
      </c>
      <c r="L474">
        <v>21.36</v>
      </c>
      <c r="M474">
        <v>80.67</v>
      </c>
      <c r="N474">
        <v>18.45</v>
      </c>
      <c r="O474">
        <v>3.87</v>
      </c>
      <c r="P474" s="2" t="s">
        <v>42</v>
      </c>
      <c r="Q474">
        <v>0</v>
      </c>
      <c r="R474">
        <v>123</v>
      </c>
      <c r="S474">
        <v>124.35</v>
      </c>
      <c r="T474">
        <v>-1.35</v>
      </c>
      <c r="U474">
        <f t="shared" si="7"/>
        <v>0</v>
      </c>
    </row>
    <row r="475" spans="1:21" x14ac:dyDescent="0.25">
      <c r="A475" s="2" t="s">
        <v>892</v>
      </c>
      <c r="B475" s="2" t="s">
        <v>893</v>
      </c>
      <c r="C475" s="1">
        <v>45462</v>
      </c>
      <c r="D475" s="2" t="s">
        <v>59</v>
      </c>
      <c r="E475" s="2" t="s">
        <v>46</v>
      </c>
      <c r="F475" s="2" t="s">
        <v>40</v>
      </c>
      <c r="G475">
        <v>1</v>
      </c>
      <c r="H475" s="2" t="s">
        <v>74</v>
      </c>
      <c r="I475">
        <v>27.16</v>
      </c>
      <c r="J475">
        <v>10</v>
      </c>
      <c r="K475">
        <v>2.72</v>
      </c>
      <c r="L475">
        <v>11.34</v>
      </c>
      <c r="M475">
        <v>13.64</v>
      </c>
      <c r="N475">
        <v>3.67</v>
      </c>
      <c r="O475">
        <v>1.01</v>
      </c>
      <c r="P475" s="2" t="s">
        <v>42</v>
      </c>
      <c r="Q475">
        <v>0</v>
      </c>
      <c r="R475">
        <v>24.44</v>
      </c>
      <c r="S475">
        <v>29.66</v>
      </c>
      <c r="T475">
        <v>-5.22</v>
      </c>
      <c r="U475">
        <f t="shared" si="7"/>
        <v>0</v>
      </c>
    </row>
    <row r="476" spans="1:21" x14ac:dyDescent="0.25">
      <c r="A476" s="2" t="s">
        <v>894</v>
      </c>
      <c r="B476" s="2" t="s">
        <v>650</v>
      </c>
      <c r="C476" s="1">
        <v>45862</v>
      </c>
      <c r="D476" s="2" t="s">
        <v>59</v>
      </c>
      <c r="E476" s="2" t="s">
        <v>46</v>
      </c>
      <c r="F476" s="2" t="s">
        <v>94</v>
      </c>
      <c r="G476">
        <v>1</v>
      </c>
      <c r="H476" s="2" t="s">
        <v>111</v>
      </c>
      <c r="I476">
        <v>62.92</v>
      </c>
      <c r="J476">
        <v>0</v>
      </c>
      <c r="K476">
        <v>0</v>
      </c>
      <c r="L476">
        <v>10.38</v>
      </c>
      <c r="M476">
        <v>27.03</v>
      </c>
      <c r="N476">
        <v>9.44</v>
      </c>
      <c r="O476">
        <v>2.12</v>
      </c>
      <c r="P476" s="2" t="s">
        <v>42</v>
      </c>
      <c r="Q476">
        <v>0</v>
      </c>
      <c r="R476">
        <v>62.92</v>
      </c>
      <c r="S476">
        <v>48.97</v>
      </c>
      <c r="T476">
        <v>13.95</v>
      </c>
      <c r="U476">
        <f t="shared" si="7"/>
        <v>0</v>
      </c>
    </row>
    <row r="477" spans="1:21" x14ac:dyDescent="0.25">
      <c r="A477" s="2" t="s">
        <v>895</v>
      </c>
      <c r="B477" s="2" t="s">
        <v>896</v>
      </c>
      <c r="C477" s="1">
        <v>45926</v>
      </c>
      <c r="D477" s="2" t="s">
        <v>45</v>
      </c>
      <c r="E477" s="2" t="s">
        <v>71</v>
      </c>
      <c r="F477" s="2" t="s">
        <v>85</v>
      </c>
      <c r="G477">
        <v>1</v>
      </c>
      <c r="H477" s="2" t="s">
        <v>52</v>
      </c>
      <c r="I477">
        <v>52.54</v>
      </c>
      <c r="J477">
        <v>15</v>
      </c>
      <c r="K477">
        <v>7.88</v>
      </c>
      <c r="L477">
        <v>5.82</v>
      </c>
      <c r="M477">
        <v>30.58</v>
      </c>
      <c r="N477">
        <v>0</v>
      </c>
      <c r="O477">
        <v>1.6</v>
      </c>
      <c r="P477" s="2" t="s">
        <v>42</v>
      </c>
      <c r="Q477">
        <v>0</v>
      </c>
      <c r="R477">
        <v>44.66</v>
      </c>
      <c r="S477">
        <v>38</v>
      </c>
      <c r="T477">
        <v>6.66</v>
      </c>
      <c r="U477">
        <f t="shared" si="7"/>
        <v>0</v>
      </c>
    </row>
    <row r="478" spans="1:21" x14ac:dyDescent="0.25">
      <c r="A478" s="2" t="s">
        <v>897</v>
      </c>
      <c r="B478" s="2" t="s">
        <v>734</v>
      </c>
      <c r="C478" s="1">
        <v>45568</v>
      </c>
      <c r="D478" s="2" t="s">
        <v>59</v>
      </c>
      <c r="E478" s="2" t="s">
        <v>46</v>
      </c>
      <c r="F478" s="2" t="s">
        <v>40</v>
      </c>
      <c r="G478">
        <v>1</v>
      </c>
      <c r="H478" s="2" t="s">
        <v>52</v>
      </c>
      <c r="I478">
        <v>57.29</v>
      </c>
      <c r="J478">
        <v>10</v>
      </c>
      <c r="K478">
        <v>5.73</v>
      </c>
      <c r="L478">
        <v>13.18</v>
      </c>
      <c r="M478">
        <v>20.72</v>
      </c>
      <c r="N478">
        <v>7.73</v>
      </c>
      <c r="O478">
        <v>1.8</v>
      </c>
      <c r="P478" s="2" t="s">
        <v>42</v>
      </c>
      <c r="Q478">
        <v>0</v>
      </c>
      <c r="R478">
        <v>51.56</v>
      </c>
      <c r="S478">
        <v>43.43</v>
      </c>
      <c r="T478">
        <v>8.1300000000000008</v>
      </c>
      <c r="U478">
        <f t="shared" si="7"/>
        <v>0</v>
      </c>
    </row>
    <row r="479" spans="1:21" x14ac:dyDescent="0.25">
      <c r="A479" s="2" t="s">
        <v>898</v>
      </c>
      <c r="B479" s="2" t="s">
        <v>692</v>
      </c>
      <c r="C479" s="1">
        <v>45770</v>
      </c>
      <c r="D479" s="2" t="s">
        <v>38</v>
      </c>
      <c r="E479" s="2" t="s">
        <v>67</v>
      </c>
      <c r="F479" s="2" t="s">
        <v>51</v>
      </c>
      <c r="G479">
        <v>1</v>
      </c>
      <c r="H479" s="2" t="s">
        <v>56</v>
      </c>
      <c r="I479">
        <v>47.22</v>
      </c>
      <c r="J479">
        <v>0</v>
      </c>
      <c r="K479">
        <v>0</v>
      </c>
      <c r="L479">
        <v>5.9</v>
      </c>
      <c r="M479">
        <v>20.9</v>
      </c>
      <c r="N479">
        <v>0</v>
      </c>
      <c r="O479">
        <v>1.67</v>
      </c>
      <c r="P479" s="2" t="s">
        <v>42</v>
      </c>
      <c r="Q479">
        <v>0</v>
      </c>
      <c r="R479">
        <v>47.22</v>
      </c>
      <c r="S479">
        <v>28.47</v>
      </c>
      <c r="T479">
        <v>18.75</v>
      </c>
      <c r="U479">
        <f t="shared" si="7"/>
        <v>0</v>
      </c>
    </row>
    <row r="480" spans="1:21" x14ac:dyDescent="0.25">
      <c r="A480" s="2" t="s">
        <v>899</v>
      </c>
      <c r="B480" s="2" t="s">
        <v>900</v>
      </c>
      <c r="C480" s="1">
        <v>45836</v>
      </c>
      <c r="D480" s="2" t="s">
        <v>59</v>
      </c>
      <c r="E480" s="2" t="s">
        <v>39</v>
      </c>
      <c r="F480" s="2" t="s">
        <v>94</v>
      </c>
      <c r="G480">
        <v>1</v>
      </c>
      <c r="H480" s="2" t="s">
        <v>74</v>
      </c>
      <c r="I480">
        <v>79.489999999999995</v>
      </c>
      <c r="J480">
        <v>5</v>
      </c>
      <c r="K480">
        <v>3.97</v>
      </c>
      <c r="L480">
        <v>13.82</v>
      </c>
      <c r="M480">
        <v>32.229999999999997</v>
      </c>
      <c r="N480">
        <v>11.33</v>
      </c>
      <c r="O480">
        <v>2.4900000000000002</v>
      </c>
      <c r="P480" s="2" t="s">
        <v>42</v>
      </c>
      <c r="Q480">
        <v>0</v>
      </c>
      <c r="R480">
        <v>75.52</v>
      </c>
      <c r="S480">
        <v>59.87</v>
      </c>
      <c r="T480">
        <v>15.65</v>
      </c>
      <c r="U480">
        <f t="shared" si="7"/>
        <v>0</v>
      </c>
    </row>
    <row r="481" spans="1:21" x14ac:dyDescent="0.25">
      <c r="A481" s="2" t="s">
        <v>901</v>
      </c>
      <c r="B481" s="2" t="s">
        <v>902</v>
      </c>
      <c r="C481" s="1">
        <v>45625</v>
      </c>
      <c r="D481" s="2" t="s">
        <v>59</v>
      </c>
      <c r="E481" s="2" t="s">
        <v>71</v>
      </c>
      <c r="F481" s="2" t="s">
        <v>85</v>
      </c>
      <c r="G481">
        <v>1</v>
      </c>
      <c r="H481" s="2" t="s">
        <v>64</v>
      </c>
      <c r="I481">
        <v>129.12</v>
      </c>
      <c r="J481">
        <v>10</v>
      </c>
      <c r="K481">
        <v>12.91</v>
      </c>
      <c r="L481">
        <v>9.7200000000000006</v>
      </c>
      <c r="M481">
        <v>65.34</v>
      </c>
      <c r="N481">
        <v>17.43</v>
      </c>
      <c r="O481">
        <v>3.67</v>
      </c>
      <c r="P481" s="2" t="s">
        <v>42</v>
      </c>
      <c r="Q481">
        <v>0</v>
      </c>
      <c r="R481">
        <v>116.21</v>
      </c>
      <c r="S481">
        <v>96.16</v>
      </c>
      <c r="T481">
        <v>20.05</v>
      </c>
      <c r="U481">
        <f t="shared" si="7"/>
        <v>0</v>
      </c>
    </row>
    <row r="482" spans="1:21" x14ac:dyDescent="0.25">
      <c r="A482" s="2" t="s">
        <v>903</v>
      </c>
      <c r="B482" s="2" t="s">
        <v>416</v>
      </c>
      <c r="C482" s="1">
        <v>45946</v>
      </c>
      <c r="D482" s="2" t="s">
        <v>38</v>
      </c>
      <c r="E482" s="2" t="s">
        <v>46</v>
      </c>
      <c r="F482" s="2" t="s">
        <v>47</v>
      </c>
      <c r="G482">
        <v>1</v>
      </c>
      <c r="H482" s="2" t="s">
        <v>52</v>
      </c>
      <c r="I482">
        <v>157.62</v>
      </c>
      <c r="J482">
        <v>0</v>
      </c>
      <c r="K482">
        <v>0</v>
      </c>
      <c r="L482">
        <v>17.46</v>
      </c>
      <c r="M482">
        <v>91.74</v>
      </c>
      <c r="N482">
        <v>0</v>
      </c>
      <c r="O482">
        <v>4.87</v>
      </c>
      <c r="P482" s="2" t="s">
        <v>42</v>
      </c>
      <c r="Q482">
        <v>0</v>
      </c>
      <c r="R482">
        <v>157.62</v>
      </c>
      <c r="S482">
        <v>114.07</v>
      </c>
      <c r="T482">
        <v>43.55</v>
      </c>
      <c r="U482">
        <f t="shared" si="7"/>
        <v>0</v>
      </c>
    </row>
    <row r="483" spans="1:21" x14ac:dyDescent="0.25">
      <c r="A483" s="2" t="s">
        <v>904</v>
      </c>
      <c r="B483" s="2" t="s">
        <v>905</v>
      </c>
      <c r="C483" s="1">
        <v>45775</v>
      </c>
      <c r="D483" s="2" t="s">
        <v>45</v>
      </c>
      <c r="E483" s="2" t="s">
        <v>71</v>
      </c>
      <c r="F483" s="2" t="s">
        <v>51</v>
      </c>
      <c r="G483">
        <v>2</v>
      </c>
      <c r="H483" s="2" t="s">
        <v>77</v>
      </c>
      <c r="I483">
        <v>130.63999999999999</v>
      </c>
      <c r="J483">
        <v>5</v>
      </c>
      <c r="K483">
        <v>6.53</v>
      </c>
      <c r="L483">
        <v>41.12</v>
      </c>
      <c r="M483">
        <v>44.09</v>
      </c>
      <c r="N483">
        <v>0</v>
      </c>
      <c r="O483">
        <v>3.9</v>
      </c>
      <c r="P483" s="2" t="s">
        <v>42</v>
      </c>
      <c r="Q483">
        <v>0</v>
      </c>
      <c r="R483">
        <v>124.11</v>
      </c>
      <c r="S483">
        <v>89.11</v>
      </c>
      <c r="T483">
        <v>35</v>
      </c>
      <c r="U483">
        <f t="shared" si="7"/>
        <v>0</v>
      </c>
    </row>
    <row r="484" spans="1:21" x14ac:dyDescent="0.25">
      <c r="A484" s="2" t="s">
        <v>906</v>
      </c>
      <c r="B484" s="2" t="s">
        <v>907</v>
      </c>
      <c r="C484" s="1">
        <v>45934</v>
      </c>
      <c r="D484" s="2" t="s">
        <v>45</v>
      </c>
      <c r="E484" s="2" t="s">
        <v>46</v>
      </c>
      <c r="F484" s="2" t="s">
        <v>85</v>
      </c>
      <c r="G484">
        <v>1</v>
      </c>
      <c r="H484" s="2" t="s">
        <v>48</v>
      </c>
      <c r="I484">
        <v>21.93</v>
      </c>
      <c r="J484">
        <v>0</v>
      </c>
      <c r="K484">
        <v>0</v>
      </c>
      <c r="L484">
        <v>14.06</v>
      </c>
      <c r="M484">
        <v>15.36</v>
      </c>
      <c r="N484">
        <v>0</v>
      </c>
      <c r="O484">
        <v>0.94</v>
      </c>
      <c r="P484" s="2" t="s">
        <v>42</v>
      </c>
      <c r="Q484">
        <v>0</v>
      </c>
      <c r="R484">
        <v>21.93</v>
      </c>
      <c r="S484">
        <v>30.36</v>
      </c>
      <c r="T484">
        <v>-8.43</v>
      </c>
      <c r="U484">
        <f t="shared" si="7"/>
        <v>0</v>
      </c>
    </row>
    <row r="485" spans="1:21" x14ac:dyDescent="0.25">
      <c r="A485" s="2" t="s">
        <v>908</v>
      </c>
      <c r="B485" s="2" t="s">
        <v>110</v>
      </c>
      <c r="C485" s="1">
        <v>45728</v>
      </c>
      <c r="D485" s="2" t="s">
        <v>38</v>
      </c>
      <c r="E485" s="2" t="s">
        <v>71</v>
      </c>
      <c r="F485" s="2" t="s">
        <v>40</v>
      </c>
      <c r="G485">
        <v>3</v>
      </c>
      <c r="H485" s="2" t="s">
        <v>48</v>
      </c>
      <c r="I485">
        <v>352.99</v>
      </c>
      <c r="J485">
        <v>10</v>
      </c>
      <c r="K485">
        <v>35.299999999999997</v>
      </c>
      <c r="L485">
        <v>39.840000000000003</v>
      </c>
      <c r="M485">
        <v>112.44</v>
      </c>
      <c r="N485">
        <v>0</v>
      </c>
      <c r="O485">
        <v>9.51</v>
      </c>
      <c r="P485" s="2" t="s">
        <v>42</v>
      </c>
      <c r="Q485">
        <v>0</v>
      </c>
      <c r="R485">
        <v>317.69</v>
      </c>
      <c r="S485">
        <v>161.79</v>
      </c>
      <c r="T485">
        <v>155.9</v>
      </c>
      <c r="U485">
        <f t="shared" si="7"/>
        <v>0</v>
      </c>
    </row>
    <row r="486" spans="1:21" x14ac:dyDescent="0.25">
      <c r="A486" s="2" t="s">
        <v>909</v>
      </c>
      <c r="B486" s="2" t="s">
        <v>106</v>
      </c>
      <c r="C486" s="1">
        <v>45846</v>
      </c>
      <c r="D486" s="2" t="s">
        <v>59</v>
      </c>
      <c r="E486" s="2" t="s">
        <v>71</v>
      </c>
      <c r="F486" s="2" t="s">
        <v>85</v>
      </c>
      <c r="G486">
        <v>2</v>
      </c>
      <c r="H486" s="2" t="s">
        <v>41</v>
      </c>
      <c r="I486">
        <v>212.45</v>
      </c>
      <c r="J486">
        <v>10</v>
      </c>
      <c r="K486">
        <v>21.25</v>
      </c>
      <c r="L486">
        <v>22.98</v>
      </c>
      <c r="M486">
        <v>60.76</v>
      </c>
      <c r="N486">
        <v>28.68</v>
      </c>
      <c r="O486">
        <v>5.84</v>
      </c>
      <c r="P486" s="2" t="s">
        <v>42</v>
      </c>
      <c r="Q486">
        <v>0</v>
      </c>
      <c r="R486">
        <v>191.2</v>
      </c>
      <c r="S486">
        <v>118.26</v>
      </c>
      <c r="T486">
        <v>72.94</v>
      </c>
      <c r="U486">
        <f t="shared" si="7"/>
        <v>0</v>
      </c>
    </row>
    <row r="487" spans="1:21" x14ac:dyDescent="0.25">
      <c r="A487" s="2" t="s">
        <v>910</v>
      </c>
      <c r="B487" s="2" t="s">
        <v>447</v>
      </c>
      <c r="C487" s="1">
        <v>45974</v>
      </c>
      <c r="D487" s="2" t="s">
        <v>45</v>
      </c>
      <c r="E487" s="2" t="s">
        <v>46</v>
      </c>
      <c r="F487" s="2" t="s">
        <v>40</v>
      </c>
      <c r="G487">
        <v>1</v>
      </c>
      <c r="H487" s="2" t="s">
        <v>56</v>
      </c>
      <c r="I487">
        <v>29.69</v>
      </c>
      <c r="J487">
        <v>25</v>
      </c>
      <c r="K487">
        <v>7.42</v>
      </c>
      <c r="L487">
        <v>6.06</v>
      </c>
      <c r="M487">
        <v>18.66</v>
      </c>
      <c r="N487">
        <v>0</v>
      </c>
      <c r="O487">
        <v>0.95</v>
      </c>
      <c r="P487" s="2" t="s">
        <v>42</v>
      </c>
      <c r="Q487">
        <v>0</v>
      </c>
      <c r="R487">
        <v>22.27</v>
      </c>
      <c r="S487">
        <v>25.67</v>
      </c>
      <c r="T487">
        <v>-3.4</v>
      </c>
      <c r="U487">
        <f t="shared" si="7"/>
        <v>0</v>
      </c>
    </row>
    <row r="488" spans="1:21" x14ac:dyDescent="0.25">
      <c r="A488" s="2" t="s">
        <v>911</v>
      </c>
      <c r="B488" s="2" t="s">
        <v>449</v>
      </c>
      <c r="C488" s="1">
        <v>45778</v>
      </c>
      <c r="D488" s="2" t="s">
        <v>59</v>
      </c>
      <c r="E488" s="2" t="s">
        <v>46</v>
      </c>
      <c r="F488" s="2" t="s">
        <v>85</v>
      </c>
      <c r="G488">
        <v>1</v>
      </c>
      <c r="H488" s="2" t="s">
        <v>52</v>
      </c>
      <c r="I488">
        <v>19.95</v>
      </c>
      <c r="J488">
        <v>10</v>
      </c>
      <c r="K488">
        <v>2</v>
      </c>
      <c r="L488">
        <v>4.46</v>
      </c>
      <c r="M488">
        <v>6.83</v>
      </c>
      <c r="N488">
        <v>2.69</v>
      </c>
      <c r="O488">
        <v>0.82</v>
      </c>
      <c r="P488" s="2" t="s">
        <v>42</v>
      </c>
      <c r="Q488">
        <v>0</v>
      </c>
      <c r="R488">
        <v>17.95</v>
      </c>
      <c r="S488">
        <v>14.8</v>
      </c>
      <c r="T488">
        <v>3.15</v>
      </c>
      <c r="U488">
        <f t="shared" si="7"/>
        <v>0</v>
      </c>
    </row>
    <row r="489" spans="1:21" x14ac:dyDescent="0.25">
      <c r="A489" s="2" t="s">
        <v>912</v>
      </c>
      <c r="B489" s="2" t="s">
        <v>913</v>
      </c>
      <c r="C489" s="1">
        <v>45586</v>
      </c>
      <c r="D489" s="2" t="s">
        <v>38</v>
      </c>
      <c r="E489" s="2" t="s">
        <v>46</v>
      </c>
      <c r="F489" s="2" t="s">
        <v>94</v>
      </c>
      <c r="G489">
        <v>1</v>
      </c>
      <c r="H489" s="2" t="s">
        <v>77</v>
      </c>
      <c r="I489">
        <v>19.54</v>
      </c>
      <c r="J489">
        <v>20</v>
      </c>
      <c r="K489">
        <v>3.91</v>
      </c>
      <c r="L489">
        <v>23.48</v>
      </c>
      <c r="M489">
        <v>8.98</v>
      </c>
      <c r="N489">
        <v>0</v>
      </c>
      <c r="O489">
        <v>0.75</v>
      </c>
      <c r="P489" s="2" t="s">
        <v>42</v>
      </c>
      <c r="Q489">
        <v>0</v>
      </c>
      <c r="R489">
        <v>15.63</v>
      </c>
      <c r="S489">
        <v>33.21</v>
      </c>
      <c r="T489">
        <v>-17.579999999999998</v>
      </c>
      <c r="U489">
        <f t="shared" si="7"/>
        <v>0</v>
      </c>
    </row>
    <row r="490" spans="1:21" x14ac:dyDescent="0.25">
      <c r="A490" s="2" t="s">
        <v>914</v>
      </c>
      <c r="B490" s="2" t="s">
        <v>650</v>
      </c>
      <c r="C490" s="1">
        <v>45721</v>
      </c>
      <c r="D490" s="2" t="s">
        <v>45</v>
      </c>
      <c r="E490" s="2" t="s">
        <v>46</v>
      </c>
      <c r="F490" s="2" t="s">
        <v>51</v>
      </c>
      <c r="G490">
        <v>4</v>
      </c>
      <c r="H490" s="2" t="s">
        <v>77</v>
      </c>
      <c r="I490">
        <v>386.8</v>
      </c>
      <c r="J490">
        <v>0</v>
      </c>
      <c r="K490">
        <v>0</v>
      </c>
      <c r="L490">
        <v>77.92</v>
      </c>
      <c r="M490">
        <v>151.80000000000001</v>
      </c>
      <c r="N490">
        <v>0</v>
      </c>
      <c r="O490">
        <v>11.52</v>
      </c>
      <c r="P490" s="2" t="s">
        <v>42</v>
      </c>
      <c r="Q490">
        <v>0</v>
      </c>
      <c r="R490">
        <v>386.8</v>
      </c>
      <c r="S490">
        <v>241.24</v>
      </c>
      <c r="T490">
        <v>145.56</v>
      </c>
      <c r="U490">
        <f t="shared" si="7"/>
        <v>0</v>
      </c>
    </row>
    <row r="491" spans="1:21" x14ac:dyDescent="0.25">
      <c r="A491" s="2" t="s">
        <v>915</v>
      </c>
      <c r="B491" s="2" t="s">
        <v>916</v>
      </c>
      <c r="C491" s="1">
        <v>45527</v>
      </c>
      <c r="D491" s="2" t="s">
        <v>80</v>
      </c>
      <c r="E491" s="2" t="s">
        <v>39</v>
      </c>
      <c r="F491" s="2" t="s">
        <v>47</v>
      </c>
      <c r="G491">
        <v>3</v>
      </c>
      <c r="H491" s="2" t="s">
        <v>52</v>
      </c>
      <c r="I491">
        <v>164.91</v>
      </c>
      <c r="J491">
        <v>10</v>
      </c>
      <c r="K491">
        <v>16.489999999999998</v>
      </c>
      <c r="L491">
        <v>20.98</v>
      </c>
      <c r="M491">
        <v>51.84</v>
      </c>
      <c r="N491">
        <v>11.87</v>
      </c>
      <c r="O491">
        <v>4.5999999999999996</v>
      </c>
      <c r="P491" s="2" t="s">
        <v>42</v>
      </c>
      <c r="Q491">
        <v>0</v>
      </c>
      <c r="R491">
        <v>148.41999999999999</v>
      </c>
      <c r="S491">
        <v>89.29</v>
      </c>
      <c r="T491">
        <v>59.13</v>
      </c>
      <c r="U491">
        <f t="shared" si="7"/>
        <v>0</v>
      </c>
    </row>
    <row r="492" spans="1:21" x14ac:dyDescent="0.25">
      <c r="A492" s="2" t="s">
        <v>917</v>
      </c>
      <c r="B492" s="2" t="s">
        <v>918</v>
      </c>
      <c r="C492" s="1">
        <v>45585</v>
      </c>
      <c r="D492" s="2" t="s">
        <v>45</v>
      </c>
      <c r="E492" s="2" t="s">
        <v>67</v>
      </c>
      <c r="F492" s="2" t="s">
        <v>85</v>
      </c>
      <c r="G492">
        <v>1</v>
      </c>
      <c r="H492" s="2" t="s">
        <v>41</v>
      </c>
      <c r="I492">
        <v>89.42</v>
      </c>
      <c r="J492">
        <v>10</v>
      </c>
      <c r="K492">
        <v>8.94</v>
      </c>
      <c r="L492">
        <v>10.78</v>
      </c>
      <c r="M492">
        <v>36.299999999999997</v>
      </c>
      <c r="N492">
        <v>0</v>
      </c>
      <c r="O492">
        <v>2.63</v>
      </c>
      <c r="P492" s="2" t="s">
        <v>42</v>
      </c>
      <c r="Q492">
        <v>0</v>
      </c>
      <c r="R492">
        <v>80.48</v>
      </c>
      <c r="S492">
        <v>49.71</v>
      </c>
      <c r="T492">
        <v>30.77</v>
      </c>
      <c r="U492">
        <f t="shared" si="7"/>
        <v>0</v>
      </c>
    </row>
    <row r="493" spans="1:21" x14ac:dyDescent="0.25">
      <c r="A493" s="2" t="s">
        <v>919</v>
      </c>
      <c r="B493" s="2" t="s">
        <v>920</v>
      </c>
      <c r="C493" s="1">
        <v>45595</v>
      </c>
      <c r="D493" s="2" t="s">
        <v>45</v>
      </c>
      <c r="E493" s="2" t="s">
        <v>71</v>
      </c>
      <c r="F493" s="2" t="s">
        <v>94</v>
      </c>
      <c r="G493">
        <v>1</v>
      </c>
      <c r="H493" s="2" t="s">
        <v>74</v>
      </c>
      <c r="I493">
        <v>48.08</v>
      </c>
      <c r="J493">
        <v>0</v>
      </c>
      <c r="K493">
        <v>0</v>
      </c>
      <c r="L493">
        <v>15.26</v>
      </c>
      <c r="M493">
        <v>34.07</v>
      </c>
      <c r="N493">
        <v>0</v>
      </c>
      <c r="O493">
        <v>1.69</v>
      </c>
      <c r="P493" s="2" t="s">
        <v>42</v>
      </c>
      <c r="Q493">
        <v>0</v>
      </c>
      <c r="R493">
        <v>48.08</v>
      </c>
      <c r="S493">
        <v>51.02</v>
      </c>
      <c r="T493">
        <v>-2.94</v>
      </c>
      <c r="U493">
        <f t="shared" si="7"/>
        <v>0</v>
      </c>
    </row>
    <row r="494" spans="1:21" x14ac:dyDescent="0.25">
      <c r="A494" s="2" t="s">
        <v>921</v>
      </c>
      <c r="B494" s="2" t="s">
        <v>922</v>
      </c>
      <c r="C494" s="1">
        <v>45540</v>
      </c>
      <c r="D494" s="2" t="s">
        <v>59</v>
      </c>
      <c r="E494" s="2" t="s">
        <v>71</v>
      </c>
      <c r="F494" s="2" t="s">
        <v>47</v>
      </c>
      <c r="G494">
        <v>2</v>
      </c>
      <c r="H494" s="2" t="s">
        <v>77</v>
      </c>
      <c r="I494">
        <v>89.96</v>
      </c>
      <c r="J494">
        <v>0</v>
      </c>
      <c r="K494">
        <v>0</v>
      </c>
      <c r="L494">
        <v>44.96</v>
      </c>
      <c r="M494">
        <v>38.74</v>
      </c>
      <c r="N494">
        <v>13.49</v>
      </c>
      <c r="O494">
        <v>2.91</v>
      </c>
      <c r="P494" s="2" t="s">
        <v>42</v>
      </c>
      <c r="Q494">
        <v>0</v>
      </c>
      <c r="R494">
        <v>89.96</v>
      </c>
      <c r="S494">
        <v>100.1</v>
      </c>
      <c r="T494">
        <v>-10.14</v>
      </c>
      <c r="U494">
        <f t="shared" si="7"/>
        <v>0</v>
      </c>
    </row>
    <row r="495" spans="1:21" x14ac:dyDescent="0.25">
      <c r="A495" s="2" t="s">
        <v>923</v>
      </c>
      <c r="B495" s="2" t="s">
        <v>924</v>
      </c>
      <c r="C495" s="1">
        <v>45831</v>
      </c>
      <c r="D495" s="2" t="s">
        <v>38</v>
      </c>
      <c r="E495" s="2" t="s">
        <v>46</v>
      </c>
      <c r="F495" s="2" t="s">
        <v>94</v>
      </c>
      <c r="G495">
        <v>1</v>
      </c>
      <c r="H495" s="2" t="s">
        <v>56</v>
      </c>
      <c r="I495">
        <v>62.94</v>
      </c>
      <c r="J495">
        <v>0</v>
      </c>
      <c r="K495">
        <v>0</v>
      </c>
      <c r="L495">
        <v>6.62</v>
      </c>
      <c r="M495">
        <v>26.48</v>
      </c>
      <c r="N495">
        <v>0</v>
      </c>
      <c r="O495">
        <v>2.13</v>
      </c>
      <c r="P495" s="2" t="s">
        <v>42</v>
      </c>
      <c r="Q495">
        <v>0</v>
      </c>
      <c r="R495">
        <v>62.94</v>
      </c>
      <c r="S495">
        <v>35.229999999999997</v>
      </c>
      <c r="T495">
        <v>27.71</v>
      </c>
      <c r="U495">
        <f t="shared" si="7"/>
        <v>0</v>
      </c>
    </row>
    <row r="496" spans="1:21" x14ac:dyDescent="0.25">
      <c r="A496" s="2" t="s">
        <v>925</v>
      </c>
      <c r="B496" s="2" t="s">
        <v>431</v>
      </c>
      <c r="C496" s="1">
        <v>45575</v>
      </c>
      <c r="D496" s="2" t="s">
        <v>80</v>
      </c>
      <c r="E496" s="2" t="s">
        <v>71</v>
      </c>
      <c r="F496" s="2" t="s">
        <v>85</v>
      </c>
      <c r="G496">
        <v>2</v>
      </c>
      <c r="H496" s="2" t="s">
        <v>74</v>
      </c>
      <c r="I496">
        <v>257.72000000000003</v>
      </c>
      <c r="J496">
        <v>5</v>
      </c>
      <c r="K496">
        <v>12.89</v>
      </c>
      <c r="L496">
        <v>26.66</v>
      </c>
      <c r="M496">
        <v>113.2</v>
      </c>
      <c r="N496">
        <v>19.59</v>
      </c>
      <c r="O496">
        <v>7.4</v>
      </c>
      <c r="P496" s="2" t="s">
        <v>42</v>
      </c>
      <c r="Q496">
        <v>0</v>
      </c>
      <c r="R496">
        <v>244.83</v>
      </c>
      <c r="S496">
        <v>166.85</v>
      </c>
      <c r="T496">
        <v>77.98</v>
      </c>
      <c r="U496">
        <f t="shared" si="7"/>
        <v>0</v>
      </c>
    </row>
    <row r="497" spans="1:21" x14ac:dyDescent="0.25">
      <c r="A497" s="2" t="s">
        <v>926</v>
      </c>
      <c r="B497" s="2" t="s">
        <v>412</v>
      </c>
      <c r="C497" s="1">
        <v>45949</v>
      </c>
      <c r="D497" s="2" t="s">
        <v>45</v>
      </c>
      <c r="E497" s="2" t="s">
        <v>46</v>
      </c>
      <c r="F497" s="2" t="s">
        <v>47</v>
      </c>
      <c r="G497">
        <v>1</v>
      </c>
      <c r="H497" s="2" t="s">
        <v>74</v>
      </c>
      <c r="I497">
        <v>11.52</v>
      </c>
      <c r="J497">
        <v>0</v>
      </c>
      <c r="K497">
        <v>0</v>
      </c>
      <c r="L497">
        <v>7.58</v>
      </c>
      <c r="M497">
        <v>3.71</v>
      </c>
      <c r="N497">
        <v>0</v>
      </c>
      <c r="O497">
        <v>0.63</v>
      </c>
      <c r="P497" s="2" t="s">
        <v>42</v>
      </c>
      <c r="Q497">
        <v>0</v>
      </c>
      <c r="R497">
        <v>11.52</v>
      </c>
      <c r="S497">
        <v>11.92</v>
      </c>
      <c r="T497">
        <v>-0.4</v>
      </c>
      <c r="U497">
        <f t="shared" si="7"/>
        <v>0</v>
      </c>
    </row>
    <row r="498" spans="1:21" x14ac:dyDescent="0.25">
      <c r="A498" s="2" t="s">
        <v>927</v>
      </c>
      <c r="B498" s="2" t="s">
        <v>322</v>
      </c>
      <c r="C498" s="1">
        <v>45505</v>
      </c>
      <c r="D498" s="2" t="s">
        <v>59</v>
      </c>
      <c r="E498" s="2" t="s">
        <v>55</v>
      </c>
      <c r="F498" s="2" t="s">
        <v>51</v>
      </c>
      <c r="G498">
        <v>1</v>
      </c>
      <c r="H498" s="2" t="s">
        <v>52</v>
      </c>
      <c r="I498">
        <v>72.56</v>
      </c>
      <c r="J498">
        <v>0</v>
      </c>
      <c r="K498">
        <v>0</v>
      </c>
      <c r="L498">
        <v>8.6999999999999993</v>
      </c>
      <c r="M498">
        <v>35.81</v>
      </c>
      <c r="N498">
        <v>10.88</v>
      </c>
      <c r="O498">
        <v>2.4</v>
      </c>
      <c r="P498" s="2" t="s">
        <v>42</v>
      </c>
      <c r="Q498">
        <v>0</v>
      </c>
      <c r="R498">
        <v>72.56</v>
      </c>
      <c r="S498">
        <v>57.79</v>
      </c>
      <c r="T498">
        <v>14.77</v>
      </c>
      <c r="U498">
        <f t="shared" si="7"/>
        <v>0</v>
      </c>
    </row>
    <row r="499" spans="1:21" x14ac:dyDescent="0.25">
      <c r="A499" s="2" t="s">
        <v>928</v>
      </c>
      <c r="B499" s="2" t="s">
        <v>929</v>
      </c>
      <c r="C499" s="1">
        <v>45846</v>
      </c>
      <c r="D499" s="2" t="s">
        <v>45</v>
      </c>
      <c r="E499" s="2" t="s">
        <v>46</v>
      </c>
      <c r="F499" s="2" t="s">
        <v>94</v>
      </c>
      <c r="G499">
        <v>2</v>
      </c>
      <c r="H499" s="2" t="s">
        <v>64</v>
      </c>
      <c r="I499">
        <v>92.82</v>
      </c>
      <c r="J499">
        <v>0</v>
      </c>
      <c r="K499">
        <v>0</v>
      </c>
      <c r="L499">
        <v>16.440000000000001</v>
      </c>
      <c r="M499">
        <v>31.25</v>
      </c>
      <c r="N499">
        <v>0</v>
      </c>
      <c r="O499">
        <v>2.99</v>
      </c>
      <c r="P499" s="2" t="s">
        <v>42</v>
      </c>
      <c r="Q499">
        <v>0</v>
      </c>
      <c r="R499">
        <v>92.82</v>
      </c>
      <c r="S499">
        <v>50.68</v>
      </c>
      <c r="T499">
        <v>42.14</v>
      </c>
      <c r="U499">
        <f t="shared" si="7"/>
        <v>0</v>
      </c>
    </row>
    <row r="500" spans="1:21" x14ac:dyDescent="0.25">
      <c r="A500" s="2" t="s">
        <v>930</v>
      </c>
      <c r="B500" s="2" t="s">
        <v>562</v>
      </c>
      <c r="C500" s="1">
        <v>45893</v>
      </c>
      <c r="D500" s="2" t="s">
        <v>80</v>
      </c>
      <c r="E500" s="2" t="s">
        <v>46</v>
      </c>
      <c r="F500" s="2" t="s">
        <v>85</v>
      </c>
      <c r="G500">
        <v>2</v>
      </c>
      <c r="H500" s="2" t="s">
        <v>74</v>
      </c>
      <c r="I500">
        <v>69.39</v>
      </c>
      <c r="J500">
        <v>0</v>
      </c>
      <c r="K500">
        <v>0</v>
      </c>
      <c r="L500">
        <v>17.8</v>
      </c>
      <c r="M500">
        <v>45.52</v>
      </c>
      <c r="N500">
        <v>5.55</v>
      </c>
      <c r="O500">
        <v>2.31</v>
      </c>
      <c r="P500" s="2" t="s">
        <v>42</v>
      </c>
      <c r="Q500">
        <v>0</v>
      </c>
      <c r="R500">
        <v>69.39</v>
      </c>
      <c r="S500">
        <v>71.180000000000007</v>
      </c>
      <c r="T500">
        <v>-1.79</v>
      </c>
      <c r="U500">
        <f t="shared" si="7"/>
        <v>0</v>
      </c>
    </row>
    <row r="501" spans="1:21" x14ac:dyDescent="0.25">
      <c r="A501" s="2" t="s">
        <v>931</v>
      </c>
      <c r="B501" s="2" t="s">
        <v>794</v>
      </c>
      <c r="C501" s="1">
        <v>45850</v>
      </c>
      <c r="D501" s="2" t="s">
        <v>59</v>
      </c>
      <c r="E501" s="2" t="s">
        <v>46</v>
      </c>
      <c r="F501" s="2" t="s">
        <v>40</v>
      </c>
      <c r="G501">
        <v>1</v>
      </c>
      <c r="H501" s="2" t="s">
        <v>56</v>
      </c>
      <c r="I501">
        <v>27.71</v>
      </c>
      <c r="J501">
        <v>0</v>
      </c>
      <c r="K501">
        <v>0</v>
      </c>
      <c r="L501">
        <v>12.94</v>
      </c>
      <c r="M501">
        <v>11.44</v>
      </c>
      <c r="N501">
        <v>4.16</v>
      </c>
      <c r="O501">
        <v>1.1000000000000001</v>
      </c>
      <c r="P501" s="2" t="s">
        <v>42</v>
      </c>
      <c r="Q501">
        <v>0</v>
      </c>
      <c r="R501">
        <v>27.71</v>
      </c>
      <c r="S501">
        <v>29.64</v>
      </c>
      <c r="T501">
        <v>-1.93</v>
      </c>
      <c r="U501">
        <f t="shared" si="7"/>
        <v>0</v>
      </c>
    </row>
    <row r="502" spans="1:21" x14ac:dyDescent="0.25">
      <c r="A502" s="2" t="s">
        <v>932</v>
      </c>
      <c r="B502" s="2" t="s">
        <v>378</v>
      </c>
      <c r="C502" s="1">
        <v>45694</v>
      </c>
      <c r="D502" s="2" t="s">
        <v>45</v>
      </c>
      <c r="E502" s="2" t="s">
        <v>46</v>
      </c>
      <c r="F502" s="2" t="s">
        <v>85</v>
      </c>
      <c r="G502">
        <v>2</v>
      </c>
      <c r="H502" s="2" t="s">
        <v>64</v>
      </c>
      <c r="I502">
        <v>91.87</v>
      </c>
      <c r="J502">
        <v>0</v>
      </c>
      <c r="K502">
        <v>0</v>
      </c>
      <c r="L502">
        <v>22.2</v>
      </c>
      <c r="M502">
        <v>33.6</v>
      </c>
      <c r="N502">
        <v>0</v>
      </c>
      <c r="O502">
        <v>2.96</v>
      </c>
      <c r="P502" s="2" t="s">
        <v>42</v>
      </c>
      <c r="Q502">
        <v>0</v>
      </c>
      <c r="R502">
        <v>91.87</v>
      </c>
      <c r="S502">
        <v>58.76</v>
      </c>
      <c r="T502">
        <v>33.11</v>
      </c>
      <c r="U502">
        <f t="shared" si="7"/>
        <v>0</v>
      </c>
    </row>
    <row r="503" spans="1:21" x14ac:dyDescent="0.25">
      <c r="A503" s="2" t="s">
        <v>933</v>
      </c>
      <c r="B503" s="2" t="s">
        <v>934</v>
      </c>
      <c r="C503" s="1">
        <v>45839</v>
      </c>
      <c r="D503" s="2" t="s">
        <v>59</v>
      </c>
      <c r="E503" s="2" t="s">
        <v>71</v>
      </c>
      <c r="F503" s="2" t="s">
        <v>47</v>
      </c>
      <c r="G503">
        <v>1</v>
      </c>
      <c r="H503" s="2" t="s">
        <v>41</v>
      </c>
      <c r="I503">
        <v>68.98</v>
      </c>
      <c r="J503">
        <v>0</v>
      </c>
      <c r="K503">
        <v>0</v>
      </c>
      <c r="L503">
        <v>14.54</v>
      </c>
      <c r="M503">
        <v>25.39</v>
      </c>
      <c r="N503">
        <v>10.35</v>
      </c>
      <c r="O503">
        <v>2.2999999999999998</v>
      </c>
      <c r="P503" s="2" t="s">
        <v>68</v>
      </c>
      <c r="Q503">
        <v>68.98</v>
      </c>
      <c r="R503">
        <v>0</v>
      </c>
      <c r="S503">
        <v>52.58</v>
      </c>
      <c r="T503">
        <v>-52.58</v>
      </c>
      <c r="U503">
        <f t="shared" si="7"/>
        <v>0</v>
      </c>
    </row>
    <row r="504" spans="1:21" x14ac:dyDescent="0.25">
      <c r="A504" s="2" t="s">
        <v>935</v>
      </c>
      <c r="B504" s="2" t="s">
        <v>936</v>
      </c>
      <c r="C504" s="1">
        <v>45594</v>
      </c>
      <c r="D504" s="2" t="s">
        <v>38</v>
      </c>
      <c r="E504" s="2" t="s">
        <v>55</v>
      </c>
      <c r="F504" s="2" t="s">
        <v>47</v>
      </c>
      <c r="G504">
        <v>1</v>
      </c>
      <c r="H504" s="2" t="s">
        <v>52</v>
      </c>
      <c r="I504">
        <v>20.100000000000001</v>
      </c>
      <c r="J504">
        <v>10</v>
      </c>
      <c r="K504">
        <v>2.0099999999999998</v>
      </c>
      <c r="L504">
        <v>18.36</v>
      </c>
      <c r="M504">
        <v>13.82</v>
      </c>
      <c r="N504">
        <v>0</v>
      </c>
      <c r="O504">
        <v>0.82</v>
      </c>
      <c r="P504" s="2" t="s">
        <v>42</v>
      </c>
      <c r="Q504">
        <v>0</v>
      </c>
      <c r="R504">
        <v>18.09</v>
      </c>
      <c r="S504">
        <v>33</v>
      </c>
      <c r="T504">
        <v>-14.91</v>
      </c>
      <c r="U504">
        <f t="shared" si="7"/>
        <v>0</v>
      </c>
    </row>
    <row r="505" spans="1:21" x14ac:dyDescent="0.25">
      <c r="A505" s="2" t="s">
        <v>937</v>
      </c>
      <c r="B505" s="2" t="s">
        <v>219</v>
      </c>
      <c r="C505" s="1">
        <v>45607</v>
      </c>
      <c r="D505" s="2" t="s">
        <v>45</v>
      </c>
      <c r="E505" s="2" t="s">
        <v>71</v>
      </c>
      <c r="F505" s="2" t="s">
        <v>47</v>
      </c>
      <c r="G505">
        <v>3</v>
      </c>
      <c r="H505" s="2" t="s">
        <v>48</v>
      </c>
      <c r="I505">
        <v>115.32</v>
      </c>
      <c r="J505">
        <v>0</v>
      </c>
      <c r="K505">
        <v>0</v>
      </c>
      <c r="L505">
        <v>43.76</v>
      </c>
      <c r="M505">
        <v>66.040000000000006</v>
      </c>
      <c r="N505">
        <v>0</v>
      </c>
      <c r="O505">
        <v>3.64</v>
      </c>
      <c r="P505" s="2" t="s">
        <v>42</v>
      </c>
      <c r="Q505">
        <v>0</v>
      </c>
      <c r="R505">
        <v>115.32</v>
      </c>
      <c r="S505">
        <v>113.44</v>
      </c>
      <c r="T505">
        <v>1.88</v>
      </c>
      <c r="U505">
        <f t="shared" si="7"/>
        <v>1</v>
      </c>
    </row>
    <row r="506" spans="1:21" x14ac:dyDescent="0.25">
      <c r="A506" s="2" t="s">
        <v>938</v>
      </c>
      <c r="B506" s="2" t="s">
        <v>386</v>
      </c>
      <c r="C506" s="1">
        <v>45965</v>
      </c>
      <c r="D506" s="2" t="s">
        <v>59</v>
      </c>
      <c r="E506" s="2" t="s">
        <v>46</v>
      </c>
      <c r="F506" s="2" t="s">
        <v>47</v>
      </c>
      <c r="G506">
        <v>1</v>
      </c>
      <c r="H506" s="2" t="s">
        <v>64</v>
      </c>
      <c r="I506">
        <v>46.68</v>
      </c>
      <c r="J506">
        <v>10</v>
      </c>
      <c r="K506">
        <v>4.67</v>
      </c>
      <c r="L506">
        <v>10.3</v>
      </c>
      <c r="M506">
        <v>15.73</v>
      </c>
      <c r="N506">
        <v>6.3</v>
      </c>
      <c r="O506">
        <v>1.52</v>
      </c>
      <c r="P506" s="2" t="s">
        <v>42</v>
      </c>
      <c r="Q506">
        <v>0</v>
      </c>
      <c r="R506">
        <v>42.01</v>
      </c>
      <c r="S506">
        <v>33.85</v>
      </c>
      <c r="T506">
        <v>8.16</v>
      </c>
      <c r="U506">
        <f t="shared" si="7"/>
        <v>0</v>
      </c>
    </row>
    <row r="507" spans="1:21" x14ac:dyDescent="0.25">
      <c r="A507" s="2" t="s">
        <v>939</v>
      </c>
      <c r="B507" s="2" t="s">
        <v>940</v>
      </c>
      <c r="C507" s="1">
        <v>45924</v>
      </c>
      <c r="D507" s="2" t="s">
        <v>45</v>
      </c>
      <c r="E507" s="2" t="s">
        <v>71</v>
      </c>
      <c r="F507" s="2" t="s">
        <v>40</v>
      </c>
      <c r="G507">
        <v>1</v>
      </c>
      <c r="H507" s="2" t="s">
        <v>74</v>
      </c>
      <c r="I507">
        <v>111.64</v>
      </c>
      <c r="J507">
        <v>0</v>
      </c>
      <c r="K507">
        <v>0</v>
      </c>
      <c r="L507">
        <v>14.22</v>
      </c>
      <c r="M507">
        <v>37.840000000000003</v>
      </c>
      <c r="N507">
        <v>0</v>
      </c>
      <c r="O507">
        <v>3.54</v>
      </c>
      <c r="P507" s="2" t="s">
        <v>42</v>
      </c>
      <c r="Q507">
        <v>0</v>
      </c>
      <c r="R507">
        <v>111.64</v>
      </c>
      <c r="S507">
        <v>55.6</v>
      </c>
      <c r="T507">
        <v>56.04</v>
      </c>
      <c r="U507">
        <f t="shared" si="7"/>
        <v>0</v>
      </c>
    </row>
    <row r="508" spans="1:21" x14ac:dyDescent="0.25">
      <c r="A508" s="2" t="s">
        <v>941</v>
      </c>
      <c r="B508" s="2" t="s">
        <v>157</v>
      </c>
      <c r="C508" s="1">
        <v>45920</v>
      </c>
      <c r="D508" s="2" t="s">
        <v>59</v>
      </c>
      <c r="E508" s="2" t="s">
        <v>71</v>
      </c>
      <c r="F508" s="2" t="s">
        <v>47</v>
      </c>
      <c r="G508">
        <v>1</v>
      </c>
      <c r="H508" s="2" t="s">
        <v>52</v>
      </c>
      <c r="I508">
        <v>58.97</v>
      </c>
      <c r="J508">
        <v>25</v>
      </c>
      <c r="K508">
        <v>14.74</v>
      </c>
      <c r="L508">
        <v>6.22</v>
      </c>
      <c r="M508">
        <v>23.51</v>
      </c>
      <c r="N508">
        <v>6.63</v>
      </c>
      <c r="O508">
        <v>1.58</v>
      </c>
      <c r="P508" s="2" t="s">
        <v>42</v>
      </c>
      <c r="Q508">
        <v>0</v>
      </c>
      <c r="R508">
        <v>44.23</v>
      </c>
      <c r="S508">
        <v>37.94</v>
      </c>
      <c r="T508">
        <v>6.29</v>
      </c>
      <c r="U508">
        <f t="shared" si="7"/>
        <v>0</v>
      </c>
    </row>
    <row r="509" spans="1:21" x14ac:dyDescent="0.25">
      <c r="A509" s="2" t="s">
        <v>942</v>
      </c>
      <c r="B509" s="2" t="s">
        <v>913</v>
      </c>
      <c r="C509" s="1">
        <v>45881</v>
      </c>
      <c r="D509" s="2" t="s">
        <v>45</v>
      </c>
      <c r="E509" s="2" t="s">
        <v>46</v>
      </c>
      <c r="F509" s="2" t="s">
        <v>51</v>
      </c>
      <c r="G509">
        <v>5</v>
      </c>
      <c r="H509" s="2" t="s">
        <v>64</v>
      </c>
      <c r="I509">
        <v>327.07</v>
      </c>
      <c r="J509">
        <v>25</v>
      </c>
      <c r="K509">
        <v>81.77</v>
      </c>
      <c r="L509">
        <v>63.96</v>
      </c>
      <c r="M509">
        <v>148.06</v>
      </c>
      <c r="N509">
        <v>0</v>
      </c>
      <c r="O509">
        <v>7.41</v>
      </c>
      <c r="P509" s="2" t="s">
        <v>42</v>
      </c>
      <c r="Q509">
        <v>0</v>
      </c>
      <c r="R509">
        <v>245.3</v>
      </c>
      <c r="S509">
        <v>219.43</v>
      </c>
      <c r="T509">
        <v>25.87</v>
      </c>
      <c r="U509">
        <f t="shared" si="7"/>
        <v>0</v>
      </c>
    </row>
    <row r="510" spans="1:21" x14ac:dyDescent="0.25">
      <c r="A510" s="2" t="s">
        <v>943</v>
      </c>
      <c r="B510" s="2" t="s">
        <v>526</v>
      </c>
      <c r="C510" s="1">
        <v>45437</v>
      </c>
      <c r="D510" s="2" t="s">
        <v>45</v>
      </c>
      <c r="E510" s="2" t="s">
        <v>71</v>
      </c>
      <c r="F510" s="2" t="s">
        <v>94</v>
      </c>
      <c r="G510">
        <v>2</v>
      </c>
      <c r="H510" s="2" t="s">
        <v>41</v>
      </c>
      <c r="I510">
        <v>197.01</v>
      </c>
      <c r="J510">
        <v>5</v>
      </c>
      <c r="K510">
        <v>9.85</v>
      </c>
      <c r="L510">
        <v>24.44</v>
      </c>
      <c r="M510">
        <v>68.989999999999995</v>
      </c>
      <c r="N510">
        <v>0</v>
      </c>
      <c r="O510">
        <v>5.73</v>
      </c>
      <c r="P510" s="2" t="s">
        <v>42</v>
      </c>
      <c r="Q510">
        <v>0</v>
      </c>
      <c r="R510">
        <v>187.16</v>
      </c>
      <c r="S510">
        <v>99.16</v>
      </c>
      <c r="T510">
        <v>88</v>
      </c>
      <c r="U510">
        <f t="shared" si="7"/>
        <v>0</v>
      </c>
    </row>
    <row r="511" spans="1:21" x14ac:dyDescent="0.25">
      <c r="A511" s="2" t="s">
        <v>944</v>
      </c>
      <c r="B511" s="2" t="s">
        <v>747</v>
      </c>
      <c r="C511" s="1">
        <v>45739</v>
      </c>
      <c r="D511" s="2" t="s">
        <v>45</v>
      </c>
      <c r="E511" s="2" t="s">
        <v>39</v>
      </c>
      <c r="F511" s="2" t="s">
        <v>51</v>
      </c>
      <c r="G511">
        <v>1</v>
      </c>
      <c r="H511" s="2" t="s">
        <v>52</v>
      </c>
      <c r="I511">
        <v>14.74</v>
      </c>
      <c r="J511">
        <v>10</v>
      </c>
      <c r="K511">
        <v>1.47</v>
      </c>
      <c r="L511">
        <v>5.58</v>
      </c>
      <c r="M511">
        <v>4.57</v>
      </c>
      <c r="N511">
        <v>0</v>
      </c>
      <c r="O511">
        <v>0.68</v>
      </c>
      <c r="P511" s="2" t="s">
        <v>42</v>
      </c>
      <c r="Q511">
        <v>0</v>
      </c>
      <c r="R511">
        <v>13.27</v>
      </c>
      <c r="S511">
        <v>10.83</v>
      </c>
      <c r="T511">
        <v>2.44</v>
      </c>
      <c r="U511">
        <f t="shared" si="7"/>
        <v>0</v>
      </c>
    </row>
    <row r="512" spans="1:21" x14ac:dyDescent="0.25">
      <c r="A512" s="2" t="s">
        <v>945</v>
      </c>
      <c r="B512" s="2" t="s">
        <v>505</v>
      </c>
      <c r="C512" s="1">
        <v>45882</v>
      </c>
      <c r="D512" s="2" t="s">
        <v>59</v>
      </c>
      <c r="E512" s="2" t="s">
        <v>46</v>
      </c>
      <c r="F512" s="2" t="s">
        <v>51</v>
      </c>
      <c r="G512">
        <v>1</v>
      </c>
      <c r="H512" s="2" t="s">
        <v>77</v>
      </c>
      <c r="I512">
        <v>23.18</v>
      </c>
      <c r="J512">
        <v>25</v>
      </c>
      <c r="K512">
        <v>5.79</v>
      </c>
      <c r="L512">
        <v>9.26</v>
      </c>
      <c r="M512">
        <v>9.5500000000000007</v>
      </c>
      <c r="N512">
        <v>2.61</v>
      </c>
      <c r="O512">
        <v>0.8</v>
      </c>
      <c r="P512" s="2" t="s">
        <v>42</v>
      </c>
      <c r="Q512">
        <v>0</v>
      </c>
      <c r="R512">
        <v>17.39</v>
      </c>
      <c r="S512">
        <v>22.22</v>
      </c>
      <c r="T512">
        <v>-4.83</v>
      </c>
      <c r="U512">
        <f t="shared" si="7"/>
        <v>0</v>
      </c>
    </row>
    <row r="513" spans="1:21" x14ac:dyDescent="0.25">
      <c r="A513" s="2" t="s">
        <v>946</v>
      </c>
      <c r="B513" s="2" t="s">
        <v>100</v>
      </c>
      <c r="C513" s="1">
        <v>45473</v>
      </c>
      <c r="D513" s="2" t="s">
        <v>45</v>
      </c>
      <c r="E513" s="2" t="s">
        <v>55</v>
      </c>
      <c r="F513" s="2" t="s">
        <v>94</v>
      </c>
      <c r="G513">
        <v>1</v>
      </c>
      <c r="H513" s="2" t="s">
        <v>41</v>
      </c>
      <c r="I513">
        <v>153.84</v>
      </c>
      <c r="J513">
        <v>0</v>
      </c>
      <c r="K513">
        <v>0</v>
      </c>
      <c r="L513">
        <v>37.14</v>
      </c>
      <c r="M513">
        <v>64.319999999999993</v>
      </c>
      <c r="N513">
        <v>0</v>
      </c>
      <c r="O513">
        <v>4.76</v>
      </c>
      <c r="P513" s="2" t="s">
        <v>42</v>
      </c>
      <c r="Q513">
        <v>0</v>
      </c>
      <c r="R513">
        <v>153.84</v>
      </c>
      <c r="S513">
        <v>106.22</v>
      </c>
      <c r="T513">
        <v>47.62</v>
      </c>
      <c r="U513">
        <f t="shared" si="7"/>
        <v>0</v>
      </c>
    </row>
    <row r="514" spans="1:21" x14ac:dyDescent="0.25">
      <c r="A514" s="2" t="s">
        <v>947</v>
      </c>
      <c r="B514" s="2" t="s">
        <v>676</v>
      </c>
      <c r="C514" s="1">
        <v>45831</v>
      </c>
      <c r="D514" s="2" t="s">
        <v>59</v>
      </c>
      <c r="E514" s="2" t="s">
        <v>46</v>
      </c>
      <c r="F514" s="2" t="s">
        <v>51</v>
      </c>
      <c r="G514">
        <v>2</v>
      </c>
      <c r="H514" s="2" t="s">
        <v>48</v>
      </c>
      <c r="I514">
        <v>97.73</v>
      </c>
      <c r="J514">
        <v>5</v>
      </c>
      <c r="K514">
        <v>4.8899999999999997</v>
      </c>
      <c r="L514">
        <v>18.52</v>
      </c>
      <c r="M514">
        <v>45.1</v>
      </c>
      <c r="N514">
        <v>13.93</v>
      </c>
      <c r="O514">
        <v>2.99</v>
      </c>
      <c r="P514" s="2" t="s">
        <v>42</v>
      </c>
      <c r="Q514">
        <v>0</v>
      </c>
      <c r="R514">
        <v>92.84</v>
      </c>
      <c r="S514">
        <v>80.540000000000006</v>
      </c>
      <c r="T514">
        <v>12.3</v>
      </c>
      <c r="U514">
        <f t="shared" si="7"/>
        <v>0</v>
      </c>
    </row>
    <row r="515" spans="1:21" x14ac:dyDescent="0.25">
      <c r="A515" s="2" t="s">
        <v>948</v>
      </c>
      <c r="B515" s="2" t="s">
        <v>229</v>
      </c>
      <c r="C515" s="1">
        <v>45972</v>
      </c>
      <c r="D515" s="2" t="s">
        <v>45</v>
      </c>
      <c r="E515" s="2" t="s">
        <v>71</v>
      </c>
      <c r="F515" s="2" t="s">
        <v>85</v>
      </c>
      <c r="G515">
        <v>1</v>
      </c>
      <c r="H515" s="2" t="s">
        <v>41</v>
      </c>
      <c r="I515">
        <v>24.31</v>
      </c>
      <c r="J515">
        <v>0</v>
      </c>
      <c r="K515">
        <v>0</v>
      </c>
      <c r="L515">
        <v>5.74</v>
      </c>
      <c r="M515">
        <v>7.13</v>
      </c>
      <c r="N515">
        <v>0</v>
      </c>
      <c r="O515">
        <v>1</v>
      </c>
      <c r="P515" s="2" t="s">
        <v>42</v>
      </c>
      <c r="Q515">
        <v>0</v>
      </c>
      <c r="R515">
        <v>24.31</v>
      </c>
      <c r="S515">
        <v>13.87</v>
      </c>
      <c r="T515">
        <v>10.44</v>
      </c>
      <c r="U515">
        <f t="shared" si="7"/>
        <v>0</v>
      </c>
    </row>
    <row r="516" spans="1:21" x14ac:dyDescent="0.25">
      <c r="A516" s="2" t="s">
        <v>949</v>
      </c>
      <c r="B516" s="2" t="s">
        <v>950</v>
      </c>
      <c r="C516" s="1">
        <v>45509</v>
      </c>
      <c r="D516" s="2" t="s">
        <v>38</v>
      </c>
      <c r="E516" s="2" t="s">
        <v>71</v>
      </c>
      <c r="F516" s="2" t="s">
        <v>47</v>
      </c>
      <c r="G516">
        <v>2</v>
      </c>
      <c r="H516" s="2" t="s">
        <v>48</v>
      </c>
      <c r="I516">
        <v>119.19</v>
      </c>
      <c r="J516">
        <v>15</v>
      </c>
      <c r="K516">
        <v>17.88</v>
      </c>
      <c r="L516">
        <v>26.36</v>
      </c>
      <c r="M516">
        <v>44.11</v>
      </c>
      <c r="N516">
        <v>0</v>
      </c>
      <c r="O516">
        <v>3.24</v>
      </c>
      <c r="P516" s="2" t="s">
        <v>42</v>
      </c>
      <c r="Q516">
        <v>0</v>
      </c>
      <c r="R516">
        <v>101.31</v>
      </c>
      <c r="S516">
        <v>73.709999999999994</v>
      </c>
      <c r="T516">
        <v>27.6</v>
      </c>
      <c r="U516">
        <f t="shared" si="7"/>
        <v>0</v>
      </c>
    </row>
    <row r="517" spans="1:21" x14ac:dyDescent="0.25">
      <c r="A517" s="2" t="s">
        <v>951</v>
      </c>
      <c r="B517" s="2" t="s">
        <v>477</v>
      </c>
      <c r="C517" s="1">
        <v>45412</v>
      </c>
      <c r="D517" s="2" t="s">
        <v>38</v>
      </c>
      <c r="E517" s="2" t="s">
        <v>46</v>
      </c>
      <c r="F517" s="2" t="s">
        <v>94</v>
      </c>
      <c r="G517">
        <v>1</v>
      </c>
      <c r="H517" s="2" t="s">
        <v>41</v>
      </c>
      <c r="I517">
        <v>73.73</v>
      </c>
      <c r="J517">
        <v>15</v>
      </c>
      <c r="K517">
        <v>11.06</v>
      </c>
      <c r="L517">
        <v>9.34</v>
      </c>
      <c r="M517">
        <v>48.17</v>
      </c>
      <c r="N517">
        <v>0</v>
      </c>
      <c r="O517">
        <v>2.12</v>
      </c>
      <c r="P517" s="2" t="s">
        <v>42</v>
      </c>
      <c r="Q517">
        <v>0</v>
      </c>
      <c r="R517">
        <v>62.67</v>
      </c>
      <c r="S517">
        <v>59.63</v>
      </c>
      <c r="T517">
        <v>3.04</v>
      </c>
      <c r="U517">
        <f t="shared" ref="U517:U580" si="8">IF(P515="Yes", 1, 0)</f>
        <v>0</v>
      </c>
    </row>
    <row r="518" spans="1:21" x14ac:dyDescent="0.25">
      <c r="A518" s="2" t="s">
        <v>952</v>
      </c>
      <c r="B518" s="2" t="s">
        <v>924</v>
      </c>
      <c r="C518" s="1">
        <v>45946</v>
      </c>
      <c r="D518" s="2" t="s">
        <v>80</v>
      </c>
      <c r="E518" s="2" t="s">
        <v>55</v>
      </c>
      <c r="F518" s="2" t="s">
        <v>51</v>
      </c>
      <c r="G518">
        <v>1</v>
      </c>
      <c r="H518" s="2" t="s">
        <v>56</v>
      </c>
      <c r="I518">
        <v>62.94</v>
      </c>
      <c r="J518">
        <v>0</v>
      </c>
      <c r="K518">
        <v>0</v>
      </c>
      <c r="L518">
        <v>6.62</v>
      </c>
      <c r="M518">
        <v>26.48</v>
      </c>
      <c r="N518">
        <v>5.04</v>
      </c>
      <c r="O518">
        <v>2.13</v>
      </c>
      <c r="P518" s="2" t="s">
        <v>42</v>
      </c>
      <c r="Q518">
        <v>0</v>
      </c>
      <c r="R518">
        <v>62.94</v>
      </c>
      <c r="S518">
        <v>40.270000000000003</v>
      </c>
      <c r="T518">
        <v>22.67</v>
      </c>
      <c r="U518">
        <f t="shared" si="8"/>
        <v>0</v>
      </c>
    </row>
    <row r="519" spans="1:21" x14ac:dyDescent="0.25">
      <c r="A519" s="2" t="s">
        <v>953</v>
      </c>
      <c r="B519" s="2" t="s">
        <v>954</v>
      </c>
      <c r="C519" s="1">
        <v>45886</v>
      </c>
      <c r="D519" s="2" t="s">
        <v>38</v>
      </c>
      <c r="E519" s="2" t="s">
        <v>71</v>
      </c>
      <c r="F519" s="2" t="s">
        <v>40</v>
      </c>
      <c r="G519">
        <v>2</v>
      </c>
      <c r="H519" s="2" t="s">
        <v>56</v>
      </c>
      <c r="I519">
        <v>86.54</v>
      </c>
      <c r="J519">
        <v>10</v>
      </c>
      <c r="K519">
        <v>8.65</v>
      </c>
      <c r="L519">
        <v>14.58</v>
      </c>
      <c r="M519">
        <v>30.43</v>
      </c>
      <c r="N519">
        <v>0</v>
      </c>
      <c r="O519">
        <v>2.56</v>
      </c>
      <c r="P519" s="2" t="s">
        <v>42</v>
      </c>
      <c r="Q519">
        <v>0</v>
      </c>
      <c r="R519">
        <v>77.89</v>
      </c>
      <c r="S519">
        <v>47.57</v>
      </c>
      <c r="T519">
        <v>30.32</v>
      </c>
      <c r="U519">
        <f t="shared" si="8"/>
        <v>0</v>
      </c>
    </row>
    <row r="520" spans="1:21" x14ac:dyDescent="0.25">
      <c r="A520" s="2" t="s">
        <v>955</v>
      </c>
      <c r="B520" s="2" t="s">
        <v>538</v>
      </c>
      <c r="C520" s="1">
        <v>45731</v>
      </c>
      <c r="D520" s="2" t="s">
        <v>38</v>
      </c>
      <c r="E520" s="2" t="s">
        <v>67</v>
      </c>
      <c r="F520" s="2" t="s">
        <v>85</v>
      </c>
      <c r="G520">
        <v>2</v>
      </c>
      <c r="H520" s="2" t="s">
        <v>52</v>
      </c>
      <c r="I520">
        <v>107.37</v>
      </c>
      <c r="J520">
        <v>5</v>
      </c>
      <c r="K520">
        <v>5.37</v>
      </c>
      <c r="L520">
        <v>25</v>
      </c>
      <c r="M520">
        <v>44.36</v>
      </c>
      <c r="N520">
        <v>0</v>
      </c>
      <c r="O520">
        <v>3.26</v>
      </c>
      <c r="P520" s="2" t="s">
        <v>42</v>
      </c>
      <c r="Q520">
        <v>0</v>
      </c>
      <c r="R520">
        <v>102</v>
      </c>
      <c r="S520">
        <v>72.62</v>
      </c>
      <c r="T520">
        <v>29.38</v>
      </c>
      <c r="U520">
        <f t="shared" si="8"/>
        <v>0</v>
      </c>
    </row>
    <row r="521" spans="1:21" x14ac:dyDescent="0.25">
      <c r="A521" s="2" t="s">
        <v>956</v>
      </c>
      <c r="B521" s="2" t="s">
        <v>957</v>
      </c>
      <c r="C521" s="1">
        <v>45785</v>
      </c>
      <c r="D521" s="2" t="s">
        <v>38</v>
      </c>
      <c r="E521" s="2" t="s">
        <v>71</v>
      </c>
      <c r="F521" s="2" t="s">
        <v>51</v>
      </c>
      <c r="G521">
        <v>1</v>
      </c>
      <c r="H521" s="2" t="s">
        <v>74</v>
      </c>
      <c r="I521">
        <v>23.04</v>
      </c>
      <c r="J521">
        <v>25</v>
      </c>
      <c r="K521">
        <v>5.76</v>
      </c>
      <c r="L521">
        <v>15.16</v>
      </c>
      <c r="M521">
        <v>7.42</v>
      </c>
      <c r="N521">
        <v>0</v>
      </c>
      <c r="O521">
        <v>0.8</v>
      </c>
      <c r="P521" s="2" t="s">
        <v>42</v>
      </c>
      <c r="Q521">
        <v>0</v>
      </c>
      <c r="R521">
        <v>17.28</v>
      </c>
      <c r="S521">
        <v>23.38</v>
      </c>
      <c r="T521">
        <v>-6.1</v>
      </c>
      <c r="U521">
        <f t="shared" si="8"/>
        <v>0</v>
      </c>
    </row>
    <row r="522" spans="1:21" x14ac:dyDescent="0.25">
      <c r="A522" s="2" t="s">
        <v>958</v>
      </c>
      <c r="B522" s="2" t="s">
        <v>89</v>
      </c>
      <c r="C522" s="1">
        <v>45739</v>
      </c>
      <c r="D522" s="2" t="s">
        <v>45</v>
      </c>
      <c r="E522" s="2" t="s">
        <v>71</v>
      </c>
      <c r="F522" s="2" t="s">
        <v>47</v>
      </c>
      <c r="G522">
        <v>3</v>
      </c>
      <c r="H522" s="2" t="s">
        <v>41</v>
      </c>
      <c r="I522">
        <v>215.1</v>
      </c>
      <c r="J522">
        <v>0</v>
      </c>
      <c r="K522">
        <v>0</v>
      </c>
      <c r="L522">
        <v>55.9</v>
      </c>
      <c r="M522">
        <v>78.540000000000006</v>
      </c>
      <c r="N522">
        <v>0</v>
      </c>
      <c r="O522">
        <v>6.54</v>
      </c>
      <c r="P522" s="2" t="s">
        <v>42</v>
      </c>
      <c r="Q522">
        <v>0</v>
      </c>
      <c r="R522">
        <v>215.1</v>
      </c>
      <c r="S522">
        <v>140.97999999999999</v>
      </c>
      <c r="T522">
        <v>74.12</v>
      </c>
      <c r="U522">
        <f t="shared" si="8"/>
        <v>0</v>
      </c>
    </row>
    <row r="523" spans="1:21" x14ac:dyDescent="0.25">
      <c r="A523" s="2" t="s">
        <v>959</v>
      </c>
      <c r="B523" s="2" t="s">
        <v>960</v>
      </c>
      <c r="C523" s="1">
        <v>45572</v>
      </c>
      <c r="D523" s="2" t="s">
        <v>38</v>
      </c>
      <c r="E523" s="2" t="s">
        <v>46</v>
      </c>
      <c r="F523" s="2" t="s">
        <v>85</v>
      </c>
      <c r="G523">
        <v>1</v>
      </c>
      <c r="H523" s="2" t="s">
        <v>77</v>
      </c>
      <c r="I523">
        <v>31.87</v>
      </c>
      <c r="J523">
        <v>0</v>
      </c>
      <c r="K523">
        <v>0</v>
      </c>
      <c r="L523">
        <v>9.58</v>
      </c>
      <c r="M523">
        <v>10.3</v>
      </c>
      <c r="N523">
        <v>0</v>
      </c>
      <c r="O523">
        <v>1.22</v>
      </c>
      <c r="P523" s="2" t="s">
        <v>42</v>
      </c>
      <c r="Q523">
        <v>0</v>
      </c>
      <c r="R523">
        <v>31.87</v>
      </c>
      <c r="S523">
        <v>21.1</v>
      </c>
      <c r="T523">
        <v>10.77</v>
      </c>
      <c r="U523">
        <f t="shared" si="8"/>
        <v>0</v>
      </c>
    </row>
    <row r="524" spans="1:21" x14ac:dyDescent="0.25">
      <c r="A524" s="2" t="s">
        <v>961</v>
      </c>
      <c r="B524" s="2" t="s">
        <v>766</v>
      </c>
      <c r="C524" s="1">
        <v>45460</v>
      </c>
      <c r="D524" s="2" t="s">
        <v>80</v>
      </c>
      <c r="E524" s="2" t="s">
        <v>71</v>
      </c>
      <c r="F524" s="2" t="s">
        <v>94</v>
      </c>
      <c r="G524">
        <v>1</v>
      </c>
      <c r="H524" s="2" t="s">
        <v>74</v>
      </c>
      <c r="I524">
        <v>334.32</v>
      </c>
      <c r="J524">
        <v>10</v>
      </c>
      <c r="K524">
        <v>33.43</v>
      </c>
      <c r="L524">
        <v>27.06</v>
      </c>
      <c r="M524">
        <v>109.02</v>
      </c>
      <c r="N524">
        <v>24.07</v>
      </c>
      <c r="O524">
        <v>9.0299999999999994</v>
      </c>
      <c r="P524" s="2" t="s">
        <v>42</v>
      </c>
      <c r="Q524">
        <v>0</v>
      </c>
      <c r="R524">
        <v>300.89</v>
      </c>
      <c r="S524">
        <v>169.18</v>
      </c>
      <c r="T524">
        <v>131.71</v>
      </c>
      <c r="U524">
        <f t="shared" si="8"/>
        <v>0</v>
      </c>
    </row>
    <row r="525" spans="1:21" x14ac:dyDescent="0.25">
      <c r="A525" s="2" t="s">
        <v>962</v>
      </c>
      <c r="B525" s="2" t="s">
        <v>147</v>
      </c>
      <c r="C525" s="1">
        <v>45728</v>
      </c>
      <c r="D525" s="2" t="s">
        <v>45</v>
      </c>
      <c r="E525" s="2" t="s">
        <v>46</v>
      </c>
      <c r="F525" s="2" t="s">
        <v>51</v>
      </c>
      <c r="G525">
        <v>2</v>
      </c>
      <c r="H525" s="2" t="s">
        <v>111</v>
      </c>
      <c r="I525">
        <v>228.5</v>
      </c>
      <c r="J525">
        <v>0</v>
      </c>
      <c r="K525">
        <v>0</v>
      </c>
      <c r="L525">
        <v>26.66</v>
      </c>
      <c r="M525">
        <v>86.96</v>
      </c>
      <c r="N525">
        <v>0</v>
      </c>
      <c r="O525">
        <v>6.93</v>
      </c>
      <c r="P525" s="2" t="s">
        <v>42</v>
      </c>
      <c r="Q525">
        <v>0</v>
      </c>
      <c r="R525">
        <v>228.5</v>
      </c>
      <c r="S525">
        <v>120.55</v>
      </c>
      <c r="T525">
        <v>107.95</v>
      </c>
      <c r="U525">
        <f t="shared" si="8"/>
        <v>0</v>
      </c>
    </row>
    <row r="526" spans="1:21" x14ac:dyDescent="0.25">
      <c r="A526" s="2" t="s">
        <v>963</v>
      </c>
      <c r="B526" s="2" t="s">
        <v>964</v>
      </c>
      <c r="C526" s="1">
        <v>45985</v>
      </c>
      <c r="D526" s="2" t="s">
        <v>45</v>
      </c>
      <c r="E526" s="2" t="s">
        <v>46</v>
      </c>
      <c r="F526" s="2" t="s">
        <v>51</v>
      </c>
      <c r="G526">
        <v>3</v>
      </c>
      <c r="H526" s="2" t="s">
        <v>64</v>
      </c>
      <c r="I526">
        <v>161.13999999999999</v>
      </c>
      <c r="J526">
        <v>25</v>
      </c>
      <c r="K526">
        <v>40.28</v>
      </c>
      <c r="L526">
        <v>29.86</v>
      </c>
      <c r="M526">
        <v>80.39</v>
      </c>
      <c r="N526">
        <v>0</v>
      </c>
      <c r="O526">
        <v>3.8</v>
      </c>
      <c r="P526" s="2" t="s">
        <v>42</v>
      </c>
      <c r="Q526">
        <v>0</v>
      </c>
      <c r="R526">
        <v>120.86</v>
      </c>
      <c r="S526">
        <v>114.05</v>
      </c>
      <c r="T526">
        <v>6.81</v>
      </c>
      <c r="U526">
        <f t="shared" si="8"/>
        <v>0</v>
      </c>
    </row>
    <row r="527" spans="1:21" x14ac:dyDescent="0.25">
      <c r="A527" s="2" t="s">
        <v>965</v>
      </c>
      <c r="B527" s="2" t="s">
        <v>509</v>
      </c>
      <c r="C527" s="1">
        <v>45693</v>
      </c>
      <c r="D527" s="2" t="s">
        <v>80</v>
      </c>
      <c r="E527" s="2" t="s">
        <v>46</v>
      </c>
      <c r="F527" s="2" t="s">
        <v>47</v>
      </c>
      <c r="G527">
        <v>2</v>
      </c>
      <c r="H527" s="2" t="s">
        <v>56</v>
      </c>
      <c r="I527">
        <v>117.26</v>
      </c>
      <c r="J527">
        <v>0</v>
      </c>
      <c r="K527">
        <v>0</v>
      </c>
      <c r="L527">
        <v>29.3</v>
      </c>
      <c r="M527">
        <v>53.76</v>
      </c>
      <c r="N527">
        <v>9.3800000000000008</v>
      </c>
      <c r="O527">
        <v>3.7</v>
      </c>
      <c r="P527" s="2" t="s">
        <v>42</v>
      </c>
      <c r="Q527">
        <v>0</v>
      </c>
      <c r="R527">
        <v>117.26</v>
      </c>
      <c r="S527">
        <v>96.14</v>
      </c>
      <c r="T527">
        <v>21.12</v>
      </c>
      <c r="U527">
        <f t="shared" si="8"/>
        <v>0</v>
      </c>
    </row>
    <row r="528" spans="1:21" x14ac:dyDescent="0.25">
      <c r="A528" s="2" t="s">
        <v>966</v>
      </c>
      <c r="B528" s="2" t="s">
        <v>967</v>
      </c>
      <c r="C528" s="1">
        <v>45875</v>
      </c>
      <c r="D528" s="2" t="s">
        <v>59</v>
      </c>
      <c r="E528" s="2" t="s">
        <v>71</v>
      </c>
      <c r="F528" s="2" t="s">
        <v>40</v>
      </c>
      <c r="G528">
        <v>3</v>
      </c>
      <c r="H528" s="2" t="s">
        <v>64</v>
      </c>
      <c r="I528">
        <v>236.82</v>
      </c>
      <c r="J528">
        <v>0</v>
      </c>
      <c r="K528">
        <v>0</v>
      </c>
      <c r="L528">
        <v>44.38</v>
      </c>
      <c r="M528">
        <v>81.33</v>
      </c>
      <c r="N528">
        <v>35.520000000000003</v>
      </c>
      <c r="O528">
        <v>7.17</v>
      </c>
      <c r="P528" s="2" t="s">
        <v>42</v>
      </c>
      <c r="Q528">
        <v>0</v>
      </c>
      <c r="R528">
        <v>236.82</v>
      </c>
      <c r="S528">
        <v>168.4</v>
      </c>
      <c r="T528">
        <v>68.42</v>
      </c>
      <c r="U528">
        <f t="shared" si="8"/>
        <v>0</v>
      </c>
    </row>
    <row r="529" spans="1:21" x14ac:dyDescent="0.25">
      <c r="A529" s="2" t="s">
        <v>968</v>
      </c>
      <c r="B529" s="2" t="s">
        <v>969</v>
      </c>
      <c r="C529" s="1">
        <v>45555</v>
      </c>
      <c r="D529" s="2" t="s">
        <v>80</v>
      </c>
      <c r="E529" s="2" t="s">
        <v>46</v>
      </c>
      <c r="F529" s="2" t="s">
        <v>40</v>
      </c>
      <c r="G529">
        <v>2</v>
      </c>
      <c r="H529" s="2" t="s">
        <v>56</v>
      </c>
      <c r="I529">
        <v>166.63</v>
      </c>
      <c r="J529">
        <v>10</v>
      </c>
      <c r="K529">
        <v>16.66</v>
      </c>
      <c r="L529">
        <v>34.1</v>
      </c>
      <c r="M529">
        <v>112.34</v>
      </c>
      <c r="N529">
        <v>12</v>
      </c>
      <c r="O529">
        <v>4.6500000000000004</v>
      </c>
      <c r="P529" s="2" t="s">
        <v>42</v>
      </c>
      <c r="Q529">
        <v>0</v>
      </c>
      <c r="R529">
        <v>149.97</v>
      </c>
      <c r="S529">
        <v>163.09</v>
      </c>
      <c r="T529">
        <v>-13.12</v>
      </c>
      <c r="U529">
        <f t="shared" si="8"/>
        <v>0</v>
      </c>
    </row>
    <row r="530" spans="1:21" x14ac:dyDescent="0.25">
      <c r="A530" s="2" t="s">
        <v>970</v>
      </c>
      <c r="B530" s="2" t="s">
        <v>971</v>
      </c>
      <c r="C530" s="1">
        <v>45663</v>
      </c>
      <c r="D530" s="2" t="s">
        <v>38</v>
      </c>
      <c r="E530" s="2" t="s">
        <v>71</v>
      </c>
      <c r="F530" s="2" t="s">
        <v>47</v>
      </c>
      <c r="G530">
        <v>1</v>
      </c>
      <c r="H530" s="2" t="s">
        <v>77</v>
      </c>
      <c r="I530">
        <v>23.61</v>
      </c>
      <c r="J530">
        <v>0</v>
      </c>
      <c r="K530">
        <v>0</v>
      </c>
      <c r="L530">
        <v>8.2200000000000006</v>
      </c>
      <c r="M530">
        <v>7.31</v>
      </c>
      <c r="N530">
        <v>0</v>
      </c>
      <c r="O530">
        <v>0.98</v>
      </c>
      <c r="P530" s="2" t="s">
        <v>42</v>
      </c>
      <c r="Q530">
        <v>0</v>
      </c>
      <c r="R530">
        <v>23.61</v>
      </c>
      <c r="S530">
        <v>16.510000000000002</v>
      </c>
      <c r="T530">
        <v>7.1</v>
      </c>
      <c r="U530">
        <f t="shared" si="8"/>
        <v>0</v>
      </c>
    </row>
    <row r="531" spans="1:21" x14ac:dyDescent="0.25">
      <c r="A531" s="2" t="s">
        <v>972</v>
      </c>
      <c r="B531" s="2" t="s">
        <v>850</v>
      </c>
      <c r="C531" s="1">
        <v>45960</v>
      </c>
      <c r="D531" s="2" t="s">
        <v>45</v>
      </c>
      <c r="E531" s="2" t="s">
        <v>71</v>
      </c>
      <c r="F531" s="2" t="s">
        <v>47</v>
      </c>
      <c r="G531">
        <v>3</v>
      </c>
      <c r="H531" s="2" t="s">
        <v>41</v>
      </c>
      <c r="I531">
        <v>129.22</v>
      </c>
      <c r="J531">
        <v>5</v>
      </c>
      <c r="K531">
        <v>6.46</v>
      </c>
      <c r="L531">
        <v>25.78</v>
      </c>
      <c r="M531">
        <v>45.85</v>
      </c>
      <c r="N531">
        <v>0</v>
      </c>
      <c r="O531">
        <v>3.86</v>
      </c>
      <c r="P531" s="2" t="s">
        <v>42</v>
      </c>
      <c r="Q531">
        <v>0</v>
      </c>
      <c r="R531">
        <v>122.76</v>
      </c>
      <c r="S531">
        <v>75.489999999999995</v>
      </c>
      <c r="T531">
        <v>47.27</v>
      </c>
      <c r="U531">
        <f t="shared" si="8"/>
        <v>0</v>
      </c>
    </row>
    <row r="532" spans="1:21" x14ac:dyDescent="0.25">
      <c r="A532" s="2" t="s">
        <v>973</v>
      </c>
      <c r="B532" s="2" t="s">
        <v>303</v>
      </c>
      <c r="C532" s="1">
        <v>45629</v>
      </c>
      <c r="D532" s="2" t="s">
        <v>80</v>
      </c>
      <c r="E532" s="2" t="s">
        <v>46</v>
      </c>
      <c r="F532" s="2" t="s">
        <v>51</v>
      </c>
      <c r="G532">
        <v>1</v>
      </c>
      <c r="H532" s="2" t="s">
        <v>64</v>
      </c>
      <c r="I532">
        <v>173.5</v>
      </c>
      <c r="J532">
        <v>0</v>
      </c>
      <c r="K532">
        <v>0</v>
      </c>
      <c r="L532">
        <v>25.88</v>
      </c>
      <c r="M532">
        <v>53.72</v>
      </c>
      <c r="N532">
        <v>13.88</v>
      </c>
      <c r="O532">
        <v>5.33</v>
      </c>
      <c r="P532" s="2" t="s">
        <v>42</v>
      </c>
      <c r="Q532">
        <v>0</v>
      </c>
      <c r="R532">
        <v>173.5</v>
      </c>
      <c r="S532">
        <v>98.81</v>
      </c>
      <c r="T532">
        <v>74.69</v>
      </c>
      <c r="U532">
        <f t="shared" si="8"/>
        <v>0</v>
      </c>
    </row>
    <row r="533" spans="1:21" x14ac:dyDescent="0.25">
      <c r="A533" s="2" t="s">
        <v>974</v>
      </c>
      <c r="B533" s="2" t="s">
        <v>975</v>
      </c>
      <c r="C533" s="1">
        <v>45845</v>
      </c>
      <c r="D533" s="2" t="s">
        <v>45</v>
      </c>
      <c r="E533" s="2" t="s">
        <v>67</v>
      </c>
      <c r="F533" s="2" t="s">
        <v>51</v>
      </c>
      <c r="G533">
        <v>3</v>
      </c>
      <c r="H533" s="2" t="s">
        <v>41</v>
      </c>
      <c r="I533">
        <v>52.31</v>
      </c>
      <c r="J533">
        <v>15</v>
      </c>
      <c r="K533">
        <v>7.85</v>
      </c>
      <c r="L533">
        <v>21.22</v>
      </c>
      <c r="M533">
        <v>25.14</v>
      </c>
      <c r="N533">
        <v>0</v>
      </c>
      <c r="O533">
        <v>1.59</v>
      </c>
      <c r="P533" s="2" t="s">
        <v>42</v>
      </c>
      <c r="Q533">
        <v>0</v>
      </c>
      <c r="R533">
        <v>44.46</v>
      </c>
      <c r="S533">
        <v>47.95</v>
      </c>
      <c r="T533">
        <v>-3.49</v>
      </c>
      <c r="U533">
        <f t="shared" si="8"/>
        <v>0</v>
      </c>
    </row>
    <row r="534" spans="1:21" x14ac:dyDescent="0.25">
      <c r="A534" s="2" t="s">
        <v>976</v>
      </c>
      <c r="B534" s="2" t="s">
        <v>760</v>
      </c>
      <c r="C534" s="1">
        <v>45844</v>
      </c>
      <c r="D534" s="2" t="s">
        <v>59</v>
      </c>
      <c r="E534" s="2" t="s">
        <v>46</v>
      </c>
      <c r="F534" s="2" t="s">
        <v>47</v>
      </c>
      <c r="G534">
        <v>4</v>
      </c>
      <c r="H534" s="2" t="s">
        <v>111</v>
      </c>
      <c r="I534">
        <v>348.82</v>
      </c>
      <c r="J534">
        <v>10</v>
      </c>
      <c r="K534">
        <v>34.880000000000003</v>
      </c>
      <c r="L534">
        <v>50.36</v>
      </c>
      <c r="M534">
        <v>122.17</v>
      </c>
      <c r="N534">
        <v>47.09</v>
      </c>
      <c r="O534">
        <v>9.4</v>
      </c>
      <c r="P534" s="2" t="s">
        <v>42</v>
      </c>
      <c r="Q534">
        <v>0</v>
      </c>
      <c r="R534">
        <v>313.94</v>
      </c>
      <c r="S534">
        <v>229.02</v>
      </c>
      <c r="T534">
        <v>84.92</v>
      </c>
      <c r="U534">
        <f t="shared" si="8"/>
        <v>0</v>
      </c>
    </row>
    <row r="535" spans="1:21" x14ac:dyDescent="0.25">
      <c r="A535" s="2" t="s">
        <v>977</v>
      </c>
      <c r="B535" s="2" t="s">
        <v>615</v>
      </c>
      <c r="C535" s="1">
        <v>45902</v>
      </c>
      <c r="D535" s="2" t="s">
        <v>38</v>
      </c>
      <c r="E535" s="2" t="s">
        <v>67</v>
      </c>
      <c r="F535" s="2" t="s">
        <v>51</v>
      </c>
      <c r="G535">
        <v>1</v>
      </c>
      <c r="H535" s="2" t="s">
        <v>48</v>
      </c>
      <c r="I535">
        <v>122.88</v>
      </c>
      <c r="J535">
        <v>0</v>
      </c>
      <c r="K535">
        <v>0</v>
      </c>
      <c r="L535">
        <v>24.12</v>
      </c>
      <c r="M535">
        <v>39.6</v>
      </c>
      <c r="N535">
        <v>0</v>
      </c>
      <c r="O535">
        <v>3.86</v>
      </c>
      <c r="P535" s="2" t="s">
        <v>42</v>
      </c>
      <c r="Q535">
        <v>0</v>
      </c>
      <c r="R535">
        <v>122.88</v>
      </c>
      <c r="S535">
        <v>67.58</v>
      </c>
      <c r="T535">
        <v>55.3</v>
      </c>
      <c r="U535">
        <f t="shared" si="8"/>
        <v>0</v>
      </c>
    </row>
    <row r="536" spans="1:21" x14ac:dyDescent="0.25">
      <c r="A536" s="2" t="s">
        <v>978</v>
      </c>
      <c r="B536" s="2" t="s">
        <v>979</v>
      </c>
      <c r="C536" s="1">
        <v>45895</v>
      </c>
      <c r="D536" s="2" t="s">
        <v>38</v>
      </c>
      <c r="E536" s="2" t="s">
        <v>46</v>
      </c>
      <c r="F536" s="2" t="s">
        <v>40</v>
      </c>
      <c r="G536">
        <v>3</v>
      </c>
      <c r="H536" s="2" t="s">
        <v>111</v>
      </c>
      <c r="I536">
        <v>77.3</v>
      </c>
      <c r="J536">
        <v>5</v>
      </c>
      <c r="K536">
        <v>3.87</v>
      </c>
      <c r="L536">
        <v>35.06</v>
      </c>
      <c r="M536">
        <v>27.54</v>
      </c>
      <c r="N536">
        <v>0</v>
      </c>
      <c r="O536">
        <v>2.4300000000000002</v>
      </c>
      <c r="P536" s="2" t="s">
        <v>42</v>
      </c>
      <c r="Q536">
        <v>0</v>
      </c>
      <c r="R536">
        <v>73.430000000000007</v>
      </c>
      <c r="S536">
        <v>65.03</v>
      </c>
      <c r="T536">
        <v>8.4</v>
      </c>
      <c r="U536">
        <f t="shared" si="8"/>
        <v>0</v>
      </c>
    </row>
    <row r="537" spans="1:21" x14ac:dyDescent="0.25">
      <c r="A537" s="2" t="s">
        <v>980</v>
      </c>
      <c r="B537" s="2" t="s">
        <v>404</v>
      </c>
      <c r="C537" s="1">
        <v>45672</v>
      </c>
      <c r="D537" s="2" t="s">
        <v>45</v>
      </c>
      <c r="E537" s="2" t="s">
        <v>46</v>
      </c>
      <c r="F537" s="2" t="s">
        <v>94</v>
      </c>
      <c r="G537">
        <v>1</v>
      </c>
      <c r="H537" s="2" t="s">
        <v>48</v>
      </c>
      <c r="I537">
        <v>63.78</v>
      </c>
      <c r="J537">
        <v>0</v>
      </c>
      <c r="K537">
        <v>0</v>
      </c>
      <c r="L537">
        <v>3.9</v>
      </c>
      <c r="M537">
        <v>23.51</v>
      </c>
      <c r="N537">
        <v>0</v>
      </c>
      <c r="O537">
        <v>2.15</v>
      </c>
      <c r="P537" s="2" t="s">
        <v>42</v>
      </c>
      <c r="Q537">
        <v>0</v>
      </c>
      <c r="R537">
        <v>63.78</v>
      </c>
      <c r="S537">
        <v>29.56</v>
      </c>
      <c r="T537">
        <v>34.22</v>
      </c>
      <c r="U537">
        <f t="shared" si="8"/>
        <v>0</v>
      </c>
    </row>
    <row r="538" spans="1:21" x14ac:dyDescent="0.25">
      <c r="A538" s="2" t="s">
        <v>981</v>
      </c>
      <c r="B538" s="2" t="s">
        <v>131</v>
      </c>
      <c r="C538" s="1">
        <v>45774</v>
      </c>
      <c r="D538" s="2" t="s">
        <v>45</v>
      </c>
      <c r="E538" s="2" t="s">
        <v>46</v>
      </c>
      <c r="F538" s="2" t="s">
        <v>85</v>
      </c>
      <c r="G538">
        <v>2</v>
      </c>
      <c r="H538" s="2" t="s">
        <v>111</v>
      </c>
      <c r="I538">
        <v>61.9</v>
      </c>
      <c r="J538">
        <v>0</v>
      </c>
      <c r="K538">
        <v>0</v>
      </c>
      <c r="L538">
        <v>30.44</v>
      </c>
      <c r="M538">
        <v>40.67</v>
      </c>
      <c r="N538">
        <v>0</v>
      </c>
      <c r="O538">
        <v>2.1</v>
      </c>
      <c r="P538" s="2" t="s">
        <v>42</v>
      </c>
      <c r="Q538">
        <v>0</v>
      </c>
      <c r="R538">
        <v>61.9</v>
      </c>
      <c r="S538">
        <v>73.209999999999994</v>
      </c>
      <c r="T538">
        <v>-11.31</v>
      </c>
      <c r="U538">
        <f t="shared" si="8"/>
        <v>0</v>
      </c>
    </row>
    <row r="539" spans="1:21" x14ac:dyDescent="0.25">
      <c r="A539" s="2" t="s">
        <v>982</v>
      </c>
      <c r="B539" s="2" t="s">
        <v>983</v>
      </c>
      <c r="C539" s="1">
        <v>45836</v>
      </c>
      <c r="D539" s="2" t="s">
        <v>59</v>
      </c>
      <c r="E539" s="2" t="s">
        <v>46</v>
      </c>
      <c r="F539" s="2" t="s">
        <v>85</v>
      </c>
      <c r="G539">
        <v>2</v>
      </c>
      <c r="H539" s="2" t="s">
        <v>52</v>
      </c>
      <c r="I539">
        <v>106.7</v>
      </c>
      <c r="J539">
        <v>10</v>
      </c>
      <c r="K539">
        <v>10.67</v>
      </c>
      <c r="L539">
        <v>30.1</v>
      </c>
      <c r="M539">
        <v>54.99</v>
      </c>
      <c r="N539">
        <v>14.4</v>
      </c>
      <c r="O539">
        <v>3.08</v>
      </c>
      <c r="P539" s="2" t="s">
        <v>42</v>
      </c>
      <c r="Q539">
        <v>0</v>
      </c>
      <c r="R539">
        <v>96.03</v>
      </c>
      <c r="S539">
        <v>102.57</v>
      </c>
      <c r="T539">
        <v>-6.54</v>
      </c>
      <c r="U539">
        <f t="shared" si="8"/>
        <v>0</v>
      </c>
    </row>
    <row r="540" spans="1:21" x14ac:dyDescent="0.25">
      <c r="A540" s="2" t="s">
        <v>984</v>
      </c>
      <c r="B540" s="2" t="s">
        <v>376</v>
      </c>
      <c r="C540" s="1">
        <v>45974</v>
      </c>
      <c r="D540" s="2" t="s">
        <v>45</v>
      </c>
      <c r="E540" s="2" t="s">
        <v>67</v>
      </c>
      <c r="F540" s="2" t="s">
        <v>40</v>
      </c>
      <c r="G540">
        <v>2</v>
      </c>
      <c r="H540" s="2" t="s">
        <v>111</v>
      </c>
      <c r="I540">
        <v>66.069999999999993</v>
      </c>
      <c r="J540">
        <v>0</v>
      </c>
      <c r="K540">
        <v>0</v>
      </c>
      <c r="L540">
        <v>12.84</v>
      </c>
      <c r="M540">
        <v>35.64</v>
      </c>
      <c r="N540">
        <v>0</v>
      </c>
      <c r="O540">
        <v>2.2200000000000002</v>
      </c>
      <c r="P540" s="2" t="s">
        <v>42</v>
      </c>
      <c r="Q540">
        <v>0</v>
      </c>
      <c r="R540">
        <v>66.069999999999993</v>
      </c>
      <c r="S540">
        <v>50.7</v>
      </c>
      <c r="T540">
        <v>15.37</v>
      </c>
      <c r="U540">
        <f t="shared" si="8"/>
        <v>0</v>
      </c>
    </row>
    <row r="541" spans="1:21" x14ac:dyDescent="0.25">
      <c r="A541" s="2" t="s">
        <v>985</v>
      </c>
      <c r="B541" s="2" t="s">
        <v>986</v>
      </c>
      <c r="C541" s="1">
        <v>45879</v>
      </c>
      <c r="D541" s="2" t="s">
        <v>59</v>
      </c>
      <c r="E541" s="2" t="s">
        <v>71</v>
      </c>
      <c r="F541" s="2" t="s">
        <v>47</v>
      </c>
      <c r="G541">
        <v>1</v>
      </c>
      <c r="H541" s="2" t="s">
        <v>64</v>
      </c>
      <c r="I541">
        <v>191.78</v>
      </c>
      <c r="J541">
        <v>10</v>
      </c>
      <c r="K541">
        <v>19.18</v>
      </c>
      <c r="L541">
        <v>18.68</v>
      </c>
      <c r="M541">
        <v>54.8</v>
      </c>
      <c r="N541">
        <v>25.89</v>
      </c>
      <c r="O541">
        <v>5.31</v>
      </c>
      <c r="P541" s="2" t="s">
        <v>42</v>
      </c>
      <c r="Q541">
        <v>0</v>
      </c>
      <c r="R541">
        <v>172.6</v>
      </c>
      <c r="S541">
        <v>104.68</v>
      </c>
      <c r="T541">
        <v>67.92</v>
      </c>
      <c r="U541">
        <f t="shared" si="8"/>
        <v>0</v>
      </c>
    </row>
    <row r="542" spans="1:21" x14ac:dyDescent="0.25">
      <c r="A542" s="2" t="s">
        <v>987</v>
      </c>
      <c r="B542" s="2" t="s">
        <v>988</v>
      </c>
      <c r="C542" s="1">
        <v>45648</v>
      </c>
      <c r="D542" s="2" t="s">
        <v>38</v>
      </c>
      <c r="E542" s="2" t="s">
        <v>46</v>
      </c>
      <c r="F542" s="2" t="s">
        <v>51</v>
      </c>
      <c r="G542">
        <v>1</v>
      </c>
      <c r="H542" s="2" t="s">
        <v>77</v>
      </c>
      <c r="I542">
        <v>23.18</v>
      </c>
      <c r="J542">
        <v>10</v>
      </c>
      <c r="K542">
        <v>2.3199999999999998</v>
      </c>
      <c r="L542">
        <v>9.26</v>
      </c>
      <c r="M542">
        <v>9.5500000000000007</v>
      </c>
      <c r="N542">
        <v>0</v>
      </c>
      <c r="O542">
        <v>0.9</v>
      </c>
      <c r="P542" s="2" t="s">
        <v>42</v>
      </c>
      <c r="Q542">
        <v>0</v>
      </c>
      <c r="R542">
        <v>20.86</v>
      </c>
      <c r="S542">
        <v>19.71</v>
      </c>
      <c r="T542">
        <v>1.1499999999999999</v>
      </c>
      <c r="U542">
        <f t="shared" si="8"/>
        <v>0</v>
      </c>
    </row>
    <row r="543" spans="1:21" x14ac:dyDescent="0.25">
      <c r="A543" s="2" t="s">
        <v>989</v>
      </c>
      <c r="B543" s="2" t="s">
        <v>990</v>
      </c>
      <c r="C543" s="1">
        <v>45653</v>
      </c>
      <c r="D543" s="2" t="s">
        <v>45</v>
      </c>
      <c r="E543" s="2" t="s">
        <v>71</v>
      </c>
      <c r="F543" s="2" t="s">
        <v>47</v>
      </c>
      <c r="G543">
        <v>1</v>
      </c>
      <c r="H543" s="2" t="s">
        <v>74</v>
      </c>
      <c r="I543">
        <v>66.05</v>
      </c>
      <c r="J543">
        <v>0</v>
      </c>
      <c r="K543">
        <v>0</v>
      </c>
      <c r="L543">
        <v>14.86</v>
      </c>
      <c r="M543">
        <v>23.44</v>
      </c>
      <c r="N543">
        <v>0</v>
      </c>
      <c r="O543">
        <v>2.2200000000000002</v>
      </c>
      <c r="P543" s="2" t="s">
        <v>42</v>
      </c>
      <c r="Q543">
        <v>0</v>
      </c>
      <c r="R543">
        <v>66.05</v>
      </c>
      <c r="S543">
        <v>40.520000000000003</v>
      </c>
      <c r="T543">
        <v>25.53</v>
      </c>
      <c r="U543">
        <f t="shared" si="8"/>
        <v>0</v>
      </c>
    </row>
    <row r="544" spans="1:21" x14ac:dyDescent="0.25">
      <c r="A544" s="2" t="s">
        <v>991</v>
      </c>
      <c r="B544" s="2" t="s">
        <v>708</v>
      </c>
      <c r="C544" s="1">
        <v>45558</v>
      </c>
      <c r="D544" s="2" t="s">
        <v>45</v>
      </c>
      <c r="E544" s="2" t="s">
        <v>71</v>
      </c>
      <c r="F544" s="2" t="s">
        <v>85</v>
      </c>
      <c r="G544">
        <v>1</v>
      </c>
      <c r="H544" s="2" t="s">
        <v>41</v>
      </c>
      <c r="I544">
        <v>192.38</v>
      </c>
      <c r="J544">
        <v>10</v>
      </c>
      <c r="K544">
        <v>19.239999999999998</v>
      </c>
      <c r="L544">
        <v>10.06</v>
      </c>
      <c r="M544">
        <v>72.59</v>
      </c>
      <c r="N544">
        <v>0</v>
      </c>
      <c r="O544">
        <v>5.32</v>
      </c>
      <c r="P544" s="2" t="s">
        <v>42</v>
      </c>
      <c r="Q544">
        <v>0</v>
      </c>
      <c r="R544">
        <v>173.14</v>
      </c>
      <c r="S544">
        <v>87.97</v>
      </c>
      <c r="T544">
        <v>85.17</v>
      </c>
      <c r="U544">
        <f t="shared" si="8"/>
        <v>0</v>
      </c>
    </row>
    <row r="545" spans="1:21" x14ac:dyDescent="0.25">
      <c r="A545" s="2" t="s">
        <v>992</v>
      </c>
      <c r="B545" s="2" t="s">
        <v>278</v>
      </c>
      <c r="C545" s="1">
        <v>45748</v>
      </c>
      <c r="D545" s="2" t="s">
        <v>59</v>
      </c>
      <c r="E545" s="2" t="s">
        <v>67</v>
      </c>
      <c r="F545" s="2" t="s">
        <v>94</v>
      </c>
      <c r="G545">
        <v>1</v>
      </c>
      <c r="H545" s="2" t="s">
        <v>41</v>
      </c>
      <c r="I545">
        <v>73.73</v>
      </c>
      <c r="J545">
        <v>5</v>
      </c>
      <c r="K545">
        <v>3.69</v>
      </c>
      <c r="L545">
        <v>9.34</v>
      </c>
      <c r="M545">
        <v>48.17</v>
      </c>
      <c r="N545">
        <v>10.51</v>
      </c>
      <c r="O545">
        <v>2.33</v>
      </c>
      <c r="P545" s="2" t="s">
        <v>42</v>
      </c>
      <c r="Q545">
        <v>0</v>
      </c>
      <c r="R545">
        <v>70.040000000000006</v>
      </c>
      <c r="S545">
        <v>70.349999999999994</v>
      </c>
      <c r="T545">
        <v>-0.31</v>
      </c>
      <c r="U545">
        <f t="shared" si="8"/>
        <v>0</v>
      </c>
    </row>
    <row r="546" spans="1:21" x14ac:dyDescent="0.25">
      <c r="A546" s="2" t="s">
        <v>993</v>
      </c>
      <c r="B546" s="2" t="s">
        <v>994</v>
      </c>
      <c r="C546" s="1">
        <v>45664</v>
      </c>
      <c r="D546" s="2" t="s">
        <v>38</v>
      </c>
      <c r="E546" s="2" t="s">
        <v>67</v>
      </c>
      <c r="F546" s="2" t="s">
        <v>51</v>
      </c>
      <c r="G546">
        <v>1</v>
      </c>
      <c r="H546" s="2" t="s">
        <v>64</v>
      </c>
      <c r="I546">
        <v>6.07</v>
      </c>
      <c r="J546">
        <v>0</v>
      </c>
      <c r="K546">
        <v>0</v>
      </c>
      <c r="L546">
        <v>12.94</v>
      </c>
      <c r="M546">
        <v>4.1399999999999997</v>
      </c>
      <c r="N546">
        <v>0</v>
      </c>
      <c r="O546">
        <v>0.48</v>
      </c>
      <c r="P546" s="2" t="s">
        <v>42</v>
      </c>
      <c r="Q546">
        <v>0</v>
      </c>
      <c r="R546">
        <v>6.07</v>
      </c>
      <c r="S546">
        <v>17.559999999999999</v>
      </c>
      <c r="T546">
        <v>-11.49</v>
      </c>
      <c r="U546">
        <f t="shared" si="8"/>
        <v>0</v>
      </c>
    </row>
    <row r="547" spans="1:21" x14ac:dyDescent="0.25">
      <c r="A547" s="2" t="s">
        <v>995</v>
      </c>
      <c r="B547" s="2" t="s">
        <v>996</v>
      </c>
      <c r="C547" s="1">
        <v>45755</v>
      </c>
      <c r="D547" s="2" t="s">
        <v>45</v>
      </c>
      <c r="E547" s="2" t="s">
        <v>46</v>
      </c>
      <c r="F547" s="2" t="s">
        <v>47</v>
      </c>
      <c r="G547">
        <v>4</v>
      </c>
      <c r="H547" s="2" t="s">
        <v>52</v>
      </c>
      <c r="I547">
        <v>348.67</v>
      </c>
      <c r="J547">
        <v>0</v>
      </c>
      <c r="K547">
        <v>0</v>
      </c>
      <c r="L547">
        <v>103.9</v>
      </c>
      <c r="M547">
        <v>178.12</v>
      </c>
      <c r="N547">
        <v>0</v>
      </c>
      <c r="O547">
        <v>10.41</v>
      </c>
      <c r="P547" s="2" t="s">
        <v>42</v>
      </c>
      <c r="Q547">
        <v>0</v>
      </c>
      <c r="R547">
        <v>348.67</v>
      </c>
      <c r="S547">
        <v>292.43</v>
      </c>
      <c r="T547">
        <v>56.24</v>
      </c>
      <c r="U547">
        <f t="shared" si="8"/>
        <v>0</v>
      </c>
    </row>
    <row r="548" spans="1:21" x14ac:dyDescent="0.25">
      <c r="A548" s="2" t="s">
        <v>997</v>
      </c>
      <c r="B548" s="2" t="s">
        <v>768</v>
      </c>
      <c r="C548" s="1">
        <v>45786</v>
      </c>
      <c r="D548" s="2" t="s">
        <v>38</v>
      </c>
      <c r="E548" s="2" t="s">
        <v>46</v>
      </c>
      <c r="F548" s="2" t="s">
        <v>85</v>
      </c>
      <c r="G548">
        <v>1</v>
      </c>
      <c r="H548" s="2" t="s">
        <v>64</v>
      </c>
      <c r="I548">
        <v>21.55</v>
      </c>
      <c r="J548">
        <v>0</v>
      </c>
      <c r="K548">
        <v>0</v>
      </c>
      <c r="L548">
        <v>15.1</v>
      </c>
      <c r="M548">
        <v>12.4</v>
      </c>
      <c r="N548">
        <v>0</v>
      </c>
      <c r="O548">
        <v>0.92</v>
      </c>
      <c r="P548" s="2" t="s">
        <v>42</v>
      </c>
      <c r="Q548">
        <v>0</v>
      </c>
      <c r="R548">
        <v>21.55</v>
      </c>
      <c r="S548">
        <v>28.42</v>
      </c>
      <c r="T548">
        <v>-6.87</v>
      </c>
      <c r="U548">
        <f t="shared" si="8"/>
        <v>0</v>
      </c>
    </row>
    <row r="549" spans="1:21" x14ac:dyDescent="0.25">
      <c r="A549" s="2" t="s">
        <v>998</v>
      </c>
      <c r="B549" s="2" t="s">
        <v>999</v>
      </c>
      <c r="C549" s="1">
        <v>45605</v>
      </c>
      <c r="D549" s="2" t="s">
        <v>45</v>
      </c>
      <c r="E549" s="2" t="s">
        <v>55</v>
      </c>
      <c r="F549" s="2" t="s">
        <v>85</v>
      </c>
      <c r="G549">
        <v>3</v>
      </c>
      <c r="H549" s="2" t="s">
        <v>64</v>
      </c>
      <c r="I549">
        <v>233.4</v>
      </c>
      <c r="J549">
        <v>10</v>
      </c>
      <c r="K549">
        <v>23.34</v>
      </c>
      <c r="L549">
        <v>50.24</v>
      </c>
      <c r="M549">
        <v>100.83</v>
      </c>
      <c r="N549">
        <v>0</v>
      </c>
      <c r="O549">
        <v>6.39</v>
      </c>
      <c r="P549" s="2" t="s">
        <v>42</v>
      </c>
      <c r="Q549">
        <v>0</v>
      </c>
      <c r="R549">
        <v>210.06</v>
      </c>
      <c r="S549">
        <v>157.46</v>
      </c>
      <c r="T549">
        <v>52.6</v>
      </c>
      <c r="U549">
        <f t="shared" si="8"/>
        <v>0</v>
      </c>
    </row>
    <row r="550" spans="1:21" x14ac:dyDescent="0.25">
      <c r="A550" s="2" t="s">
        <v>1000</v>
      </c>
      <c r="B550" s="2" t="s">
        <v>964</v>
      </c>
      <c r="C550" s="1">
        <v>45732</v>
      </c>
      <c r="D550" s="2" t="s">
        <v>45</v>
      </c>
      <c r="E550" s="2" t="s">
        <v>46</v>
      </c>
      <c r="F550" s="2" t="s">
        <v>47</v>
      </c>
      <c r="G550">
        <v>4</v>
      </c>
      <c r="H550" s="2" t="s">
        <v>64</v>
      </c>
      <c r="I550">
        <v>218.35</v>
      </c>
      <c r="J550">
        <v>0</v>
      </c>
      <c r="K550">
        <v>0</v>
      </c>
      <c r="L550">
        <v>61.8</v>
      </c>
      <c r="M550">
        <v>104.75</v>
      </c>
      <c r="N550">
        <v>0</v>
      </c>
      <c r="O550">
        <v>6.63</v>
      </c>
      <c r="P550" s="2" t="s">
        <v>42</v>
      </c>
      <c r="Q550">
        <v>0</v>
      </c>
      <c r="R550">
        <v>218.35</v>
      </c>
      <c r="S550">
        <v>173.18</v>
      </c>
      <c r="T550">
        <v>45.17</v>
      </c>
      <c r="U550">
        <f t="shared" si="8"/>
        <v>0</v>
      </c>
    </row>
    <row r="551" spans="1:21" x14ac:dyDescent="0.25">
      <c r="A551" s="2" t="s">
        <v>1001</v>
      </c>
      <c r="B551" s="2" t="s">
        <v>127</v>
      </c>
      <c r="C551" s="1">
        <v>45559</v>
      </c>
      <c r="D551" s="2" t="s">
        <v>45</v>
      </c>
      <c r="E551" s="2" t="s">
        <v>71</v>
      </c>
      <c r="F551" s="2" t="s">
        <v>51</v>
      </c>
      <c r="G551">
        <v>1</v>
      </c>
      <c r="H551" s="2" t="s">
        <v>64</v>
      </c>
      <c r="I551">
        <v>59.15</v>
      </c>
      <c r="J551">
        <v>20</v>
      </c>
      <c r="K551">
        <v>11.83</v>
      </c>
      <c r="L551">
        <v>9.98</v>
      </c>
      <c r="M551">
        <v>19.36</v>
      </c>
      <c r="N551">
        <v>0</v>
      </c>
      <c r="O551">
        <v>1.67</v>
      </c>
      <c r="P551" s="2" t="s">
        <v>42</v>
      </c>
      <c r="Q551">
        <v>0</v>
      </c>
      <c r="R551">
        <v>47.32</v>
      </c>
      <c r="S551">
        <v>31.01</v>
      </c>
      <c r="T551">
        <v>16.309999999999999</v>
      </c>
      <c r="U551">
        <f t="shared" si="8"/>
        <v>0</v>
      </c>
    </row>
    <row r="552" spans="1:21" x14ac:dyDescent="0.25">
      <c r="A552" s="2" t="s">
        <v>1002</v>
      </c>
      <c r="B552" s="2" t="s">
        <v>1003</v>
      </c>
      <c r="C552" s="1">
        <v>45437</v>
      </c>
      <c r="D552" s="2" t="s">
        <v>45</v>
      </c>
      <c r="E552" s="2" t="s">
        <v>39</v>
      </c>
      <c r="F552" s="2" t="s">
        <v>94</v>
      </c>
      <c r="G552">
        <v>3</v>
      </c>
      <c r="H552" s="2" t="s">
        <v>111</v>
      </c>
      <c r="I552">
        <v>308.26</v>
      </c>
      <c r="J552">
        <v>15</v>
      </c>
      <c r="K552">
        <v>46.24</v>
      </c>
      <c r="L552">
        <v>57.5</v>
      </c>
      <c r="M552">
        <v>132.96</v>
      </c>
      <c r="N552">
        <v>0</v>
      </c>
      <c r="O552">
        <v>7.9</v>
      </c>
      <c r="P552" s="2" t="s">
        <v>42</v>
      </c>
      <c r="Q552">
        <v>0</v>
      </c>
      <c r="R552">
        <v>262.02</v>
      </c>
      <c r="S552">
        <v>198.36</v>
      </c>
      <c r="T552">
        <v>63.66</v>
      </c>
      <c r="U552">
        <f t="shared" si="8"/>
        <v>0</v>
      </c>
    </row>
    <row r="553" spans="1:21" x14ac:dyDescent="0.25">
      <c r="A553" s="2" t="s">
        <v>1004</v>
      </c>
      <c r="B553" s="2" t="s">
        <v>1005</v>
      </c>
      <c r="C553" s="1">
        <v>46026</v>
      </c>
      <c r="D553" s="2" t="s">
        <v>38</v>
      </c>
      <c r="E553" s="2" t="s">
        <v>46</v>
      </c>
      <c r="F553" s="2" t="s">
        <v>94</v>
      </c>
      <c r="G553">
        <v>1</v>
      </c>
      <c r="H553" s="2" t="s">
        <v>52</v>
      </c>
      <c r="I553">
        <v>69.12</v>
      </c>
      <c r="J553">
        <v>10</v>
      </c>
      <c r="K553">
        <v>6.91</v>
      </c>
      <c r="L553">
        <v>9.1</v>
      </c>
      <c r="M553">
        <v>20.88</v>
      </c>
      <c r="N553">
        <v>0</v>
      </c>
      <c r="O553">
        <v>2.1</v>
      </c>
      <c r="P553" s="2" t="s">
        <v>42</v>
      </c>
      <c r="Q553">
        <v>0</v>
      </c>
      <c r="R553">
        <v>62.21</v>
      </c>
      <c r="S553">
        <v>32.08</v>
      </c>
      <c r="T553">
        <v>30.13</v>
      </c>
      <c r="U553">
        <f t="shared" si="8"/>
        <v>0</v>
      </c>
    </row>
    <row r="554" spans="1:21" x14ac:dyDescent="0.25">
      <c r="A554" s="2" t="s">
        <v>1006</v>
      </c>
      <c r="B554" s="2" t="s">
        <v>515</v>
      </c>
      <c r="C554" s="1">
        <v>45520</v>
      </c>
      <c r="D554" s="2" t="s">
        <v>38</v>
      </c>
      <c r="E554" s="2" t="s">
        <v>71</v>
      </c>
      <c r="F554" s="2" t="s">
        <v>85</v>
      </c>
      <c r="G554">
        <v>1</v>
      </c>
      <c r="H554" s="2" t="s">
        <v>64</v>
      </c>
      <c r="I554">
        <v>62.7</v>
      </c>
      <c r="J554">
        <v>15</v>
      </c>
      <c r="K554">
        <v>9.4</v>
      </c>
      <c r="L554">
        <v>7.5</v>
      </c>
      <c r="M554">
        <v>20.79</v>
      </c>
      <c r="N554">
        <v>0</v>
      </c>
      <c r="O554">
        <v>1.85</v>
      </c>
      <c r="P554" s="2" t="s">
        <v>42</v>
      </c>
      <c r="Q554">
        <v>0</v>
      </c>
      <c r="R554">
        <v>53.3</v>
      </c>
      <c r="S554">
        <v>30.14</v>
      </c>
      <c r="T554">
        <v>23.16</v>
      </c>
      <c r="U554">
        <f t="shared" si="8"/>
        <v>0</v>
      </c>
    </row>
    <row r="555" spans="1:21" x14ac:dyDescent="0.25">
      <c r="A555" s="2" t="s">
        <v>1007</v>
      </c>
      <c r="B555" s="2" t="s">
        <v>414</v>
      </c>
      <c r="C555" s="1">
        <v>45539</v>
      </c>
      <c r="D555" s="2" t="s">
        <v>45</v>
      </c>
      <c r="E555" s="2" t="s">
        <v>46</v>
      </c>
      <c r="F555" s="2" t="s">
        <v>51</v>
      </c>
      <c r="G555">
        <v>1</v>
      </c>
      <c r="H555" s="2" t="s">
        <v>64</v>
      </c>
      <c r="I555">
        <v>95.89</v>
      </c>
      <c r="J555">
        <v>0</v>
      </c>
      <c r="K555">
        <v>0</v>
      </c>
      <c r="L555">
        <v>9.34</v>
      </c>
      <c r="M555">
        <v>27.4</v>
      </c>
      <c r="N555">
        <v>0</v>
      </c>
      <c r="O555">
        <v>3.08</v>
      </c>
      <c r="P555" s="2" t="s">
        <v>42</v>
      </c>
      <c r="Q555">
        <v>0</v>
      </c>
      <c r="R555">
        <v>95.89</v>
      </c>
      <c r="S555">
        <v>39.82</v>
      </c>
      <c r="T555">
        <v>56.07</v>
      </c>
      <c r="U555">
        <f t="shared" si="8"/>
        <v>0</v>
      </c>
    </row>
    <row r="556" spans="1:21" x14ac:dyDescent="0.25">
      <c r="A556" s="2" t="s">
        <v>1008</v>
      </c>
      <c r="B556" s="2" t="s">
        <v>1009</v>
      </c>
      <c r="C556" s="1">
        <v>45835</v>
      </c>
      <c r="D556" s="2" t="s">
        <v>80</v>
      </c>
      <c r="E556" s="2" t="s">
        <v>67</v>
      </c>
      <c r="F556" s="2" t="s">
        <v>47</v>
      </c>
      <c r="G556">
        <v>1</v>
      </c>
      <c r="H556" s="2" t="s">
        <v>41</v>
      </c>
      <c r="I556">
        <v>78.790000000000006</v>
      </c>
      <c r="J556">
        <v>20</v>
      </c>
      <c r="K556">
        <v>15.76</v>
      </c>
      <c r="L556">
        <v>13.5</v>
      </c>
      <c r="M556">
        <v>31.36</v>
      </c>
      <c r="N556">
        <v>5.04</v>
      </c>
      <c r="O556">
        <v>2.13</v>
      </c>
      <c r="P556" s="2" t="s">
        <v>42</v>
      </c>
      <c r="Q556">
        <v>0</v>
      </c>
      <c r="R556">
        <v>63.03</v>
      </c>
      <c r="S556">
        <v>52.03</v>
      </c>
      <c r="T556">
        <v>11</v>
      </c>
      <c r="U556">
        <f t="shared" si="8"/>
        <v>0</v>
      </c>
    </row>
    <row r="557" spans="1:21" x14ac:dyDescent="0.25">
      <c r="A557" s="2" t="s">
        <v>1010</v>
      </c>
      <c r="B557" s="2" t="s">
        <v>1011</v>
      </c>
      <c r="C557" s="1">
        <v>45616</v>
      </c>
      <c r="D557" s="2" t="s">
        <v>45</v>
      </c>
      <c r="E557" s="2" t="s">
        <v>55</v>
      </c>
      <c r="F557" s="2" t="s">
        <v>94</v>
      </c>
      <c r="G557">
        <v>2</v>
      </c>
      <c r="H557" s="2" t="s">
        <v>74</v>
      </c>
      <c r="I557">
        <v>94.65</v>
      </c>
      <c r="J557">
        <v>0</v>
      </c>
      <c r="K557">
        <v>0</v>
      </c>
      <c r="L557">
        <v>46.4</v>
      </c>
      <c r="M557">
        <v>38.03</v>
      </c>
      <c r="N557">
        <v>0</v>
      </c>
      <c r="O557">
        <v>3.04</v>
      </c>
      <c r="P557" s="2" t="s">
        <v>42</v>
      </c>
      <c r="Q557">
        <v>0</v>
      </c>
      <c r="R557">
        <v>94.65</v>
      </c>
      <c r="S557">
        <v>87.47</v>
      </c>
      <c r="T557">
        <v>7.18</v>
      </c>
      <c r="U557">
        <f t="shared" si="8"/>
        <v>0</v>
      </c>
    </row>
    <row r="558" spans="1:21" x14ac:dyDescent="0.25">
      <c r="A558" s="2" t="s">
        <v>1012</v>
      </c>
      <c r="B558" s="2" t="s">
        <v>1013</v>
      </c>
      <c r="C558" s="1">
        <v>45947</v>
      </c>
      <c r="D558" s="2" t="s">
        <v>38</v>
      </c>
      <c r="E558" s="2" t="s">
        <v>46</v>
      </c>
      <c r="F558" s="2" t="s">
        <v>47</v>
      </c>
      <c r="G558">
        <v>3</v>
      </c>
      <c r="H558" s="2" t="s">
        <v>64</v>
      </c>
      <c r="I558">
        <v>289.32</v>
      </c>
      <c r="J558">
        <v>5</v>
      </c>
      <c r="K558">
        <v>14.47</v>
      </c>
      <c r="L558">
        <v>21.54</v>
      </c>
      <c r="M558">
        <v>97.8</v>
      </c>
      <c r="N558">
        <v>0</v>
      </c>
      <c r="O558">
        <v>8.27</v>
      </c>
      <c r="P558" s="2" t="s">
        <v>42</v>
      </c>
      <c r="Q558">
        <v>0</v>
      </c>
      <c r="R558">
        <v>274.85000000000002</v>
      </c>
      <c r="S558">
        <v>127.61</v>
      </c>
      <c r="T558">
        <v>147.24</v>
      </c>
      <c r="U558">
        <f t="shared" si="8"/>
        <v>0</v>
      </c>
    </row>
    <row r="559" spans="1:21" x14ac:dyDescent="0.25">
      <c r="A559" s="2" t="s">
        <v>1014</v>
      </c>
      <c r="B559" s="2" t="s">
        <v>1015</v>
      </c>
      <c r="C559" s="1">
        <v>45873</v>
      </c>
      <c r="D559" s="2" t="s">
        <v>80</v>
      </c>
      <c r="E559" s="2" t="s">
        <v>46</v>
      </c>
      <c r="F559" s="2" t="s">
        <v>51</v>
      </c>
      <c r="G559">
        <v>2</v>
      </c>
      <c r="H559" s="2" t="s">
        <v>111</v>
      </c>
      <c r="I559">
        <v>134.68</v>
      </c>
      <c r="J559">
        <v>5</v>
      </c>
      <c r="K559">
        <v>6.73</v>
      </c>
      <c r="L559">
        <v>39.46</v>
      </c>
      <c r="M559">
        <v>50.89</v>
      </c>
      <c r="N559">
        <v>10.24</v>
      </c>
      <c r="O559">
        <v>4.01</v>
      </c>
      <c r="P559" s="2" t="s">
        <v>68</v>
      </c>
      <c r="Q559">
        <v>127.95</v>
      </c>
      <c r="R559">
        <v>0</v>
      </c>
      <c r="S559">
        <v>104.6</v>
      </c>
      <c r="T559">
        <v>-104.6</v>
      </c>
      <c r="U559">
        <f t="shared" si="8"/>
        <v>0</v>
      </c>
    </row>
    <row r="560" spans="1:21" x14ac:dyDescent="0.25">
      <c r="A560" s="2" t="s">
        <v>1016</v>
      </c>
      <c r="B560" s="2" t="s">
        <v>231</v>
      </c>
      <c r="C560" s="1">
        <v>45551</v>
      </c>
      <c r="D560" s="2" t="s">
        <v>45</v>
      </c>
      <c r="E560" s="2" t="s">
        <v>55</v>
      </c>
      <c r="F560" s="2" t="s">
        <v>40</v>
      </c>
      <c r="G560">
        <v>2</v>
      </c>
      <c r="H560" s="2" t="s">
        <v>41</v>
      </c>
      <c r="I560">
        <v>234.42</v>
      </c>
      <c r="J560">
        <v>10</v>
      </c>
      <c r="K560">
        <v>23.44</v>
      </c>
      <c r="L560">
        <v>15.72</v>
      </c>
      <c r="M560">
        <v>70.05</v>
      </c>
      <c r="N560">
        <v>0</v>
      </c>
      <c r="O560">
        <v>6.42</v>
      </c>
      <c r="P560" s="2" t="s">
        <v>42</v>
      </c>
      <c r="Q560">
        <v>0</v>
      </c>
      <c r="R560">
        <v>210.98</v>
      </c>
      <c r="S560">
        <v>92.19</v>
      </c>
      <c r="T560">
        <v>118.79</v>
      </c>
      <c r="U560">
        <f t="shared" si="8"/>
        <v>0</v>
      </c>
    </row>
    <row r="561" spans="1:21" x14ac:dyDescent="0.25">
      <c r="A561" s="2" t="s">
        <v>1017</v>
      </c>
      <c r="B561" s="2" t="s">
        <v>1018</v>
      </c>
      <c r="C561" s="1">
        <v>45591</v>
      </c>
      <c r="D561" s="2" t="s">
        <v>80</v>
      </c>
      <c r="E561" s="2" t="s">
        <v>71</v>
      </c>
      <c r="F561" s="2" t="s">
        <v>51</v>
      </c>
      <c r="G561">
        <v>2</v>
      </c>
      <c r="H561" s="2" t="s">
        <v>111</v>
      </c>
      <c r="I561">
        <v>68.3</v>
      </c>
      <c r="J561">
        <v>0</v>
      </c>
      <c r="K561">
        <v>0</v>
      </c>
      <c r="L561">
        <v>26.12</v>
      </c>
      <c r="M561">
        <v>27.85</v>
      </c>
      <c r="N561">
        <v>5.46</v>
      </c>
      <c r="O561">
        <v>2.2799999999999998</v>
      </c>
      <c r="P561" s="2" t="s">
        <v>42</v>
      </c>
      <c r="Q561">
        <v>0</v>
      </c>
      <c r="R561">
        <v>68.3</v>
      </c>
      <c r="S561">
        <v>61.71</v>
      </c>
      <c r="T561">
        <v>6.59</v>
      </c>
      <c r="U561">
        <f t="shared" si="8"/>
        <v>1</v>
      </c>
    </row>
    <row r="562" spans="1:21" x14ac:dyDescent="0.25">
      <c r="A562" s="2" t="s">
        <v>1019</v>
      </c>
      <c r="B562" s="2" t="s">
        <v>274</v>
      </c>
      <c r="C562" s="1">
        <v>45925</v>
      </c>
      <c r="D562" s="2" t="s">
        <v>38</v>
      </c>
      <c r="E562" s="2" t="s">
        <v>46</v>
      </c>
      <c r="F562" s="2" t="s">
        <v>40</v>
      </c>
      <c r="G562">
        <v>1</v>
      </c>
      <c r="H562" s="2" t="s">
        <v>56</v>
      </c>
      <c r="I562">
        <v>47.4</v>
      </c>
      <c r="J562">
        <v>0</v>
      </c>
      <c r="K562">
        <v>0</v>
      </c>
      <c r="L562">
        <v>11.98</v>
      </c>
      <c r="M562">
        <v>32.39</v>
      </c>
      <c r="N562">
        <v>0</v>
      </c>
      <c r="O562">
        <v>1.67</v>
      </c>
      <c r="P562" s="2" t="s">
        <v>42</v>
      </c>
      <c r="Q562">
        <v>0</v>
      </c>
      <c r="R562">
        <v>47.4</v>
      </c>
      <c r="S562">
        <v>46.04</v>
      </c>
      <c r="T562">
        <v>1.36</v>
      </c>
      <c r="U562">
        <f t="shared" si="8"/>
        <v>0</v>
      </c>
    </row>
    <row r="563" spans="1:21" x14ac:dyDescent="0.25">
      <c r="A563" s="2" t="s">
        <v>1020</v>
      </c>
      <c r="B563" s="2" t="s">
        <v>836</v>
      </c>
      <c r="C563" s="1">
        <v>45451</v>
      </c>
      <c r="D563" s="2" t="s">
        <v>38</v>
      </c>
      <c r="E563" s="2" t="s">
        <v>46</v>
      </c>
      <c r="F563" s="2" t="s">
        <v>94</v>
      </c>
      <c r="G563">
        <v>1</v>
      </c>
      <c r="H563" s="2" t="s">
        <v>74</v>
      </c>
      <c r="I563">
        <v>127.92</v>
      </c>
      <c r="J563">
        <v>5</v>
      </c>
      <c r="K563">
        <v>6.4</v>
      </c>
      <c r="L563">
        <v>22.84</v>
      </c>
      <c r="M563">
        <v>74.56</v>
      </c>
      <c r="N563">
        <v>0</v>
      </c>
      <c r="O563">
        <v>3.82</v>
      </c>
      <c r="P563" s="2" t="s">
        <v>42</v>
      </c>
      <c r="Q563">
        <v>0</v>
      </c>
      <c r="R563">
        <v>121.52</v>
      </c>
      <c r="S563">
        <v>101.22</v>
      </c>
      <c r="T563">
        <v>20.3</v>
      </c>
      <c r="U563">
        <f t="shared" si="8"/>
        <v>0</v>
      </c>
    </row>
    <row r="564" spans="1:21" x14ac:dyDescent="0.25">
      <c r="A564" s="2" t="s">
        <v>1021</v>
      </c>
      <c r="B564" s="2" t="s">
        <v>1022</v>
      </c>
      <c r="C564" s="1">
        <v>45416</v>
      </c>
      <c r="D564" s="2" t="s">
        <v>59</v>
      </c>
      <c r="E564" s="2" t="s">
        <v>46</v>
      </c>
      <c r="F564" s="2" t="s">
        <v>51</v>
      </c>
      <c r="G564">
        <v>1</v>
      </c>
      <c r="H564" s="2" t="s">
        <v>56</v>
      </c>
      <c r="I564">
        <v>29.69</v>
      </c>
      <c r="J564">
        <v>5</v>
      </c>
      <c r="K564">
        <v>1.48</v>
      </c>
      <c r="L564">
        <v>6.06</v>
      </c>
      <c r="M564">
        <v>18.66</v>
      </c>
      <c r="N564">
        <v>4.2300000000000004</v>
      </c>
      <c r="O564">
        <v>1.1200000000000001</v>
      </c>
      <c r="P564" s="2" t="s">
        <v>42</v>
      </c>
      <c r="Q564">
        <v>0</v>
      </c>
      <c r="R564">
        <v>28.21</v>
      </c>
      <c r="S564">
        <v>30.07</v>
      </c>
      <c r="T564">
        <v>-1.86</v>
      </c>
      <c r="U564">
        <f t="shared" si="8"/>
        <v>0</v>
      </c>
    </row>
    <row r="565" spans="1:21" x14ac:dyDescent="0.25">
      <c r="A565" s="2" t="s">
        <v>1023</v>
      </c>
      <c r="B565" s="2" t="s">
        <v>1024</v>
      </c>
      <c r="C565" s="1">
        <v>45717</v>
      </c>
      <c r="D565" s="2" t="s">
        <v>45</v>
      </c>
      <c r="E565" s="2" t="s">
        <v>67</v>
      </c>
      <c r="F565" s="2" t="s">
        <v>40</v>
      </c>
      <c r="G565">
        <v>3</v>
      </c>
      <c r="H565" s="2" t="s">
        <v>56</v>
      </c>
      <c r="I565">
        <v>195.48</v>
      </c>
      <c r="J565">
        <v>15</v>
      </c>
      <c r="K565">
        <v>29.32</v>
      </c>
      <c r="L565">
        <v>42.38</v>
      </c>
      <c r="M565">
        <v>81.52</v>
      </c>
      <c r="N565">
        <v>0</v>
      </c>
      <c r="O565">
        <v>5.12</v>
      </c>
      <c r="P565" s="2" t="s">
        <v>42</v>
      </c>
      <c r="Q565">
        <v>0</v>
      </c>
      <c r="R565">
        <v>166.16</v>
      </c>
      <c r="S565">
        <v>129.02000000000001</v>
      </c>
      <c r="T565">
        <v>37.14</v>
      </c>
      <c r="U565">
        <f t="shared" si="8"/>
        <v>0</v>
      </c>
    </row>
    <row r="566" spans="1:21" x14ac:dyDescent="0.25">
      <c r="A566" s="2" t="s">
        <v>1025</v>
      </c>
      <c r="B566" s="2" t="s">
        <v>1026</v>
      </c>
      <c r="C566" s="1">
        <v>45841</v>
      </c>
      <c r="D566" s="2" t="s">
        <v>45</v>
      </c>
      <c r="E566" s="2" t="s">
        <v>46</v>
      </c>
      <c r="F566" s="2" t="s">
        <v>40</v>
      </c>
      <c r="G566">
        <v>1</v>
      </c>
      <c r="H566" s="2" t="s">
        <v>41</v>
      </c>
      <c r="I566">
        <v>20.67</v>
      </c>
      <c r="J566">
        <v>25</v>
      </c>
      <c r="K566">
        <v>5.17</v>
      </c>
      <c r="L566">
        <v>4.3</v>
      </c>
      <c r="M566">
        <v>5.96</v>
      </c>
      <c r="N566">
        <v>0</v>
      </c>
      <c r="O566">
        <v>0.75</v>
      </c>
      <c r="P566" s="2" t="s">
        <v>42</v>
      </c>
      <c r="Q566">
        <v>0</v>
      </c>
      <c r="R566">
        <v>15.5</v>
      </c>
      <c r="S566">
        <v>11.01</v>
      </c>
      <c r="T566">
        <v>4.49</v>
      </c>
      <c r="U566">
        <f t="shared" si="8"/>
        <v>0</v>
      </c>
    </row>
    <row r="567" spans="1:21" x14ac:dyDescent="0.25">
      <c r="A567" s="2" t="s">
        <v>1027</v>
      </c>
      <c r="B567" s="2" t="s">
        <v>816</v>
      </c>
      <c r="C567" s="1">
        <v>45903</v>
      </c>
      <c r="D567" s="2" t="s">
        <v>59</v>
      </c>
      <c r="E567" s="2" t="s">
        <v>71</v>
      </c>
      <c r="F567" s="2" t="s">
        <v>85</v>
      </c>
      <c r="G567">
        <v>2</v>
      </c>
      <c r="H567" s="2" t="s">
        <v>77</v>
      </c>
      <c r="I567">
        <v>54.19</v>
      </c>
      <c r="J567">
        <v>15</v>
      </c>
      <c r="K567">
        <v>8.1300000000000008</v>
      </c>
      <c r="L567">
        <v>23.88</v>
      </c>
      <c r="M567">
        <v>28.23</v>
      </c>
      <c r="N567">
        <v>6.91</v>
      </c>
      <c r="O567">
        <v>1.64</v>
      </c>
      <c r="P567" s="2" t="s">
        <v>42</v>
      </c>
      <c r="Q567">
        <v>0</v>
      </c>
      <c r="R567">
        <v>46.06</v>
      </c>
      <c r="S567">
        <v>60.66</v>
      </c>
      <c r="T567">
        <v>-14.6</v>
      </c>
      <c r="U567">
        <f t="shared" si="8"/>
        <v>0</v>
      </c>
    </row>
    <row r="568" spans="1:21" x14ac:dyDescent="0.25">
      <c r="A568" s="2" t="s">
        <v>1028</v>
      </c>
      <c r="B568" s="2" t="s">
        <v>367</v>
      </c>
      <c r="C568" s="1">
        <v>45784</v>
      </c>
      <c r="D568" s="2" t="s">
        <v>38</v>
      </c>
      <c r="E568" s="2" t="s">
        <v>46</v>
      </c>
      <c r="F568" s="2" t="s">
        <v>51</v>
      </c>
      <c r="G568">
        <v>1</v>
      </c>
      <c r="H568" s="2" t="s">
        <v>64</v>
      </c>
      <c r="I568">
        <v>56</v>
      </c>
      <c r="J568">
        <v>0</v>
      </c>
      <c r="K568">
        <v>0</v>
      </c>
      <c r="L568">
        <v>12.86</v>
      </c>
      <c r="M568">
        <v>19.82</v>
      </c>
      <c r="N568">
        <v>0</v>
      </c>
      <c r="O568">
        <v>1.92</v>
      </c>
      <c r="P568" s="2" t="s">
        <v>42</v>
      </c>
      <c r="Q568">
        <v>0</v>
      </c>
      <c r="R568">
        <v>56</v>
      </c>
      <c r="S568">
        <v>34.6</v>
      </c>
      <c r="T568">
        <v>21.4</v>
      </c>
      <c r="U568">
        <f t="shared" si="8"/>
        <v>0</v>
      </c>
    </row>
    <row r="569" spans="1:21" x14ac:dyDescent="0.25">
      <c r="A569" s="2" t="s">
        <v>1029</v>
      </c>
      <c r="B569" s="2" t="s">
        <v>818</v>
      </c>
      <c r="C569" s="1">
        <v>45729</v>
      </c>
      <c r="D569" s="2" t="s">
        <v>45</v>
      </c>
      <c r="E569" s="2" t="s">
        <v>46</v>
      </c>
      <c r="F569" s="2" t="s">
        <v>94</v>
      </c>
      <c r="G569">
        <v>5</v>
      </c>
      <c r="H569" s="2" t="s">
        <v>52</v>
      </c>
      <c r="I569">
        <v>623.20000000000005</v>
      </c>
      <c r="J569">
        <v>0</v>
      </c>
      <c r="K569">
        <v>0</v>
      </c>
      <c r="L569">
        <v>108.54</v>
      </c>
      <c r="M569">
        <v>256.3</v>
      </c>
      <c r="N569">
        <v>0</v>
      </c>
      <c r="O569">
        <v>18.37</v>
      </c>
      <c r="P569" s="2" t="s">
        <v>42</v>
      </c>
      <c r="Q569">
        <v>0</v>
      </c>
      <c r="R569">
        <v>623.20000000000005</v>
      </c>
      <c r="S569">
        <v>383.21</v>
      </c>
      <c r="T569">
        <v>239.99</v>
      </c>
      <c r="U569">
        <f t="shared" si="8"/>
        <v>0</v>
      </c>
    </row>
    <row r="570" spans="1:21" x14ac:dyDescent="0.25">
      <c r="A570" s="2" t="s">
        <v>1030</v>
      </c>
      <c r="B570" s="2" t="s">
        <v>1031</v>
      </c>
      <c r="C570" s="1">
        <v>45532</v>
      </c>
      <c r="D570" s="2" t="s">
        <v>80</v>
      </c>
      <c r="E570" s="2" t="s">
        <v>71</v>
      </c>
      <c r="F570" s="2" t="s">
        <v>94</v>
      </c>
      <c r="G570">
        <v>2</v>
      </c>
      <c r="H570" s="2" t="s">
        <v>64</v>
      </c>
      <c r="I570">
        <v>122.76</v>
      </c>
      <c r="J570">
        <v>15</v>
      </c>
      <c r="K570">
        <v>18.41</v>
      </c>
      <c r="L570">
        <v>22.6</v>
      </c>
      <c r="M570">
        <v>38.5</v>
      </c>
      <c r="N570">
        <v>8.35</v>
      </c>
      <c r="O570">
        <v>3.33</v>
      </c>
      <c r="P570" s="2" t="s">
        <v>42</v>
      </c>
      <c r="Q570">
        <v>0</v>
      </c>
      <c r="R570">
        <v>104.35</v>
      </c>
      <c r="S570">
        <v>72.78</v>
      </c>
      <c r="T570">
        <v>31.57</v>
      </c>
      <c r="U570">
        <f t="shared" si="8"/>
        <v>0</v>
      </c>
    </row>
    <row r="571" spans="1:21" x14ac:dyDescent="0.25">
      <c r="A571" s="2" t="s">
        <v>1032</v>
      </c>
      <c r="B571" s="2" t="s">
        <v>136</v>
      </c>
      <c r="C571" s="1">
        <v>45748</v>
      </c>
      <c r="D571" s="2" t="s">
        <v>38</v>
      </c>
      <c r="E571" s="2" t="s">
        <v>71</v>
      </c>
      <c r="F571" s="2" t="s">
        <v>40</v>
      </c>
      <c r="G571">
        <v>2</v>
      </c>
      <c r="H571" s="2" t="s">
        <v>48</v>
      </c>
      <c r="I571">
        <v>67.27</v>
      </c>
      <c r="J571">
        <v>15</v>
      </c>
      <c r="K571">
        <v>10.09</v>
      </c>
      <c r="L571">
        <v>13.56</v>
      </c>
      <c r="M571">
        <v>27.77</v>
      </c>
      <c r="N571">
        <v>0</v>
      </c>
      <c r="O571">
        <v>1.96</v>
      </c>
      <c r="P571" s="2" t="s">
        <v>42</v>
      </c>
      <c r="Q571">
        <v>0</v>
      </c>
      <c r="R571">
        <v>57.18</v>
      </c>
      <c r="S571">
        <v>43.29</v>
      </c>
      <c r="T571">
        <v>13.89</v>
      </c>
      <c r="U571">
        <f t="shared" si="8"/>
        <v>0</v>
      </c>
    </row>
    <row r="572" spans="1:21" x14ac:dyDescent="0.25">
      <c r="A572" s="2" t="s">
        <v>1033</v>
      </c>
      <c r="B572" s="2" t="s">
        <v>856</v>
      </c>
      <c r="C572" s="1">
        <v>45745</v>
      </c>
      <c r="D572" s="2" t="s">
        <v>45</v>
      </c>
      <c r="E572" s="2" t="s">
        <v>71</v>
      </c>
      <c r="F572" s="2" t="s">
        <v>47</v>
      </c>
      <c r="G572">
        <v>1</v>
      </c>
      <c r="H572" s="2" t="s">
        <v>64</v>
      </c>
      <c r="I572">
        <v>93.89</v>
      </c>
      <c r="J572">
        <v>20</v>
      </c>
      <c r="K572">
        <v>18.78</v>
      </c>
      <c r="L572">
        <v>6.14</v>
      </c>
      <c r="M572">
        <v>32.81</v>
      </c>
      <c r="N572">
        <v>0</v>
      </c>
      <c r="O572">
        <v>2.48</v>
      </c>
      <c r="P572" s="2" t="s">
        <v>42</v>
      </c>
      <c r="Q572">
        <v>0</v>
      </c>
      <c r="R572">
        <v>75.11</v>
      </c>
      <c r="S572">
        <v>41.43</v>
      </c>
      <c r="T572">
        <v>33.68</v>
      </c>
      <c r="U572">
        <f t="shared" si="8"/>
        <v>0</v>
      </c>
    </row>
    <row r="573" spans="1:21" x14ac:dyDescent="0.25">
      <c r="A573" s="2" t="s">
        <v>1034</v>
      </c>
      <c r="B573" s="2" t="s">
        <v>79</v>
      </c>
      <c r="C573" s="1">
        <v>45372</v>
      </c>
      <c r="D573" s="2" t="s">
        <v>59</v>
      </c>
      <c r="E573" s="2" t="s">
        <v>46</v>
      </c>
      <c r="F573" s="2" t="s">
        <v>51</v>
      </c>
      <c r="G573">
        <v>3</v>
      </c>
      <c r="H573" s="2" t="s">
        <v>77</v>
      </c>
      <c r="I573">
        <v>371.3</v>
      </c>
      <c r="J573">
        <v>0</v>
      </c>
      <c r="K573">
        <v>0</v>
      </c>
      <c r="L573">
        <v>29.36</v>
      </c>
      <c r="M573">
        <v>114.95</v>
      </c>
      <c r="N573">
        <v>55.7</v>
      </c>
      <c r="O573">
        <v>11.07</v>
      </c>
      <c r="P573" s="2" t="s">
        <v>42</v>
      </c>
      <c r="Q573">
        <v>0</v>
      </c>
      <c r="R573">
        <v>371.3</v>
      </c>
      <c r="S573">
        <v>211.08</v>
      </c>
      <c r="T573">
        <v>160.22</v>
      </c>
      <c r="U573">
        <f t="shared" si="8"/>
        <v>0</v>
      </c>
    </row>
    <row r="574" spans="1:21" x14ac:dyDescent="0.25">
      <c r="A574" s="2" t="s">
        <v>1035</v>
      </c>
      <c r="B574" s="2" t="s">
        <v>382</v>
      </c>
      <c r="C574" s="1">
        <v>45652</v>
      </c>
      <c r="D574" s="2" t="s">
        <v>45</v>
      </c>
      <c r="E574" s="2" t="s">
        <v>71</v>
      </c>
      <c r="F574" s="2" t="s">
        <v>94</v>
      </c>
      <c r="G574">
        <v>1</v>
      </c>
      <c r="H574" s="2" t="s">
        <v>56</v>
      </c>
      <c r="I574">
        <v>45.69</v>
      </c>
      <c r="J574">
        <v>5</v>
      </c>
      <c r="K574">
        <v>2.2799999999999998</v>
      </c>
      <c r="L574">
        <v>11.58</v>
      </c>
      <c r="M574">
        <v>28.21</v>
      </c>
      <c r="N574">
        <v>0</v>
      </c>
      <c r="O574">
        <v>1.56</v>
      </c>
      <c r="P574" s="2" t="s">
        <v>42</v>
      </c>
      <c r="Q574">
        <v>0</v>
      </c>
      <c r="R574">
        <v>43.41</v>
      </c>
      <c r="S574">
        <v>41.35</v>
      </c>
      <c r="T574">
        <v>2.06</v>
      </c>
      <c r="U574">
        <f t="shared" si="8"/>
        <v>0</v>
      </c>
    </row>
    <row r="575" spans="1:21" x14ac:dyDescent="0.25">
      <c r="A575" s="2" t="s">
        <v>1036</v>
      </c>
      <c r="B575" s="2" t="s">
        <v>692</v>
      </c>
      <c r="C575" s="1">
        <v>45844</v>
      </c>
      <c r="D575" s="2" t="s">
        <v>45</v>
      </c>
      <c r="E575" s="2" t="s">
        <v>46</v>
      </c>
      <c r="F575" s="2" t="s">
        <v>94</v>
      </c>
      <c r="G575">
        <v>2</v>
      </c>
      <c r="H575" s="2" t="s">
        <v>48</v>
      </c>
      <c r="I575">
        <v>49.54</v>
      </c>
      <c r="J575">
        <v>10</v>
      </c>
      <c r="K575">
        <v>4.95</v>
      </c>
      <c r="L575">
        <v>16.12</v>
      </c>
      <c r="M575">
        <v>17.11</v>
      </c>
      <c r="N575">
        <v>0</v>
      </c>
      <c r="O575">
        <v>1.59</v>
      </c>
      <c r="P575" s="2" t="s">
        <v>42</v>
      </c>
      <c r="Q575">
        <v>0</v>
      </c>
      <c r="R575">
        <v>44.59</v>
      </c>
      <c r="S575">
        <v>34.82</v>
      </c>
      <c r="T575">
        <v>9.77</v>
      </c>
      <c r="U575">
        <f t="shared" si="8"/>
        <v>0</v>
      </c>
    </row>
    <row r="576" spans="1:21" x14ac:dyDescent="0.25">
      <c r="A576" s="2" t="s">
        <v>1037</v>
      </c>
      <c r="B576" s="2" t="s">
        <v>1038</v>
      </c>
      <c r="C576" s="1">
        <v>46033</v>
      </c>
      <c r="D576" s="2" t="s">
        <v>45</v>
      </c>
      <c r="E576" s="2" t="s">
        <v>46</v>
      </c>
      <c r="F576" s="2" t="s">
        <v>94</v>
      </c>
      <c r="G576">
        <v>2</v>
      </c>
      <c r="H576" s="2" t="s">
        <v>48</v>
      </c>
      <c r="I576">
        <v>198.71</v>
      </c>
      <c r="J576">
        <v>0</v>
      </c>
      <c r="K576">
        <v>0</v>
      </c>
      <c r="L576">
        <v>44.24</v>
      </c>
      <c r="M576">
        <v>78.010000000000005</v>
      </c>
      <c r="N576">
        <v>0</v>
      </c>
      <c r="O576">
        <v>6.06</v>
      </c>
      <c r="P576" s="2" t="s">
        <v>42</v>
      </c>
      <c r="Q576">
        <v>0</v>
      </c>
      <c r="R576">
        <v>198.71</v>
      </c>
      <c r="S576">
        <v>128.31</v>
      </c>
      <c r="T576">
        <v>70.400000000000006</v>
      </c>
      <c r="U576">
        <f t="shared" si="8"/>
        <v>0</v>
      </c>
    </row>
    <row r="577" spans="1:21" x14ac:dyDescent="0.25">
      <c r="A577" s="2" t="s">
        <v>1039</v>
      </c>
      <c r="B577" s="2" t="s">
        <v>370</v>
      </c>
      <c r="C577" s="1">
        <v>45905</v>
      </c>
      <c r="D577" s="2" t="s">
        <v>45</v>
      </c>
      <c r="E577" s="2" t="s">
        <v>55</v>
      </c>
      <c r="F577" s="2" t="s">
        <v>47</v>
      </c>
      <c r="G577">
        <v>1</v>
      </c>
      <c r="H577" s="2" t="s">
        <v>41</v>
      </c>
      <c r="I577">
        <v>182.6</v>
      </c>
      <c r="J577">
        <v>0</v>
      </c>
      <c r="K577">
        <v>0</v>
      </c>
      <c r="L577">
        <v>8.7799999999999994</v>
      </c>
      <c r="M577">
        <v>60.94</v>
      </c>
      <c r="N577">
        <v>0</v>
      </c>
      <c r="O577">
        <v>5.6</v>
      </c>
      <c r="P577" s="2" t="s">
        <v>42</v>
      </c>
      <c r="Q577">
        <v>0</v>
      </c>
      <c r="R577">
        <v>182.6</v>
      </c>
      <c r="S577">
        <v>75.319999999999993</v>
      </c>
      <c r="T577">
        <v>107.28</v>
      </c>
      <c r="U577">
        <f t="shared" si="8"/>
        <v>0</v>
      </c>
    </row>
    <row r="578" spans="1:21" x14ac:dyDescent="0.25">
      <c r="A578" s="2" t="s">
        <v>1040</v>
      </c>
      <c r="B578" s="2" t="s">
        <v>251</v>
      </c>
      <c r="C578" s="1">
        <v>45785</v>
      </c>
      <c r="D578" s="2" t="s">
        <v>38</v>
      </c>
      <c r="E578" s="2" t="s">
        <v>71</v>
      </c>
      <c r="F578" s="2" t="s">
        <v>51</v>
      </c>
      <c r="G578">
        <v>1</v>
      </c>
      <c r="H578" s="2" t="s">
        <v>77</v>
      </c>
      <c r="I578">
        <v>95.61</v>
      </c>
      <c r="J578">
        <v>0</v>
      </c>
      <c r="K578">
        <v>0</v>
      </c>
      <c r="L578">
        <v>28.74</v>
      </c>
      <c r="M578">
        <v>30.9</v>
      </c>
      <c r="N578">
        <v>0</v>
      </c>
      <c r="O578">
        <v>3.07</v>
      </c>
      <c r="P578" s="2" t="s">
        <v>42</v>
      </c>
      <c r="Q578">
        <v>0</v>
      </c>
      <c r="R578">
        <v>95.61</v>
      </c>
      <c r="S578">
        <v>62.71</v>
      </c>
      <c r="T578">
        <v>32.9</v>
      </c>
      <c r="U578">
        <f t="shared" si="8"/>
        <v>0</v>
      </c>
    </row>
    <row r="579" spans="1:21" x14ac:dyDescent="0.25">
      <c r="A579" s="2" t="s">
        <v>1041</v>
      </c>
      <c r="B579" s="2" t="s">
        <v>860</v>
      </c>
      <c r="C579" s="1">
        <v>45442</v>
      </c>
      <c r="D579" s="2" t="s">
        <v>80</v>
      </c>
      <c r="E579" s="2" t="s">
        <v>71</v>
      </c>
      <c r="F579" s="2" t="s">
        <v>47</v>
      </c>
      <c r="G579">
        <v>3</v>
      </c>
      <c r="H579" s="2" t="s">
        <v>52</v>
      </c>
      <c r="I579">
        <v>154.85</v>
      </c>
      <c r="J579">
        <v>0</v>
      </c>
      <c r="K579">
        <v>0</v>
      </c>
      <c r="L579">
        <v>31.14</v>
      </c>
      <c r="M579">
        <v>74.010000000000005</v>
      </c>
      <c r="N579">
        <v>12.39</v>
      </c>
      <c r="O579">
        <v>4.79</v>
      </c>
      <c r="P579" s="2" t="s">
        <v>42</v>
      </c>
      <c r="Q579">
        <v>0</v>
      </c>
      <c r="R579">
        <v>154.85</v>
      </c>
      <c r="S579">
        <v>122.33</v>
      </c>
      <c r="T579">
        <v>32.520000000000003</v>
      </c>
      <c r="U579">
        <f t="shared" si="8"/>
        <v>0</v>
      </c>
    </row>
    <row r="580" spans="1:21" x14ac:dyDescent="0.25">
      <c r="A580" s="2" t="s">
        <v>1042</v>
      </c>
      <c r="B580" s="2" t="s">
        <v>777</v>
      </c>
      <c r="C580" s="1">
        <v>45493</v>
      </c>
      <c r="D580" s="2" t="s">
        <v>38</v>
      </c>
      <c r="E580" s="2" t="s">
        <v>67</v>
      </c>
      <c r="F580" s="2" t="s">
        <v>94</v>
      </c>
      <c r="G580">
        <v>1</v>
      </c>
      <c r="H580" s="2" t="s">
        <v>56</v>
      </c>
      <c r="I580">
        <v>83.13</v>
      </c>
      <c r="J580">
        <v>0</v>
      </c>
      <c r="K580">
        <v>0</v>
      </c>
      <c r="L580">
        <v>38.82</v>
      </c>
      <c r="M580">
        <v>34.32</v>
      </c>
      <c r="N580">
        <v>0</v>
      </c>
      <c r="O580">
        <v>2.71</v>
      </c>
      <c r="P580" s="2" t="s">
        <v>42</v>
      </c>
      <c r="Q580">
        <v>0</v>
      </c>
      <c r="R580">
        <v>83.13</v>
      </c>
      <c r="S580">
        <v>75.849999999999994</v>
      </c>
      <c r="T580">
        <v>7.28</v>
      </c>
      <c r="U580">
        <f t="shared" si="8"/>
        <v>0</v>
      </c>
    </row>
    <row r="581" spans="1:21" x14ac:dyDescent="0.25">
      <c r="A581" s="2" t="s">
        <v>1043</v>
      </c>
      <c r="B581" s="2" t="s">
        <v>1044</v>
      </c>
      <c r="C581" s="1">
        <v>45602</v>
      </c>
      <c r="D581" s="2" t="s">
        <v>80</v>
      </c>
      <c r="E581" s="2" t="s">
        <v>71</v>
      </c>
      <c r="F581" s="2" t="s">
        <v>94</v>
      </c>
      <c r="G581">
        <v>3</v>
      </c>
      <c r="H581" s="2" t="s">
        <v>52</v>
      </c>
      <c r="I581">
        <v>123.31</v>
      </c>
      <c r="J581">
        <v>0</v>
      </c>
      <c r="K581">
        <v>0</v>
      </c>
      <c r="L581">
        <v>27.7</v>
      </c>
      <c r="M581">
        <v>47.08</v>
      </c>
      <c r="N581">
        <v>9.86</v>
      </c>
      <c r="O581">
        <v>3.88</v>
      </c>
      <c r="P581" s="2" t="s">
        <v>42</v>
      </c>
      <c r="Q581">
        <v>0</v>
      </c>
      <c r="R581">
        <v>123.31</v>
      </c>
      <c r="S581">
        <v>88.52</v>
      </c>
      <c r="T581">
        <v>34.79</v>
      </c>
      <c r="U581">
        <f t="shared" ref="U581:U644" si="9">IF(P579="Yes", 1, 0)</f>
        <v>0</v>
      </c>
    </row>
    <row r="582" spans="1:21" x14ac:dyDescent="0.25">
      <c r="A582" s="2" t="s">
        <v>1045</v>
      </c>
      <c r="B582" s="2" t="s">
        <v>729</v>
      </c>
      <c r="C582" s="1">
        <v>45626</v>
      </c>
      <c r="D582" s="2" t="s">
        <v>45</v>
      </c>
      <c r="E582" s="2" t="s">
        <v>39</v>
      </c>
      <c r="F582" s="2" t="s">
        <v>40</v>
      </c>
      <c r="G582">
        <v>2</v>
      </c>
      <c r="H582" s="2" t="s">
        <v>64</v>
      </c>
      <c r="I582">
        <v>223.74</v>
      </c>
      <c r="J582">
        <v>15</v>
      </c>
      <c r="K582">
        <v>33.56</v>
      </c>
      <c r="L582">
        <v>28.9</v>
      </c>
      <c r="M582">
        <v>80.790000000000006</v>
      </c>
      <c r="N582">
        <v>0</v>
      </c>
      <c r="O582">
        <v>5.82</v>
      </c>
      <c r="P582" s="2" t="s">
        <v>42</v>
      </c>
      <c r="Q582">
        <v>0</v>
      </c>
      <c r="R582">
        <v>190.18</v>
      </c>
      <c r="S582">
        <v>115.51</v>
      </c>
      <c r="T582">
        <v>74.67</v>
      </c>
      <c r="U582">
        <f t="shared" si="9"/>
        <v>0</v>
      </c>
    </row>
    <row r="583" spans="1:21" x14ac:dyDescent="0.25">
      <c r="A583" s="2" t="s">
        <v>1046</v>
      </c>
      <c r="B583" s="2" t="s">
        <v>455</v>
      </c>
      <c r="C583" s="1">
        <v>45435</v>
      </c>
      <c r="D583" s="2" t="s">
        <v>45</v>
      </c>
      <c r="E583" s="2" t="s">
        <v>55</v>
      </c>
      <c r="F583" s="2" t="s">
        <v>40</v>
      </c>
      <c r="G583">
        <v>2</v>
      </c>
      <c r="H583" s="2" t="s">
        <v>41</v>
      </c>
      <c r="I583">
        <v>148.05000000000001</v>
      </c>
      <c r="J583">
        <v>15</v>
      </c>
      <c r="K583">
        <v>22.21</v>
      </c>
      <c r="L583">
        <v>32.1</v>
      </c>
      <c r="M583">
        <v>59.89</v>
      </c>
      <c r="N583">
        <v>0</v>
      </c>
      <c r="O583">
        <v>3.95</v>
      </c>
      <c r="P583" s="2" t="s">
        <v>42</v>
      </c>
      <c r="Q583">
        <v>0</v>
      </c>
      <c r="R583">
        <v>125.84</v>
      </c>
      <c r="S583">
        <v>95.94</v>
      </c>
      <c r="T583">
        <v>29.9</v>
      </c>
      <c r="U583">
        <f t="shared" si="9"/>
        <v>0</v>
      </c>
    </row>
    <row r="584" spans="1:21" x14ac:dyDescent="0.25">
      <c r="A584" s="2" t="s">
        <v>1047</v>
      </c>
      <c r="B584" s="2" t="s">
        <v>1048</v>
      </c>
      <c r="C584" s="1">
        <v>45803</v>
      </c>
      <c r="D584" s="2" t="s">
        <v>45</v>
      </c>
      <c r="E584" s="2" t="s">
        <v>71</v>
      </c>
      <c r="F584" s="2" t="s">
        <v>94</v>
      </c>
      <c r="G584">
        <v>3</v>
      </c>
      <c r="H584" s="2" t="s">
        <v>111</v>
      </c>
      <c r="I584">
        <v>142.11000000000001</v>
      </c>
      <c r="J584">
        <v>0</v>
      </c>
      <c r="K584">
        <v>0</v>
      </c>
      <c r="L584">
        <v>30.74</v>
      </c>
      <c r="M584">
        <v>77.010000000000005</v>
      </c>
      <c r="N584">
        <v>0</v>
      </c>
      <c r="O584">
        <v>4.42</v>
      </c>
      <c r="P584" s="2" t="s">
        <v>42</v>
      </c>
      <c r="Q584">
        <v>0</v>
      </c>
      <c r="R584">
        <v>142.11000000000001</v>
      </c>
      <c r="S584">
        <v>112.17</v>
      </c>
      <c r="T584">
        <v>29.94</v>
      </c>
      <c r="U584">
        <f t="shared" si="9"/>
        <v>0</v>
      </c>
    </row>
    <row r="585" spans="1:21" x14ac:dyDescent="0.25">
      <c r="A585" s="2" t="s">
        <v>1049</v>
      </c>
      <c r="B585" s="2" t="s">
        <v>1050</v>
      </c>
      <c r="C585" s="1">
        <v>45991</v>
      </c>
      <c r="D585" s="2" t="s">
        <v>38</v>
      </c>
      <c r="E585" s="2" t="s">
        <v>55</v>
      </c>
      <c r="F585" s="2" t="s">
        <v>47</v>
      </c>
      <c r="G585">
        <v>2</v>
      </c>
      <c r="H585" s="2" t="s">
        <v>74</v>
      </c>
      <c r="I585">
        <v>143.81</v>
      </c>
      <c r="J585">
        <v>0</v>
      </c>
      <c r="K585">
        <v>0</v>
      </c>
      <c r="L585">
        <v>11</v>
      </c>
      <c r="M585">
        <v>44.26</v>
      </c>
      <c r="N585">
        <v>0</v>
      </c>
      <c r="O585">
        <v>4.47</v>
      </c>
      <c r="P585" s="2" t="s">
        <v>42</v>
      </c>
      <c r="Q585">
        <v>0</v>
      </c>
      <c r="R585">
        <v>143.81</v>
      </c>
      <c r="S585">
        <v>59.73</v>
      </c>
      <c r="T585">
        <v>84.08</v>
      </c>
      <c r="U585">
        <f t="shared" si="9"/>
        <v>0</v>
      </c>
    </row>
    <row r="586" spans="1:21" x14ac:dyDescent="0.25">
      <c r="A586" s="2" t="s">
        <v>1051</v>
      </c>
      <c r="B586" s="2" t="s">
        <v>342</v>
      </c>
      <c r="C586" s="1">
        <v>45529</v>
      </c>
      <c r="D586" s="2" t="s">
        <v>59</v>
      </c>
      <c r="E586" s="2" t="s">
        <v>71</v>
      </c>
      <c r="F586" s="2" t="s">
        <v>94</v>
      </c>
      <c r="G586">
        <v>1</v>
      </c>
      <c r="H586" s="2" t="s">
        <v>74</v>
      </c>
      <c r="I586">
        <v>19.41</v>
      </c>
      <c r="J586">
        <v>0</v>
      </c>
      <c r="K586">
        <v>0</v>
      </c>
      <c r="L586">
        <v>12.7</v>
      </c>
      <c r="M586">
        <v>8.4700000000000006</v>
      </c>
      <c r="N586">
        <v>2.91</v>
      </c>
      <c r="O586">
        <v>0.86</v>
      </c>
      <c r="P586" s="2" t="s">
        <v>42</v>
      </c>
      <c r="Q586">
        <v>0</v>
      </c>
      <c r="R586">
        <v>19.41</v>
      </c>
      <c r="S586">
        <v>24.94</v>
      </c>
      <c r="T586">
        <v>-5.53</v>
      </c>
      <c r="U586">
        <f t="shared" si="9"/>
        <v>0</v>
      </c>
    </row>
    <row r="587" spans="1:21" x14ac:dyDescent="0.25">
      <c r="A587" s="2" t="s">
        <v>1052</v>
      </c>
      <c r="B587" s="2" t="s">
        <v>1053</v>
      </c>
      <c r="C587" s="1">
        <v>45757</v>
      </c>
      <c r="D587" s="2" t="s">
        <v>80</v>
      </c>
      <c r="E587" s="2" t="s">
        <v>46</v>
      </c>
      <c r="F587" s="2" t="s">
        <v>51</v>
      </c>
      <c r="G587">
        <v>1</v>
      </c>
      <c r="H587" s="2" t="s">
        <v>41</v>
      </c>
      <c r="I587">
        <v>153.84</v>
      </c>
      <c r="J587">
        <v>10</v>
      </c>
      <c r="K587">
        <v>15.38</v>
      </c>
      <c r="L587">
        <v>37.14</v>
      </c>
      <c r="M587">
        <v>64.319999999999993</v>
      </c>
      <c r="N587">
        <v>11.08</v>
      </c>
      <c r="O587">
        <v>4.32</v>
      </c>
      <c r="P587" s="2" t="s">
        <v>42</v>
      </c>
      <c r="Q587">
        <v>0</v>
      </c>
      <c r="R587">
        <v>138.46</v>
      </c>
      <c r="S587">
        <v>116.86</v>
      </c>
      <c r="T587">
        <v>21.6</v>
      </c>
      <c r="U587">
        <f t="shared" si="9"/>
        <v>0</v>
      </c>
    </row>
    <row r="588" spans="1:21" x14ac:dyDescent="0.25">
      <c r="A588" s="2" t="s">
        <v>1054</v>
      </c>
      <c r="B588" s="2" t="s">
        <v>1055</v>
      </c>
      <c r="C588" s="1">
        <v>45774</v>
      </c>
      <c r="D588" s="2" t="s">
        <v>80</v>
      </c>
      <c r="E588" s="2" t="s">
        <v>55</v>
      </c>
      <c r="F588" s="2" t="s">
        <v>94</v>
      </c>
      <c r="G588">
        <v>1</v>
      </c>
      <c r="H588" s="2" t="s">
        <v>74</v>
      </c>
      <c r="I588">
        <v>9.48</v>
      </c>
      <c r="J588">
        <v>10</v>
      </c>
      <c r="K588">
        <v>0.95</v>
      </c>
      <c r="L588">
        <v>13.1</v>
      </c>
      <c r="M588">
        <v>3.49</v>
      </c>
      <c r="N588">
        <v>0.68</v>
      </c>
      <c r="O588">
        <v>0.55000000000000004</v>
      </c>
      <c r="P588" s="2" t="s">
        <v>42</v>
      </c>
      <c r="Q588">
        <v>0</v>
      </c>
      <c r="R588">
        <v>8.5299999999999994</v>
      </c>
      <c r="S588">
        <v>17.82</v>
      </c>
      <c r="T588">
        <v>-9.2899999999999991</v>
      </c>
      <c r="U588">
        <f t="shared" si="9"/>
        <v>0</v>
      </c>
    </row>
    <row r="589" spans="1:21" x14ac:dyDescent="0.25">
      <c r="A589" s="2" t="s">
        <v>1056</v>
      </c>
      <c r="B589" s="2" t="s">
        <v>1057</v>
      </c>
      <c r="C589" s="1">
        <v>45605</v>
      </c>
      <c r="D589" s="2" t="s">
        <v>45</v>
      </c>
      <c r="E589" s="2" t="s">
        <v>71</v>
      </c>
      <c r="F589" s="2" t="s">
        <v>94</v>
      </c>
      <c r="G589">
        <v>1</v>
      </c>
      <c r="H589" s="2" t="s">
        <v>111</v>
      </c>
      <c r="I589">
        <v>124.36</v>
      </c>
      <c r="J589">
        <v>0</v>
      </c>
      <c r="K589">
        <v>0</v>
      </c>
      <c r="L589">
        <v>12.12</v>
      </c>
      <c r="M589">
        <v>53.92</v>
      </c>
      <c r="N589">
        <v>0</v>
      </c>
      <c r="O589">
        <v>3.91</v>
      </c>
      <c r="P589" s="2" t="s">
        <v>42</v>
      </c>
      <c r="Q589">
        <v>0</v>
      </c>
      <c r="R589">
        <v>124.36</v>
      </c>
      <c r="S589">
        <v>69.95</v>
      </c>
      <c r="T589">
        <v>54.41</v>
      </c>
      <c r="U589">
        <f t="shared" si="9"/>
        <v>0</v>
      </c>
    </row>
    <row r="590" spans="1:21" x14ac:dyDescent="0.25">
      <c r="A590" s="2" t="s">
        <v>1058</v>
      </c>
      <c r="B590" s="2" t="s">
        <v>217</v>
      </c>
      <c r="C590" s="1">
        <v>45494</v>
      </c>
      <c r="D590" s="2" t="s">
        <v>38</v>
      </c>
      <c r="E590" s="2" t="s">
        <v>46</v>
      </c>
      <c r="F590" s="2" t="s">
        <v>94</v>
      </c>
      <c r="G590">
        <v>1</v>
      </c>
      <c r="H590" s="2" t="s">
        <v>56</v>
      </c>
      <c r="I590">
        <v>17.399999999999999</v>
      </c>
      <c r="J590">
        <v>15</v>
      </c>
      <c r="K590">
        <v>2.61</v>
      </c>
      <c r="L590">
        <v>12.3</v>
      </c>
      <c r="M590">
        <v>7.23</v>
      </c>
      <c r="N590">
        <v>0</v>
      </c>
      <c r="O590">
        <v>0.73</v>
      </c>
      <c r="P590" s="2" t="s">
        <v>42</v>
      </c>
      <c r="Q590">
        <v>0</v>
      </c>
      <c r="R590">
        <v>14.79</v>
      </c>
      <c r="S590">
        <v>20.260000000000002</v>
      </c>
      <c r="T590">
        <v>-5.47</v>
      </c>
      <c r="U590">
        <f t="shared" si="9"/>
        <v>0</v>
      </c>
    </row>
    <row r="591" spans="1:21" x14ac:dyDescent="0.25">
      <c r="A591" s="2" t="s">
        <v>1059</v>
      </c>
      <c r="B591" s="2" t="s">
        <v>1060</v>
      </c>
      <c r="C591" s="1">
        <v>45788</v>
      </c>
      <c r="D591" s="2" t="s">
        <v>59</v>
      </c>
      <c r="E591" s="2" t="s">
        <v>46</v>
      </c>
      <c r="F591" s="2" t="s">
        <v>94</v>
      </c>
      <c r="G591">
        <v>2</v>
      </c>
      <c r="H591" s="2" t="s">
        <v>41</v>
      </c>
      <c r="I591">
        <v>304.75</v>
      </c>
      <c r="J591">
        <v>25</v>
      </c>
      <c r="K591">
        <v>76.19</v>
      </c>
      <c r="L591">
        <v>44.72</v>
      </c>
      <c r="M591">
        <v>124.1</v>
      </c>
      <c r="N591">
        <v>34.28</v>
      </c>
      <c r="O591">
        <v>6.93</v>
      </c>
      <c r="P591" s="2" t="s">
        <v>42</v>
      </c>
      <c r="Q591">
        <v>0</v>
      </c>
      <c r="R591">
        <v>228.56</v>
      </c>
      <c r="S591">
        <v>210.03</v>
      </c>
      <c r="T591">
        <v>18.53</v>
      </c>
      <c r="U591">
        <f t="shared" si="9"/>
        <v>0</v>
      </c>
    </row>
    <row r="592" spans="1:21" x14ac:dyDescent="0.25">
      <c r="A592" s="2" t="s">
        <v>1061</v>
      </c>
      <c r="B592" s="2" t="s">
        <v>1062</v>
      </c>
      <c r="C592" s="1">
        <v>45885</v>
      </c>
      <c r="D592" s="2" t="s">
        <v>80</v>
      </c>
      <c r="E592" s="2" t="s">
        <v>71</v>
      </c>
      <c r="F592" s="2" t="s">
        <v>85</v>
      </c>
      <c r="G592">
        <v>3</v>
      </c>
      <c r="H592" s="2" t="s">
        <v>48</v>
      </c>
      <c r="I592">
        <v>281.44</v>
      </c>
      <c r="J592">
        <v>0</v>
      </c>
      <c r="K592">
        <v>0</v>
      </c>
      <c r="L592">
        <v>41.1</v>
      </c>
      <c r="M592">
        <v>144.07</v>
      </c>
      <c r="N592">
        <v>22.52</v>
      </c>
      <c r="O592">
        <v>8.4600000000000009</v>
      </c>
      <c r="P592" s="2" t="s">
        <v>42</v>
      </c>
      <c r="Q592">
        <v>0</v>
      </c>
      <c r="R592">
        <v>281.44</v>
      </c>
      <c r="S592">
        <v>216.15</v>
      </c>
      <c r="T592">
        <v>65.290000000000006</v>
      </c>
      <c r="U592">
        <f t="shared" si="9"/>
        <v>0</v>
      </c>
    </row>
    <row r="593" spans="1:21" x14ac:dyDescent="0.25">
      <c r="A593" s="2" t="s">
        <v>1063</v>
      </c>
      <c r="B593" s="2" t="s">
        <v>1064</v>
      </c>
      <c r="C593" s="1">
        <v>45901</v>
      </c>
      <c r="D593" s="2" t="s">
        <v>59</v>
      </c>
      <c r="E593" s="2" t="s">
        <v>46</v>
      </c>
      <c r="F593" s="2" t="s">
        <v>47</v>
      </c>
      <c r="G593">
        <v>1</v>
      </c>
      <c r="H593" s="2" t="s">
        <v>64</v>
      </c>
      <c r="I593">
        <v>24.88</v>
      </c>
      <c r="J593">
        <v>0</v>
      </c>
      <c r="K593">
        <v>0</v>
      </c>
      <c r="L593">
        <v>7.02</v>
      </c>
      <c r="M593">
        <v>13.77</v>
      </c>
      <c r="N593">
        <v>3.73</v>
      </c>
      <c r="O593">
        <v>1.02</v>
      </c>
      <c r="P593" s="2" t="s">
        <v>42</v>
      </c>
      <c r="Q593">
        <v>0</v>
      </c>
      <c r="R593">
        <v>24.88</v>
      </c>
      <c r="S593">
        <v>25.54</v>
      </c>
      <c r="T593">
        <v>-0.66</v>
      </c>
      <c r="U593">
        <f t="shared" si="9"/>
        <v>0</v>
      </c>
    </row>
    <row r="594" spans="1:21" x14ac:dyDescent="0.25">
      <c r="A594" s="2" t="s">
        <v>1065</v>
      </c>
      <c r="B594" s="2" t="s">
        <v>878</v>
      </c>
      <c r="C594" s="1">
        <v>45824</v>
      </c>
      <c r="D594" s="2" t="s">
        <v>80</v>
      </c>
      <c r="E594" s="2" t="s">
        <v>67</v>
      </c>
      <c r="F594" s="2" t="s">
        <v>85</v>
      </c>
      <c r="G594">
        <v>2</v>
      </c>
      <c r="H594" s="2" t="s">
        <v>74</v>
      </c>
      <c r="I594">
        <v>247.69</v>
      </c>
      <c r="J594">
        <v>15</v>
      </c>
      <c r="K594">
        <v>37.15</v>
      </c>
      <c r="L594">
        <v>42.96</v>
      </c>
      <c r="M594">
        <v>88.7</v>
      </c>
      <c r="N594">
        <v>16.84</v>
      </c>
      <c r="O594">
        <v>6.41</v>
      </c>
      <c r="P594" s="2" t="s">
        <v>42</v>
      </c>
      <c r="Q594">
        <v>0</v>
      </c>
      <c r="R594">
        <v>210.54</v>
      </c>
      <c r="S594">
        <v>154.91</v>
      </c>
      <c r="T594">
        <v>55.63</v>
      </c>
      <c r="U594">
        <f t="shared" si="9"/>
        <v>0</v>
      </c>
    </row>
    <row r="595" spans="1:21" x14ac:dyDescent="0.25">
      <c r="A595" s="2" t="s">
        <v>1066</v>
      </c>
      <c r="B595" s="2" t="s">
        <v>342</v>
      </c>
      <c r="C595" s="1">
        <v>45676</v>
      </c>
      <c r="D595" s="2" t="s">
        <v>59</v>
      </c>
      <c r="E595" s="2" t="s">
        <v>46</v>
      </c>
      <c r="F595" s="2" t="s">
        <v>94</v>
      </c>
      <c r="G595">
        <v>1</v>
      </c>
      <c r="H595" s="2" t="s">
        <v>77</v>
      </c>
      <c r="I595">
        <v>30.61</v>
      </c>
      <c r="J595">
        <v>10</v>
      </c>
      <c r="K595">
        <v>3.06</v>
      </c>
      <c r="L595">
        <v>9.9</v>
      </c>
      <c r="M595">
        <v>9.18</v>
      </c>
      <c r="N595">
        <v>4.13</v>
      </c>
      <c r="O595">
        <v>1.1000000000000001</v>
      </c>
      <c r="P595" s="2" t="s">
        <v>42</v>
      </c>
      <c r="Q595">
        <v>0</v>
      </c>
      <c r="R595">
        <v>27.55</v>
      </c>
      <c r="S595">
        <v>24.31</v>
      </c>
      <c r="T595">
        <v>3.24</v>
      </c>
      <c r="U595">
        <f t="shared" si="9"/>
        <v>0</v>
      </c>
    </row>
    <row r="596" spans="1:21" x14ac:dyDescent="0.25">
      <c r="A596" s="2" t="s">
        <v>1067</v>
      </c>
      <c r="B596" s="2" t="s">
        <v>810</v>
      </c>
      <c r="C596" s="1">
        <v>45797</v>
      </c>
      <c r="D596" s="2" t="s">
        <v>45</v>
      </c>
      <c r="E596" s="2" t="s">
        <v>55</v>
      </c>
      <c r="F596" s="2" t="s">
        <v>85</v>
      </c>
      <c r="G596">
        <v>1</v>
      </c>
      <c r="H596" s="2" t="s">
        <v>74</v>
      </c>
      <c r="I596">
        <v>334.92</v>
      </c>
      <c r="J596">
        <v>10</v>
      </c>
      <c r="K596">
        <v>33.49</v>
      </c>
      <c r="L596">
        <v>42.66</v>
      </c>
      <c r="M596">
        <v>113.52</v>
      </c>
      <c r="N596">
        <v>0</v>
      </c>
      <c r="O596">
        <v>9.0399999999999991</v>
      </c>
      <c r="P596" s="2" t="s">
        <v>68</v>
      </c>
      <c r="Q596">
        <v>301.43</v>
      </c>
      <c r="R596">
        <v>0</v>
      </c>
      <c r="S596">
        <v>165.22</v>
      </c>
      <c r="T596">
        <v>-165.22</v>
      </c>
      <c r="U596">
        <f t="shared" si="9"/>
        <v>0</v>
      </c>
    </row>
    <row r="597" spans="1:21" x14ac:dyDescent="0.25">
      <c r="A597" s="2" t="s">
        <v>1068</v>
      </c>
      <c r="B597" s="2" t="s">
        <v>922</v>
      </c>
      <c r="C597" s="1">
        <v>45928</v>
      </c>
      <c r="D597" s="2" t="s">
        <v>45</v>
      </c>
      <c r="E597" s="2" t="s">
        <v>46</v>
      </c>
      <c r="F597" s="2" t="s">
        <v>51</v>
      </c>
      <c r="G597">
        <v>1</v>
      </c>
      <c r="H597" s="2" t="s">
        <v>77</v>
      </c>
      <c r="I597">
        <v>10.41</v>
      </c>
      <c r="J597">
        <v>5</v>
      </c>
      <c r="K597">
        <v>0.52</v>
      </c>
      <c r="L597">
        <v>9.58</v>
      </c>
      <c r="M597">
        <v>4.5599999999999996</v>
      </c>
      <c r="N597">
        <v>0</v>
      </c>
      <c r="O597">
        <v>0.59</v>
      </c>
      <c r="P597" s="2" t="s">
        <v>42</v>
      </c>
      <c r="Q597">
        <v>0</v>
      </c>
      <c r="R597">
        <v>9.89</v>
      </c>
      <c r="S597">
        <v>14.73</v>
      </c>
      <c r="T597">
        <v>-4.84</v>
      </c>
      <c r="U597">
        <f t="shared" si="9"/>
        <v>0</v>
      </c>
    </row>
    <row r="598" spans="1:21" x14ac:dyDescent="0.25">
      <c r="A598" s="2" t="s">
        <v>1069</v>
      </c>
      <c r="B598" s="2" t="s">
        <v>1070</v>
      </c>
      <c r="C598" s="1">
        <v>45659</v>
      </c>
      <c r="D598" s="2" t="s">
        <v>59</v>
      </c>
      <c r="E598" s="2" t="s">
        <v>39</v>
      </c>
      <c r="F598" s="2" t="s">
        <v>94</v>
      </c>
      <c r="G598">
        <v>2</v>
      </c>
      <c r="H598" s="2" t="s">
        <v>74</v>
      </c>
      <c r="I598">
        <v>182.51</v>
      </c>
      <c r="J598">
        <v>0</v>
      </c>
      <c r="K598">
        <v>0</v>
      </c>
      <c r="L598">
        <v>16.920000000000002</v>
      </c>
      <c r="M598">
        <v>65.19</v>
      </c>
      <c r="N598">
        <v>27.38</v>
      </c>
      <c r="O598">
        <v>5.59</v>
      </c>
      <c r="P598" s="2" t="s">
        <v>42</v>
      </c>
      <c r="Q598">
        <v>0</v>
      </c>
      <c r="R598">
        <v>182.51</v>
      </c>
      <c r="S598">
        <v>115.08</v>
      </c>
      <c r="T598">
        <v>67.430000000000007</v>
      </c>
      <c r="U598">
        <f t="shared" si="9"/>
        <v>1</v>
      </c>
    </row>
    <row r="599" spans="1:21" x14ac:dyDescent="0.25">
      <c r="A599" s="2" t="s">
        <v>1071</v>
      </c>
      <c r="B599" s="2" t="s">
        <v>1072</v>
      </c>
      <c r="C599" s="1">
        <v>45767</v>
      </c>
      <c r="D599" s="2" t="s">
        <v>38</v>
      </c>
      <c r="E599" s="2" t="s">
        <v>67</v>
      </c>
      <c r="F599" s="2" t="s">
        <v>40</v>
      </c>
      <c r="G599">
        <v>3</v>
      </c>
      <c r="H599" s="2" t="s">
        <v>111</v>
      </c>
      <c r="I599">
        <v>91.6</v>
      </c>
      <c r="J599">
        <v>25</v>
      </c>
      <c r="K599">
        <v>22.9</v>
      </c>
      <c r="L599">
        <v>21.7</v>
      </c>
      <c r="M599">
        <v>38.369999999999997</v>
      </c>
      <c r="N599">
        <v>0</v>
      </c>
      <c r="O599">
        <v>2.29</v>
      </c>
      <c r="P599" s="2" t="s">
        <v>42</v>
      </c>
      <c r="Q599">
        <v>0</v>
      </c>
      <c r="R599">
        <v>68.7</v>
      </c>
      <c r="S599">
        <v>62.36</v>
      </c>
      <c r="T599">
        <v>6.34</v>
      </c>
      <c r="U599">
        <f t="shared" si="9"/>
        <v>0</v>
      </c>
    </row>
    <row r="600" spans="1:21" x14ac:dyDescent="0.25">
      <c r="A600" s="2" t="s">
        <v>1073</v>
      </c>
      <c r="B600" s="2" t="s">
        <v>1013</v>
      </c>
      <c r="C600" s="1">
        <v>45481</v>
      </c>
      <c r="D600" s="2" t="s">
        <v>45</v>
      </c>
      <c r="E600" s="2" t="s">
        <v>46</v>
      </c>
      <c r="F600" s="2" t="s">
        <v>94</v>
      </c>
      <c r="G600">
        <v>1</v>
      </c>
      <c r="H600" s="2" t="s">
        <v>48</v>
      </c>
      <c r="I600">
        <v>11.11</v>
      </c>
      <c r="J600">
        <v>10</v>
      </c>
      <c r="K600">
        <v>1.1100000000000001</v>
      </c>
      <c r="L600">
        <v>10.94</v>
      </c>
      <c r="M600">
        <v>7.31</v>
      </c>
      <c r="N600">
        <v>0</v>
      </c>
      <c r="O600">
        <v>0.59</v>
      </c>
      <c r="P600" s="2" t="s">
        <v>42</v>
      </c>
      <c r="Q600">
        <v>0</v>
      </c>
      <c r="R600">
        <v>10</v>
      </c>
      <c r="S600">
        <v>18.84</v>
      </c>
      <c r="T600">
        <v>-8.84</v>
      </c>
      <c r="U600">
        <f t="shared" si="9"/>
        <v>0</v>
      </c>
    </row>
    <row r="601" spans="1:21" x14ac:dyDescent="0.25">
      <c r="A601" s="2" t="s">
        <v>1074</v>
      </c>
      <c r="B601" s="2" t="s">
        <v>102</v>
      </c>
      <c r="C601" s="1">
        <v>45455</v>
      </c>
      <c r="D601" s="2" t="s">
        <v>45</v>
      </c>
      <c r="E601" s="2" t="s">
        <v>46</v>
      </c>
      <c r="F601" s="2" t="s">
        <v>94</v>
      </c>
      <c r="G601">
        <v>1</v>
      </c>
      <c r="H601" s="2" t="s">
        <v>74</v>
      </c>
      <c r="I601">
        <v>9.48</v>
      </c>
      <c r="J601">
        <v>5</v>
      </c>
      <c r="K601">
        <v>0.47</v>
      </c>
      <c r="L601">
        <v>13.1</v>
      </c>
      <c r="M601">
        <v>3.49</v>
      </c>
      <c r="N601">
        <v>0</v>
      </c>
      <c r="O601">
        <v>0.56000000000000005</v>
      </c>
      <c r="P601" s="2" t="s">
        <v>42</v>
      </c>
      <c r="Q601">
        <v>0</v>
      </c>
      <c r="R601">
        <v>9.01</v>
      </c>
      <c r="S601">
        <v>17.149999999999999</v>
      </c>
      <c r="T601">
        <v>-8.14</v>
      </c>
      <c r="U601">
        <f t="shared" si="9"/>
        <v>0</v>
      </c>
    </row>
    <row r="602" spans="1:21" x14ac:dyDescent="0.25">
      <c r="A602" s="2" t="s">
        <v>1075</v>
      </c>
      <c r="B602" s="2" t="s">
        <v>1076</v>
      </c>
      <c r="C602" s="1">
        <v>45520</v>
      </c>
      <c r="D602" s="2" t="s">
        <v>59</v>
      </c>
      <c r="E602" s="2" t="s">
        <v>67</v>
      </c>
      <c r="F602" s="2" t="s">
        <v>85</v>
      </c>
      <c r="G602">
        <v>1</v>
      </c>
      <c r="H602" s="2" t="s">
        <v>48</v>
      </c>
      <c r="I602">
        <v>23.64</v>
      </c>
      <c r="J602">
        <v>0</v>
      </c>
      <c r="K602">
        <v>0</v>
      </c>
      <c r="L602">
        <v>23.8</v>
      </c>
      <c r="M602">
        <v>11.62</v>
      </c>
      <c r="N602">
        <v>3.55</v>
      </c>
      <c r="O602">
        <v>0.99</v>
      </c>
      <c r="P602" s="2" t="s">
        <v>42</v>
      </c>
      <c r="Q602">
        <v>0</v>
      </c>
      <c r="R602">
        <v>23.64</v>
      </c>
      <c r="S602">
        <v>39.96</v>
      </c>
      <c r="T602">
        <v>-16.32</v>
      </c>
      <c r="U602">
        <f t="shared" si="9"/>
        <v>0</v>
      </c>
    </row>
    <row r="603" spans="1:21" x14ac:dyDescent="0.25">
      <c r="A603" s="2" t="s">
        <v>1077</v>
      </c>
      <c r="B603" s="2" t="s">
        <v>593</v>
      </c>
      <c r="C603" s="1">
        <v>45804</v>
      </c>
      <c r="D603" s="2" t="s">
        <v>80</v>
      </c>
      <c r="E603" s="2" t="s">
        <v>67</v>
      </c>
      <c r="F603" s="2" t="s">
        <v>40</v>
      </c>
      <c r="G603">
        <v>1</v>
      </c>
      <c r="H603" s="2" t="s">
        <v>74</v>
      </c>
      <c r="I603">
        <v>27.16</v>
      </c>
      <c r="J603">
        <v>20</v>
      </c>
      <c r="K603">
        <v>5.43</v>
      </c>
      <c r="L603">
        <v>11.34</v>
      </c>
      <c r="M603">
        <v>13.64</v>
      </c>
      <c r="N603">
        <v>1.74</v>
      </c>
      <c r="O603">
        <v>0.93</v>
      </c>
      <c r="P603" s="2" t="s">
        <v>42</v>
      </c>
      <c r="Q603">
        <v>0</v>
      </c>
      <c r="R603">
        <v>21.73</v>
      </c>
      <c r="S603">
        <v>27.65</v>
      </c>
      <c r="T603">
        <v>-5.92</v>
      </c>
      <c r="U603">
        <f t="shared" si="9"/>
        <v>0</v>
      </c>
    </row>
    <row r="604" spans="1:21" x14ac:dyDescent="0.25">
      <c r="A604" s="2" t="s">
        <v>1078</v>
      </c>
      <c r="B604" s="2" t="s">
        <v>412</v>
      </c>
      <c r="C604" s="1">
        <v>45884</v>
      </c>
      <c r="D604" s="2" t="s">
        <v>38</v>
      </c>
      <c r="E604" s="2" t="s">
        <v>55</v>
      </c>
      <c r="F604" s="2" t="s">
        <v>94</v>
      </c>
      <c r="G604">
        <v>1</v>
      </c>
      <c r="H604" s="2" t="s">
        <v>64</v>
      </c>
      <c r="I604">
        <v>50.13</v>
      </c>
      <c r="J604">
        <v>0</v>
      </c>
      <c r="K604">
        <v>0</v>
      </c>
      <c r="L604">
        <v>4.22</v>
      </c>
      <c r="M604">
        <v>31.64</v>
      </c>
      <c r="N604">
        <v>0</v>
      </c>
      <c r="O604">
        <v>1.75</v>
      </c>
      <c r="P604" s="2" t="s">
        <v>42</v>
      </c>
      <c r="Q604">
        <v>0</v>
      </c>
      <c r="R604">
        <v>50.13</v>
      </c>
      <c r="S604">
        <v>37.61</v>
      </c>
      <c r="T604">
        <v>12.52</v>
      </c>
      <c r="U604">
        <f t="shared" si="9"/>
        <v>0</v>
      </c>
    </row>
    <row r="605" spans="1:21" x14ac:dyDescent="0.25">
      <c r="A605" s="2" t="s">
        <v>1079</v>
      </c>
      <c r="B605" s="2" t="s">
        <v>774</v>
      </c>
      <c r="C605" s="1">
        <v>45750</v>
      </c>
      <c r="D605" s="2" t="s">
        <v>38</v>
      </c>
      <c r="E605" s="2" t="s">
        <v>46</v>
      </c>
      <c r="F605" s="2" t="s">
        <v>51</v>
      </c>
      <c r="G605">
        <v>1</v>
      </c>
      <c r="H605" s="2" t="s">
        <v>74</v>
      </c>
      <c r="I605">
        <v>50.95</v>
      </c>
      <c r="J605">
        <v>0</v>
      </c>
      <c r="K605">
        <v>0</v>
      </c>
      <c r="L605">
        <v>14.38</v>
      </c>
      <c r="M605">
        <v>18.739999999999998</v>
      </c>
      <c r="N605">
        <v>0</v>
      </c>
      <c r="O605">
        <v>1.78</v>
      </c>
      <c r="P605" s="2" t="s">
        <v>42</v>
      </c>
      <c r="Q605">
        <v>0</v>
      </c>
      <c r="R605">
        <v>50.95</v>
      </c>
      <c r="S605">
        <v>34.9</v>
      </c>
      <c r="T605">
        <v>16.05</v>
      </c>
      <c r="U605">
        <f t="shared" si="9"/>
        <v>0</v>
      </c>
    </row>
    <row r="606" spans="1:21" x14ac:dyDescent="0.25">
      <c r="A606" s="2" t="s">
        <v>1080</v>
      </c>
      <c r="B606" s="2" t="s">
        <v>1081</v>
      </c>
      <c r="C606" s="1">
        <v>45908</v>
      </c>
      <c r="D606" s="2" t="s">
        <v>45</v>
      </c>
      <c r="E606" s="2" t="s">
        <v>55</v>
      </c>
      <c r="F606" s="2" t="s">
        <v>85</v>
      </c>
      <c r="G606">
        <v>3</v>
      </c>
      <c r="H606" s="2" t="s">
        <v>52</v>
      </c>
      <c r="I606">
        <v>306.14</v>
      </c>
      <c r="J606">
        <v>0</v>
      </c>
      <c r="K606">
        <v>0</v>
      </c>
      <c r="L606">
        <v>34.76</v>
      </c>
      <c r="M606">
        <v>143.36000000000001</v>
      </c>
      <c r="N606">
        <v>0</v>
      </c>
      <c r="O606">
        <v>9.18</v>
      </c>
      <c r="P606" s="2" t="s">
        <v>42</v>
      </c>
      <c r="Q606">
        <v>0</v>
      </c>
      <c r="R606">
        <v>306.14</v>
      </c>
      <c r="S606">
        <v>187.3</v>
      </c>
      <c r="T606">
        <v>118.84</v>
      </c>
      <c r="U606">
        <f t="shared" si="9"/>
        <v>0</v>
      </c>
    </row>
    <row r="607" spans="1:21" x14ac:dyDescent="0.25">
      <c r="A607" s="2" t="s">
        <v>1082</v>
      </c>
      <c r="B607" s="2" t="s">
        <v>1083</v>
      </c>
      <c r="C607" s="1">
        <v>45653</v>
      </c>
      <c r="D607" s="2" t="s">
        <v>59</v>
      </c>
      <c r="E607" s="2" t="s">
        <v>46</v>
      </c>
      <c r="F607" s="2" t="s">
        <v>40</v>
      </c>
      <c r="G607">
        <v>3</v>
      </c>
      <c r="H607" s="2" t="s">
        <v>77</v>
      </c>
      <c r="I607">
        <v>87.45</v>
      </c>
      <c r="J607">
        <v>10</v>
      </c>
      <c r="K607">
        <v>8.74</v>
      </c>
      <c r="L607">
        <v>24.1</v>
      </c>
      <c r="M607">
        <v>42.32</v>
      </c>
      <c r="N607">
        <v>11.81</v>
      </c>
      <c r="O607">
        <v>2.58</v>
      </c>
      <c r="P607" s="2" t="s">
        <v>42</v>
      </c>
      <c r="Q607">
        <v>0</v>
      </c>
      <c r="R607">
        <v>78.709999999999994</v>
      </c>
      <c r="S607">
        <v>80.81</v>
      </c>
      <c r="T607">
        <v>-2.1</v>
      </c>
      <c r="U607">
        <f t="shared" si="9"/>
        <v>0</v>
      </c>
    </row>
    <row r="608" spans="1:21" x14ac:dyDescent="0.25">
      <c r="A608" s="2" t="s">
        <v>1084</v>
      </c>
      <c r="B608" s="2" t="s">
        <v>348</v>
      </c>
      <c r="C608" s="1">
        <v>45953</v>
      </c>
      <c r="D608" s="2" t="s">
        <v>45</v>
      </c>
      <c r="E608" s="2" t="s">
        <v>67</v>
      </c>
      <c r="F608" s="2" t="s">
        <v>40</v>
      </c>
      <c r="G608">
        <v>1</v>
      </c>
      <c r="H608" s="2" t="s">
        <v>48</v>
      </c>
      <c r="I608">
        <v>39.11</v>
      </c>
      <c r="J608">
        <v>10</v>
      </c>
      <c r="K608">
        <v>3.91</v>
      </c>
      <c r="L608">
        <v>9.82</v>
      </c>
      <c r="M608">
        <v>15.9</v>
      </c>
      <c r="N608">
        <v>0</v>
      </c>
      <c r="O608">
        <v>1.32</v>
      </c>
      <c r="P608" s="2" t="s">
        <v>42</v>
      </c>
      <c r="Q608">
        <v>0</v>
      </c>
      <c r="R608">
        <v>35.200000000000003</v>
      </c>
      <c r="S608">
        <v>27.04</v>
      </c>
      <c r="T608">
        <v>8.16</v>
      </c>
      <c r="U608">
        <f t="shared" si="9"/>
        <v>0</v>
      </c>
    </row>
    <row r="609" spans="1:21" x14ac:dyDescent="0.25">
      <c r="A609" s="2" t="s">
        <v>1085</v>
      </c>
      <c r="B609" s="2" t="s">
        <v>1086</v>
      </c>
      <c r="C609" s="1">
        <v>45808</v>
      </c>
      <c r="D609" s="2" t="s">
        <v>45</v>
      </c>
      <c r="E609" s="2" t="s">
        <v>46</v>
      </c>
      <c r="F609" s="2" t="s">
        <v>40</v>
      </c>
      <c r="G609">
        <v>3</v>
      </c>
      <c r="H609" s="2" t="s">
        <v>74</v>
      </c>
      <c r="I609">
        <v>123.95</v>
      </c>
      <c r="J609">
        <v>0</v>
      </c>
      <c r="K609">
        <v>0</v>
      </c>
      <c r="L609">
        <v>36.020000000000003</v>
      </c>
      <c r="M609">
        <v>51.93</v>
      </c>
      <c r="N609">
        <v>0</v>
      </c>
      <c r="O609">
        <v>3.89</v>
      </c>
      <c r="P609" s="2" t="s">
        <v>42</v>
      </c>
      <c r="Q609">
        <v>0</v>
      </c>
      <c r="R609">
        <v>123.95</v>
      </c>
      <c r="S609">
        <v>91.84</v>
      </c>
      <c r="T609">
        <v>32.11</v>
      </c>
      <c r="U609">
        <f t="shared" si="9"/>
        <v>0</v>
      </c>
    </row>
    <row r="610" spans="1:21" x14ac:dyDescent="0.25">
      <c r="A610" s="2" t="s">
        <v>1087</v>
      </c>
      <c r="B610" s="2" t="s">
        <v>477</v>
      </c>
      <c r="C610" s="1">
        <v>45661</v>
      </c>
      <c r="D610" s="2" t="s">
        <v>80</v>
      </c>
      <c r="E610" s="2" t="s">
        <v>46</v>
      </c>
      <c r="F610" s="2" t="s">
        <v>47</v>
      </c>
      <c r="G610">
        <v>2</v>
      </c>
      <c r="H610" s="2" t="s">
        <v>77</v>
      </c>
      <c r="I610">
        <v>80.31</v>
      </c>
      <c r="J610">
        <v>5</v>
      </c>
      <c r="K610">
        <v>4.0199999999999996</v>
      </c>
      <c r="L610">
        <v>24.92</v>
      </c>
      <c r="M610">
        <v>42.67</v>
      </c>
      <c r="N610">
        <v>6.1</v>
      </c>
      <c r="O610">
        <v>2.5099999999999998</v>
      </c>
      <c r="P610" s="2" t="s">
        <v>42</v>
      </c>
      <c r="Q610">
        <v>0</v>
      </c>
      <c r="R610">
        <v>76.290000000000006</v>
      </c>
      <c r="S610">
        <v>76.2</v>
      </c>
      <c r="T610">
        <v>0.09</v>
      </c>
      <c r="U610">
        <f t="shared" si="9"/>
        <v>0</v>
      </c>
    </row>
    <row r="611" spans="1:21" x14ac:dyDescent="0.25">
      <c r="A611" s="2" t="s">
        <v>1088</v>
      </c>
      <c r="B611" s="2" t="s">
        <v>129</v>
      </c>
      <c r="C611" s="1">
        <v>45802</v>
      </c>
      <c r="D611" s="2" t="s">
        <v>45</v>
      </c>
      <c r="E611" s="2" t="s">
        <v>67</v>
      </c>
      <c r="F611" s="2" t="s">
        <v>47</v>
      </c>
      <c r="G611">
        <v>2</v>
      </c>
      <c r="H611" s="2" t="s">
        <v>48</v>
      </c>
      <c r="I611">
        <v>140.91999999999999</v>
      </c>
      <c r="J611">
        <v>20</v>
      </c>
      <c r="K611">
        <v>28.18</v>
      </c>
      <c r="L611">
        <v>27.14</v>
      </c>
      <c r="M611">
        <v>52.59</v>
      </c>
      <c r="N611">
        <v>0</v>
      </c>
      <c r="O611">
        <v>3.57</v>
      </c>
      <c r="P611" s="2" t="s">
        <v>42</v>
      </c>
      <c r="Q611">
        <v>0</v>
      </c>
      <c r="R611">
        <v>112.74</v>
      </c>
      <c r="S611">
        <v>83.3</v>
      </c>
      <c r="T611">
        <v>29.44</v>
      </c>
      <c r="U611">
        <f t="shared" si="9"/>
        <v>0</v>
      </c>
    </row>
    <row r="612" spans="1:21" x14ac:dyDescent="0.25">
      <c r="A612" s="2" t="s">
        <v>1089</v>
      </c>
      <c r="B612" s="2" t="s">
        <v>1090</v>
      </c>
      <c r="C612" s="1">
        <v>45549</v>
      </c>
      <c r="D612" s="2" t="s">
        <v>45</v>
      </c>
      <c r="E612" s="2" t="s">
        <v>46</v>
      </c>
      <c r="F612" s="2" t="s">
        <v>85</v>
      </c>
      <c r="G612">
        <v>2</v>
      </c>
      <c r="H612" s="2" t="s">
        <v>52</v>
      </c>
      <c r="I612">
        <v>121.02</v>
      </c>
      <c r="J612">
        <v>25</v>
      </c>
      <c r="K612">
        <v>30.26</v>
      </c>
      <c r="L612">
        <v>22.1</v>
      </c>
      <c r="M612">
        <v>61.75</v>
      </c>
      <c r="N612">
        <v>0</v>
      </c>
      <c r="O612">
        <v>2.93</v>
      </c>
      <c r="P612" s="2" t="s">
        <v>42</v>
      </c>
      <c r="Q612">
        <v>0</v>
      </c>
      <c r="R612">
        <v>90.76</v>
      </c>
      <c r="S612">
        <v>86.78</v>
      </c>
      <c r="T612">
        <v>3.98</v>
      </c>
      <c r="U612">
        <f t="shared" si="9"/>
        <v>0</v>
      </c>
    </row>
    <row r="613" spans="1:21" x14ac:dyDescent="0.25">
      <c r="A613" s="2" t="s">
        <v>1091</v>
      </c>
      <c r="B613" s="2" t="s">
        <v>1092</v>
      </c>
      <c r="C613" s="1">
        <v>45803</v>
      </c>
      <c r="D613" s="2" t="s">
        <v>45</v>
      </c>
      <c r="E613" s="2" t="s">
        <v>71</v>
      </c>
      <c r="F613" s="2" t="s">
        <v>85</v>
      </c>
      <c r="G613">
        <v>1</v>
      </c>
      <c r="H613" s="2" t="s">
        <v>41</v>
      </c>
      <c r="I613">
        <v>20.67</v>
      </c>
      <c r="J613">
        <v>25</v>
      </c>
      <c r="K613">
        <v>5.17</v>
      </c>
      <c r="L613">
        <v>4.3</v>
      </c>
      <c r="M613">
        <v>5.96</v>
      </c>
      <c r="N613">
        <v>0</v>
      </c>
      <c r="O613">
        <v>0.75</v>
      </c>
      <c r="P613" s="2" t="s">
        <v>42</v>
      </c>
      <c r="Q613">
        <v>0</v>
      </c>
      <c r="R613">
        <v>15.5</v>
      </c>
      <c r="S613">
        <v>11.01</v>
      </c>
      <c r="T613">
        <v>4.49</v>
      </c>
      <c r="U613">
        <f t="shared" si="9"/>
        <v>0</v>
      </c>
    </row>
    <row r="614" spans="1:21" x14ac:dyDescent="0.25">
      <c r="A614" s="2" t="s">
        <v>1093</v>
      </c>
      <c r="B614" s="2" t="s">
        <v>856</v>
      </c>
      <c r="C614" s="1">
        <v>45816</v>
      </c>
      <c r="D614" s="2" t="s">
        <v>59</v>
      </c>
      <c r="E614" s="2" t="s">
        <v>55</v>
      </c>
      <c r="F614" s="2" t="s">
        <v>94</v>
      </c>
      <c r="G614">
        <v>2</v>
      </c>
      <c r="H614" s="2" t="s">
        <v>74</v>
      </c>
      <c r="I614">
        <v>135.75</v>
      </c>
      <c r="J614">
        <v>5</v>
      </c>
      <c r="K614">
        <v>6.79</v>
      </c>
      <c r="L614">
        <v>14.76</v>
      </c>
      <c r="M614">
        <v>43.47</v>
      </c>
      <c r="N614">
        <v>19.34</v>
      </c>
      <c r="O614">
        <v>4.04</v>
      </c>
      <c r="P614" s="2" t="s">
        <v>42</v>
      </c>
      <c r="Q614">
        <v>0</v>
      </c>
      <c r="R614">
        <v>128.96</v>
      </c>
      <c r="S614">
        <v>81.61</v>
      </c>
      <c r="T614">
        <v>47.35</v>
      </c>
      <c r="U614">
        <f t="shared" si="9"/>
        <v>0</v>
      </c>
    </row>
    <row r="615" spans="1:21" x14ac:dyDescent="0.25">
      <c r="A615" s="2" t="s">
        <v>1094</v>
      </c>
      <c r="B615" s="2" t="s">
        <v>540</v>
      </c>
      <c r="C615" s="1">
        <v>45603</v>
      </c>
      <c r="D615" s="2" t="s">
        <v>80</v>
      </c>
      <c r="E615" s="2" t="s">
        <v>67</v>
      </c>
      <c r="F615" s="2" t="s">
        <v>40</v>
      </c>
      <c r="G615">
        <v>2</v>
      </c>
      <c r="H615" s="2" t="s">
        <v>64</v>
      </c>
      <c r="I615">
        <v>145.9</v>
      </c>
      <c r="J615">
        <v>5</v>
      </c>
      <c r="K615">
        <v>7.29</v>
      </c>
      <c r="L615">
        <v>26.42</v>
      </c>
      <c r="M615">
        <v>62.04</v>
      </c>
      <c r="N615">
        <v>11.09</v>
      </c>
      <c r="O615">
        <v>4.32</v>
      </c>
      <c r="P615" s="2" t="s">
        <v>42</v>
      </c>
      <c r="Q615">
        <v>0</v>
      </c>
      <c r="R615">
        <v>138.61000000000001</v>
      </c>
      <c r="S615">
        <v>103.87</v>
      </c>
      <c r="T615">
        <v>34.74</v>
      </c>
      <c r="U615">
        <f t="shared" si="9"/>
        <v>0</v>
      </c>
    </row>
    <row r="616" spans="1:21" x14ac:dyDescent="0.25">
      <c r="A616" s="2" t="s">
        <v>1095</v>
      </c>
      <c r="B616" s="2" t="s">
        <v>1096</v>
      </c>
      <c r="C616" s="1">
        <v>45751</v>
      </c>
      <c r="D616" s="2" t="s">
        <v>38</v>
      </c>
      <c r="E616" s="2" t="s">
        <v>46</v>
      </c>
      <c r="F616" s="2" t="s">
        <v>47</v>
      </c>
      <c r="G616">
        <v>2</v>
      </c>
      <c r="H616" s="2" t="s">
        <v>64</v>
      </c>
      <c r="I616">
        <v>184.88</v>
      </c>
      <c r="J616">
        <v>5</v>
      </c>
      <c r="K616">
        <v>9.24</v>
      </c>
      <c r="L616">
        <v>30.1</v>
      </c>
      <c r="M616">
        <v>76.88</v>
      </c>
      <c r="N616">
        <v>0</v>
      </c>
      <c r="O616">
        <v>5.39</v>
      </c>
      <c r="P616" s="2" t="s">
        <v>42</v>
      </c>
      <c r="Q616">
        <v>0</v>
      </c>
      <c r="R616">
        <v>175.64</v>
      </c>
      <c r="S616">
        <v>112.37</v>
      </c>
      <c r="T616">
        <v>63.27</v>
      </c>
      <c r="U616">
        <f t="shared" si="9"/>
        <v>0</v>
      </c>
    </row>
    <row r="617" spans="1:21" x14ac:dyDescent="0.25">
      <c r="A617" s="2" t="s">
        <v>1097</v>
      </c>
      <c r="B617" s="2" t="s">
        <v>1098</v>
      </c>
      <c r="C617" s="1">
        <v>45604</v>
      </c>
      <c r="D617" s="2" t="s">
        <v>45</v>
      </c>
      <c r="E617" s="2" t="s">
        <v>71</v>
      </c>
      <c r="F617" s="2" t="s">
        <v>40</v>
      </c>
      <c r="G617">
        <v>2</v>
      </c>
      <c r="H617" s="2" t="s">
        <v>41</v>
      </c>
      <c r="I617">
        <v>297.56</v>
      </c>
      <c r="J617">
        <v>25</v>
      </c>
      <c r="K617">
        <v>74.39</v>
      </c>
      <c r="L617">
        <v>19.32</v>
      </c>
      <c r="M617">
        <v>93.78</v>
      </c>
      <c r="N617">
        <v>0</v>
      </c>
      <c r="O617">
        <v>6.77</v>
      </c>
      <c r="P617" s="2" t="s">
        <v>42</v>
      </c>
      <c r="Q617">
        <v>0</v>
      </c>
      <c r="R617">
        <v>223.17</v>
      </c>
      <c r="S617">
        <v>119.87</v>
      </c>
      <c r="T617">
        <v>103.3</v>
      </c>
      <c r="U617">
        <f t="shared" si="9"/>
        <v>0</v>
      </c>
    </row>
    <row r="618" spans="1:21" x14ac:dyDescent="0.25">
      <c r="A618" s="2" t="s">
        <v>1099</v>
      </c>
      <c r="B618" s="2" t="s">
        <v>1100</v>
      </c>
      <c r="C618" s="1">
        <v>45833</v>
      </c>
      <c r="D618" s="2" t="s">
        <v>59</v>
      </c>
      <c r="E618" s="2" t="s">
        <v>46</v>
      </c>
      <c r="F618" s="2" t="s">
        <v>51</v>
      </c>
      <c r="G618">
        <v>2</v>
      </c>
      <c r="H618" s="2" t="s">
        <v>64</v>
      </c>
      <c r="I618">
        <v>84.53</v>
      </c>
      <c r="J618">
        <v>10</v>
      </c>
      <c r="K618">
        <v>8.4499999999999993</v>
      </c>
      <c r="L618">
        <v>18.440000000000001</v>
      </c>
      <c r="M618">
        <v>44.64</v>
      </c>
      <c r="N618">
        <v>11.41</v>
      </c>
      <c r="O618">
        <v>2.5099999999999998</v>
      </c>
      <c r="P618" s="2" t="s">
        <v>42</v>
      </c>
      <c r="Q618">
        <v>0</v>
      </c>
      <c r="R618">
        <v>76.08</v>
      </c>
      <c r="S618">
        <v>77</v>
      </c>
      <c r="T618">
        <v>-0.92</v>
      </c>
      <c r="U618">
        <f t="shared" si="9"/>
        <v>0</v>
      </c>
    </row>
    <row r="619" spans="1:21" x14ac:dyDescent="0.25">
      <c r="A619" s="2" t="s">
        <v>1101</v>
      </c>
      <c r="B619" s="2" t="s">
        <v>1102</v>
      </c>
      <c r="C619" s="1">
        <v>45778</v>
      </c>
      <c r="D619" s="2" t="s">
        <v>38</v>
      </c>
      <c r="E619" s="2" t="s">
        <v>46</v>
      </c>
      <c r="F619" s="2" t="s">
        <v>94</v>
      </c>
      <c r="G619">
        <v>1</v>
      </c>
      <c r="H619" s="2" t="s">
        <v>48</v>
      </c>
      <c r="I619">
        <v>11.11</v>
      </c>
      <c r="J619">
        <v>0</v>
      </c>
      <c r="K619">
        <v>0</v>
      </c>
      <c r="L619">
        <v>10.94</v>
      </c>
      <c r="M619">
        <v>7.31</v>
      </c>
      <c r="N619">
        <v>0</v>
      </c>
      <c r="O619">
        <v>0.62</v>
      </c>
      <c r="P619" s="2" t="s">
        <v>42</v>
      </c>
      <c r="Q619">
        <v>0</v>
      </c>
      <c r="R619">
        <v>11.11</v>
      </c>
      <c r="S619">
        <v>18.87</v>
      </c>
      <c r="T619">
        <v>-7.76</v>
      </c>
      <c r="U619">
        <f t="shared" si="9"/>
        <v>0</v>
      </c>
    </row>
    <row r="620" spans="1:21" x14ac:dyDescent="0.25">
      <c r="A620" s="2" t="s">
        <v>1103</v>
      </c>
      <c r="B620" s="2" t="s">
        <v>475</v>
      </c>
      <c r="C620" s="1">
        <v>45689</v>
      </c>
      <c r="D620" s="2" t="s">
        <v>38</v>
      </c>
      <c r="E620" s="2" t="s">
        <v>46</v>
      </c>
      <c r="F620" s="2" t="s">
        <v>40</v>
      </c>
      <c r="G620">
        <v>2</v>
      </c>
      <c r="H620" s="2" t="s">
        <v>48</v>
      </c>
      <c r="I620">
        <v>127.35</v>
      </c>
      <c r="J620">
        <v>10</v>
      </c>
      <c r="K620">
        <v>12.73</v>
      </c>
      <c r="L620">
        <v>22.52</v>
      </c>
      <c r="M620">
        <v>43.3</v>
      </c>
      <c r="N620">
        <v>0</v>
      </c>
      <c r="O620">
        <v>3.62</v>
      </c>
      <c r="P620" s="2" t="s">
        <v>68</v>
      </c>
      <c r="Q620">
        <v>114.62</v>
      </c>
      <c r="R620">
        <v>0</v>
      </c>
      <c r="S620">
        <v>69.44</v>
      </c>
      <c r="T620">
        <v>-69.44</v>
      </c>
      <c r="U620">
        <f t="shared" si="9"/>
        <v>0</v>
      </c>
    </row>
    <row r="621" spans="1:21" x14ac:dyDescent="0.25">
      <c r="A621" s="2" t="s">
        <v>1104</v>
      </c>
      <c r="B621" s="2" t="s">
        <v>552</v>
      </c>
      <c r="C621" s="1">
        <v>45731</v>
      </c>
      <c r="D621" s="2" t="s">
        <v>45</v>
      </c>
      <c r="E621" s="2" t="s">
        <v>46</v>
      </c>
      <c r="F621" s="2" t="s">
        <v>40</v>
      </c>
      <c r="G621">
        <v>1</v>
      </c>
      <c r="H621" s="2" t="s">
        <v>56</v>
      </c>
      <c r="I621">
        <v>6.95</v>
      </c>
      <c r="J621">
        <v>0</v>
      </c>
      <c r="K621">
        <v>0</v>
      </c>
      <c r="L621">
        <v>7.98</v>
      </c>
      <c r="M621">
        <v>4.8499999999999996</v>
      </c>
      <c r="N621">
        <v>0</v>
      </c>
      <c r="O621">
        <v>0.5</v>
      </c>
      <c r="P621" s="2" t="s">
        <v>42</v>
      </c>
      <c r="Q621">
        <v>0</v>
      </c>
      <c r="R621">
        <v>6.95</v>
      </c>
      <c r="S621">
        <v>13.33</v>
      </c>
      <c r="T621">
        <v>-6.38</v>
      </c>
      <c r="U621">
        <f t="shared" si="9"/>
        <v>0</v>
      </c>
    </row>
    <row r="622" spans="1:21" x14ac:dyDescent="0.25">
      <c r="A622" s="2" t="s">
        <v>1105</v>
      </c>
      <c r="B622" s="2" t="s">
        <v>1106</v>
      </c>
      <c r="C622" s="1">
        <v>45722</v>
      </c>
      <c r="D622" s="2" t="s">
        <v>45</v>
      </c>
      <c r="E622" s="2" t="s">
        <v>46</v>
      </c>
      <c r="F622" s="2" t="s">
        <v>40</v>
      </c>
      <c r="G622">
        <v>1</v>
      </c>
      <c r="H622" s="2" t="s">
        <v>74</v>
      </c>
      <c r="I622">
        <v>59.14</v>
      </c>
      <c r="J622">
        <v>10</v>
      </c>
      <c r="K622">
        <v>5.91</v>
      </c>
      <c r="L622">
        <v>24.28</v>
      </c>
      <c r="M622">
        <v>41.32</v>
      </c>
      <c r="N622">
        <v>0</v>
      </c>
      <c r="O622">
        <v>1.84</v>
      </c>
      <c r="P622" s="2" t="s">
        <v>42</v>
      </c>
      <c r="Q622">
        <v>0</v>
      </c>
      <c r="R622">
        <v>53.23</v>
      </c>
      <c r="S622">
        <v>67.44</v>
      </c>
      <c r="T622">
        <v>-14.21</v>
      </c>
      <c r="U622">
        <f t="shared" si="9"/>
        <v>1</v>
      </c>
    </row>
    <row r="623" spans="1:21" x14ac:dyDescent="0.25">
      <c r="A623" s="2" t="s">
        <v>1107</v>
      </c>
      <c r="B623" s="2" t="s">
        <v>564</v>
      </c>
      <c r="C623" s="1">
        <v>45743</v>
      </c>
      <c r="D623" s="2" t="s">
        <v>59</v>
      </c>
      <c r="E623" s="2" t="s">
        <v>46</v>
      </c>
      <c r="F623" s="2" t="s">
        <v>47</v>
      </c>
      <c r="G623">
        <v>2</v>
      </c>
      <c r="H623" s="2" t="s">
        <v>74</v>
      </c>
      <c r="I623">
        <v>62.14</v>
      </c>
      <c r="J623">
        <v>10</v>
      </c>
      <c r="K623">
        <v>6.21</v>
      </c>
      <c r="L623">
        <v>18.68</v>
      </c>
      <c r="M623">
        <v>18.5</v>
      </c>
      <c r="N623">
        <v>8.39</v>
      </c>
      <c r="O623">
        <v>1.92</v>
      </c>
      <c r="P623" s="2" t="s">
        <v>42</v>
      </c>
      <c r="Q623">
        <v>0</v>
      </c>
      <c r="R623">
        <v>55.93</v>
      </c>
      <c r="S623">
        <v>47.49</v>
      </c>
      <c r="T623">
        <v>8.44</v>
      </c>
      <c r="U623">
        <f t="shared" si="9"/>
        <v>0</v>
      </c>
    </row>
    <row r="624" spans="1:21" x14ac:dyDescent="0.25">
      <c r="A624" s="2" t="s">
        <v>1108</v>
      </c>
      <c r="B624" s="2" t="s">
        <v>826</v>
      </c>
      <c r="C624" s="1">
        <v>45735</v>
      </c>
      <c r="D624" s="2" t="s">
        <v>45</v>
      </c>
      <c r="E624" s="2" t="s">
        <v>46</v>
      </c>
      <c r="F624" s="2" t="s">
        <v>85</v>
      </c>
      <c r="G624">
        <v>1</v>
      </c>
      <c r="H624" s="2" t="s">
        <v>74</v>
      </c>
      <c r="I624">
        <v>110.36</v>
      </c>
      <c r="J624">
        <v>0</v>
      </c>
      <c r="K624">
        <v>0</v>
      </c>
      <c r="L624">
        <v>5.0999999999999996</v>
      </c>
      <c r="M624">
        <v>37.85</v>
      </c>
      <c r="N624">
        <v>0</v>
      </c>
      <c r="O624">
        <v>3.5</v>
      </c>
      <c r="P624" s="2" t="s">
        <v>42</v>
      </c>
      <c r="Q624">
        <v>0</v>
      </c>
      <c r="R624">
        <v>110.36</v>
      </c>
      <c r="S624">
        <v>46.45</v>
      </c>
      <c r="T624">
        <v>63.91</v>
      </c>
      <c r="U624">
        <f t="shared" si="9"/>
        <v>0</v>
      </c>
    </row>
    <row r="625" spans="1:21" x14ac:dyDescent="0.25">
      <c r="A625" s="2" t="s">
        <v>1109</v>
      </c>
      <c r="B625" s="2" t="s">
        <v>73</v>
      </c>
      <c r="C625" s="1">
        <v>45499</v>
      </c>
      <c r="D625" s="2" t="s">
        <v>38</v>
      </c>
      <c r="E625" s="2" t="s">
        <v>71</v>
      </c>
      <c r="F625" s="2" t="s">
        <v>40</v>
      </c>
      <c r="G625">
        <v>4</v>
      </c>
      <c r="H625" s="2" t="s">
        <v>77</v>
      </c>
      <c r="I625">
        <v>268.52999999999997</v>
      </c>
      <c r="J625">
        <v>0</v>
      </c>
      <c r="K625">
        <v>0</v>
      </c>
      <c r="L625">
        <v>51.18</v>
      </c>
      <c r="M625">
        <v>89.18</v>
      </c>
      <c r="N625">
        <v>0</v>
      </c>
      <c r="O625">
        <v>8.09</v>
      </c>
      <c r="P625" s="2" t="s">
        <v>42</v>
      </c>
      <c r="Q625">
        <v>0</v>
      </c>
      <c r="R625">
        <v>268.52999999999997</v>
      </c>
      <c r="S625">
        <v>148.44999999999999</v>
      </c>
      <c r="T625">
        <v>120.08</v>
      </c>
      <c r="U625">
        <f t="shared" si="9"/>
        <v>0</v>
      </c>
    </row>
    <row r="626" spans="1:21" x14ac:dyDescent="0.25">
      <c r="A626" s="2" t="s">
        <v>1110</v>
      </c>
      <c r="B626" s="2" t="s">
        <v>1111</v>
      </c>
      <c r="C626" s="1">
        <v>45812</v>
      </c>
      <c r="D626" s="2" t="s">
        <v>45</v>
      </c>
      <c r="E626" s="2" t="s">
        <v>71</v>
      </c>
      <c r="F626" s="2" t="s">
        <v>47</v>
      </c>
      <c r="G626">
        <v>3</v>
      </c>
      <c r="H626" s="2" t="s">
        <v>77</v>
      </c>
      <c r="I626">
        <v>180.42</v>
      </c>
      <c r="J626">
        <v>10</v>
      </c>
      <c r="K626">
        <v>18.04</v>
      </c>
      <c r="L626">
        <v>47.68</v>
      </c>
      <c r="M626">
        <v>84.5</v>
      </c>
      <c r="N626">
        <v>0</v>
      </c>
      <c r="O626">
        <v>5.01</v>
      </c>
      <c r="P626" s="2" t="s">
        <v>42</v>
      </c>
      <c r="Q626">
        <v>0</v>
      </c>
      <c r="R626">
        <v>162.38</v>
      </c>
      <c r="S626">
        <v>137.19</v>
      </c>
      <c r="T626">
        <v>25.19</v>
      </c>
      <c r="U626">
        <f t="shared" si="9"/>
        <v>0</v>
      </c>
    </row>
    <row r="627" spans="1:21" x14ac:dyDescent="0.25">
      <c r="A627" s="2" t="s">
        <v>1112</v>
      </c>
      <c r="B627" s="2" t="s">
        <v>431</v>
      </c>
      <c r="C627" s="1">
        <v>45590</v>
      </c>
      <c r="D627" s="2" t="s">
        <v>45</v>
      </c>
      <c r="E627" s="2" t="s">
        <v>46</v>
      </c>
      <c r="F627" s="2" t="s">
        <v>47</v>
      </c>
      <c r="G627">
        <v>3</v>
      </c>
      <c r="H627" s="2" t="s">
        <v>64</v>
      </c>
      <c r="I627">
        <v>27.05</v>
      </c>
      <c r="J627">
        <v>0</v>
      </c>
      <c r="K627">
        <v>0</v>
      </c>
      <c r="L627">
        <v>35.92</v>
      </c>
      <c r="M627">
        <v>17.61</v>
      </c>
      <c r="N627">
        <v>0</v>
      </c>
      <c r="O627">
        <v>1.08</v>
      </c>
      <c r="P627" s="2" t="s">
        <v>42</v>
      </c>
      <c r="Q627">
        <v>0</v>
      </c>
      <c r="R627">
        <v>27.05</v>
      </c>
      <c r="S627">
        <v>54.61</v>
      </c>
      <c r="T627">
        <v>-27.56</v>
      </c>
      <c r="U627">
        <f t="shared" si="9"/>
        <v>0</v>
      </c>
    </row>
    <row r="628" spans="1:21" x14ac:dyDescent="0.25">
      <c r="A628" s="2" t="s">
        <v>1113</v>
      </c>
      <c r="B628" s="2" t="s">
        <v>207</v>
      </c>
      <c r="C628" s="1">
        <v>45823</v>
      </c>
      <c r="D628" s="2" t="s">
        <v>38</v>
      </c>
      <c r="E628" s="2" t="s">
        <v>71</v>
      </c>
      <c r="F628" s="2" t="s">
        <v>40</v>
      </c>
      <c r="G628">
        <v>4</v>
      </c>
      <c r="H628" s="2" t="s">
        <v>74</v>
      </c>
      <c r="I628">
        <v>144.44999999999999</v>
      </c>
      <c r="J628">
        <v>20</v>
      </c>
      <c r="K628">
        <v>28.89</v>
      </c>
      <c r="L628">
        <v>72.12</v>
      </c>
      <c r="M628">
        <v>69.16</v>
      </c>
      <c r="N628">
        <v>0</v>
      </c>
      <c r="O628">
        <v>3.65</v>
      </c>
      <c r="P628" s="2" t="s">
        <v>42</v>
      </c>
      <c r="Q628">
        <v>0</v>
      </c>
      <c r="R628">
        <v>115.56</v>
      </c>
      <c r="S628">
        <v>144.93</v>
      </c>
      <c r="T628">
        <v>-29.37</v>
      </c>
      <c r="U628">
        <f t="shared" si="9"/>
        <v>0</v>
      </c>
    </row>
    <row r="629" spans="1:21" x14ac:dyDescent="0.25">
      <c r="A629" s="2" t="s">
        <v>1114</v>
      </c>
      <c r="B629" s="2" t="s">
        <v>384</v>
      </c>
      <c r="C629" s="1">
        <v>45766</v>
      </c>
      <c r="D629" s="2" t="s">
        <v>45</v>
      </c>
      <c r="E629" s="2" t="s">
        <v>39</v>
      </c>
      <c r="F629" s="2" t="s">
        <v>85</v>
      </c>
      <c r="G629">
        <v>2</v>
      </c>
      <c r="H629" s="2" t="s">
        <v>111</v>
      </c>
      <c r="I629">
        <v>151.35</v>
      </c>
      <c r="J629">
        <v>0</v>
      </c>
      <c r="K629">
        <v>0</v>
      </c>
      <c r="L629">
        <v>19.239999999999998</v>
      </c>
      <c r="M629">
        <v>63.85</v>
      </c>
      <c r="N629">
        <v>0</v>
      </c>
      <c r="O629">
        <v>4.6900000000000004</v>
      </c>
      <c r="P629" s="2" t="s">
        <v>42</v>
      </c>
      <c r="Q629">
        <v>0</v>
      </c>
      <c r="R629">
        <v>151.35</v>
      </c>
      <c r="S629">
        <v>87.78</v>
      </c>
      <c r="T629">
        <v>63.57</v>
      </c>
      <c r="U629">
        <f t="shared" si="9"/>
        <v>0</v>
      </c>
    </row>
    <row r="630" spans="1:21" x14ac:dyDescent="0.25">
      <c r="A630" s="2" t="s">
        <v>1115</v>
      </c>
      <c r="B630" s="2" t="s">
        <v>801</v>
      </c>
      <c r="C630" s="1">
        <v>45711</v>
      </c>
      <c r="D630" s="2" t="s">
        <v>45</v>
      </c>
      <c r="E630" s="2" t="s">
        <v>46</v>
      </c>
      <c r="F630" s="2" t="s">
        <v>51</v>
      </c>
      <c r="G630">
        <v>1</v>
      </c>
      <c r="H630" s="2" t="s">
        <v>64</v>
      </c>
      <c r="I630">
        <v>60.28</v>
      </c>
      <c r="J630">
        <v>0</v>
      </c>
      <c r="K630">
        <v>0</v>
      </c>
      <c r="L630">
        <v>14.3</v>
      </c>
      <c r="M630">
        <v>30.21</v>
      </c>
      <c r="N630">
        <v>0</v>
      </c>
      <c r="O630">
        <v>2.0499999999999998</v>
      </c>
      <c r="P630" s="2" t="s">
        <v>42</v>
      </c>
      <c r="Q630">
        <v>0</v>
      </c>
      <c r="R630">
        <v>60.28</v>
      </c>
      <c r="S630">
        <v>46.56</v>
      </c>
      <c r="T630">
        <v>13.72</v>
      </c>
      <c r="U630">
        <f t="shared" si="9"/>
        <v>0</v>
      </c>
    </row>
    <row r="631" spans="1:21" x14ac:dyDescent="0.25">
      <c r="A631" s="2" t="s">
        <v>1116</v>
      </c>
      <c r="B631" s="2" t="s">
        <v>1117</v>
      </c>
      <c r="C631" s="1">
        <v>45659</v>
      </c>
      <c r="D631" s="2" t="s">
        <v>38</v>
      </c>
      <c r="E631" s="2" t="s">
        <v>55</v>
      </c>
      <c r="F631" s="2" t="s">
        <v>40</v>
      </c>
      <c r="G631">
        <v>1</v>
      </c>
      <c r="H631" s="2" t="s">
        <v>56</v>
      </c>
      <c r="I631">
        <v>38.81</v>
      </c>
      <c r="J631">
        <v>25</v>
      </c>
      <c r="K631">
        <v>9.6999999999999993</v>
      </c>
      <c r="L631">
        <v>11.42</v>
      </c>
      <c r="M631">
        <v>16.55</v>
      </c>
      <c r="N631">
        <v>0</v>
      </c>
      <c r="O631">
        <v>1.1399999999999999</v>
      </c>
      <c r="P631" s="2" t="s">
        <v>42</v>
      </c>
      <c r="Q631">
        <v>0</v>
      </c>
      <c r="R631">
        <v>29.11</v>
      </c>
      <c r="S631">
        <v>29.11</v>
      </c>
      <c r="T631">
        <v>0</v>
      </c>
      <c r="U631">
        <f t="shared" si="9"/>
        <v>0</v>
      </c>
    </row>
    <row r="632" spans="1:21" x14ac:dyDescent="0.25">
      <c r="A632" s="2" t="s">
        <v>1118</v>
      </c>
      <c r="B632" s="2" t="s">
        <v>1119</v>
      </c>
      <c r="C632" s="1">
        <v>45739</v>
      </c>
      <c r="D632" s="2" t="s">
        <v>45</v>
      </c>
      <c r="E632" s="2" t="s">
        <v>46</v>
      </c>
      <c r="F632" s="2" t="s">
        <v>85</v>
      </c>
      <c r="G632">
        <v>1</v>
      </c>
      <c r="H632" s="2" t="s">
        <v>74</v>
      </c>
      <c r="I632">
        <v>52.69</v>
      </c>
      <c r="J632">
        <v>0</v>
      </c>
      <c r="K632">
        <v>0</v>
      </c>
      <c r="L632">
        <v>5.82</v>
      </c>
      <c r="M632">
        <v>23.14</v>
      </c>
      <c r="N632">
        <v>0</v>
      </c>
      <c r="O632">
        <v>1.83</v>
      </c>
      <c r="P632" s="2" t="s">
        <v>42</v>
      </c>
      <c r="Q632">
        <v>0</v>
      </c>
      <c r="R632">
        <v>52.69</v>
      </c>
      <c r="S632">
        <v>30.79</v>
      </c>
      <c r="T632">
        <v>21.9</v>
      </c>
      <c r="U632">
        <f t="shared" si="9"/>
        <v>0</v>
      </c>
    </row>
    <row r="633" spans="1:21" x14ac:dyDescent="0.25">
      <c r="A633" s="2" t="s">
        <v>1120</v>
      </c>
      <c r="B633" s="2" t="s">
        <v>678</v>
      </c>
      <c r="C633" s="1">
        <v>45799</v>
      </c>
      <c r="D633" s="2" t="s">
        <v>45</v>
      </c>
      <c r="E633" s="2" t="s">
        <v>55</v>
      </c>
      <c r="F633" s="2" t="s">
        <v>85</v>
      </c>
      <c r="G633">
        <v>1</v>
      </c>
      <c r="H633" s="2" t="s">
        <v>48</v>
      </c>
      <c r="I633">
        <v>155.06</v>
      </c>
      <c r="J633">
        <v>10</v>
      </c>
      <c r="K633">
        <v>15.51</v>
      </c>
      <c r="L633">
        <v>9.56</v>
      </c>
      <c r="M633">
        <v>49.66</v>
      </c>
      <c r="N633">
        <v>0</v>
      </c>
      <c r="O633">
        <v>4.3499999999999996</v>
      </c>
      <c r="P633" s="2" t="s">
        <v>42</v>
      </c>
      <c r="Q633">
        <v>0</v>
      </c>
      <c r="R633">
        <v>139.55000000000001</v>
      </c>
      <c r="S633">
        <v>63.57</v>
      </c>
      <c r="T633">
        <v>75.98</v>
      </c>
      <c r="U633">
        <f t="shared" si="9"/>
        <v>0</v>
      </c>
    </row>
    <row r="634" spans="1:21" x14ac:dyDescent="0.25">
      <c r="A634" s="2" t="s">
        <v>1121</v>
      </c>
      <c r="B634" s="2" t="s">
        <v>1122</v>
      </c>
      <c r="C634" s="1">
        <v>45473</v>
      </c>
      <c r="D634" s="2" t="s">
        <v>38</v>
      </c>
      <c r="E634" s="2" t="s">
        <v>46</v>
      </c>
      <c r="F634" s="2" t="s">
        <v>47</v>
      </c>
      <c r="G634">
        <v>1</v>
      </c>
      <c r="H634" s="2" t="s">
        <v>56</v>
      </c>
      <c r="I634">
        <v>27.92</v>
      </c>
      <c r="J634">
        <v>0</v>
      </c>
      <c r="K634">
        <v>0</v>
      </c>
      <c r="L634">
        <v>10.36</v>
      </c>
      <c r="M634">
        <v>14.12</v>
      </c>
      <c r="N634">
        <v>0</v>
      </c>
      <c r="O634">
        <v>1.1100000000000001</v>
      </c>
      <c r="P634" s="2" t="s">
        <v>42</v>
      </c>
      <c r="Q634">
        <v>0</v>
      </c>
      <c r="R634">
        <v>27.92</v>
      </c>
      <c r="S634">
        <v>25.59</v>
      </c>
      <c r="T634">
        <v>2.33</v>
      </c>
      <c r="U634">
        <f t="shared" si="9"/>
        <v>0</v>
      </c>
    </row>
    <row r="635" spans="1:21" x14ac:dyDescent="0.25">
      <c r="A635" s="2" t="s">
        <v>1123</v>
      </c>
      <c r="B635" s="2" t="s">
        <v>386</v>
      </c>
      <c r="C635" s="1">
        <v>45854</v>
      </c>
      <c r="D635" s="2" t="s">
        <v>80</v>
      </c>
      <c r="E635" s="2" t="s">
        <v>67</v>
      </c>
      <c r="F635" s="2" t="s">
        <v>94</v>
      </c>
      <c r="G635">
        <v>2</v>
      </c>
      <c r="H635" s="2" t="s">
        <v>52</v>
      </c>
      <c r="I635">
        <v>115.52</v>
      </c>
      <c r="J635">
        <v>0</v>
      </c>
      <c r="K635">
        <v>0</v>
      </c>
      <c r="L635">
        <v>20.399999999999999</v>
      </c>
      <c r="M635">
        <v>36.76</v>
      </c>
      <c r="N635">
        <v>9.24</v>
      </c>
      <c r="O635">
        <v>3.65</v>
      </c>
      <c r="P635" s="2" t="s">
        <v>42</v>
      </c>
      <c r="Q635">
        <v>0</v>
      </c>
      <c r="R635">
        <v>115.52</v>
      </c>
      <c r="S635">
        <v>70.05</v>
      </c>
      <c r="T635">
        <v>45.47</v>
      </c>
      <c r="U635">
        <f t="shared" si="9"/>
        <v>0</v>
      </c>
    </row>
    <row r="636" spans="1:21" x14ac:dyDescent="0.25">
      <c r="A636" s="2" t="s">
        <v>1124</v>
      </c>
      <c r="B636" s="2" t="s">
        <v>1125</v>
      </c>
      <c r="C636" s="1">
        <v>45663</v>
      </c>
      <c r="D636" s="2" t="s">
        <v>80</v>
      </c>
      <c r="E636" s="2" t="s">
        <v>46</v>
      </c>
      <c r="F636" s="2" t="s">
        <v>85</v>
      </c>
      <c r="G636">
        <v>1</v>
      </c>
      <c r="H636" s="2" t="s">
        <v>41</v>
      </c>
      <c r="I636">
        <v>102</v>
      </c>
      <c r="J636">
        <v>10</v>
      </c>
      <c r="K636">
        <v>10.199999999999999</v>
      </c>
      <c r="L636">
        <v>40.98</v>
      </c>
      <c r="M636">
        <v>65.760000000000005</v>
      </c>
      <c r="N636">
        <v>7.34</v>
      </c>
      <c r="O636">
        <v>2.96</v>
      </c>
      <c r="P636" s="2" t="s">
        <v>42</v>
      </c>
      <c r="Q636">
        <v>0</v>
      </c>
      <c r="R636">
        <v>91.8</v>
      </c>
      <c r="S636">
        <v>117.04</v>
      </c>
      <c r="T636">
        <v>-25.24</v>
      </c>
      <c r="U636">
        <f t="shared" si="9"/>
        <v>0</v>
      </c>
    </row>
    <row r="637" spans="1:21" x14ac:dyDescent="0.25">
      <c r="A637" s="2" t="s">
        <v>1126</v>
      </c>
      <c r="B637" s="2" t="s">
        <v>184</v>
      </c>
      <c r="C637" s="1">
        <v>45854</v>
      </c>
      <c r="D637" s="2" t="s">
        <v>38</v>
      </c>
      <c r="E637" s="2" t="s">
        <v>55</v>
      </c>
      <c r="F637" s="2" t="s">
        <v>94</v>
      </c>
      <c r="G637">
        <v>3</v>
      </c>
      <c r="H637" s="2" t="s">
        <v>74</v>
      </c>
      <c r="I637">
        <v>144.63</v>
      </c>
      <c r="J637">
        <v>0</v>
      </c>
      <c r="K637">
        <v>0</v>
      </c>
      <c r="L637">
        <v>29.86</v>
      </c>
      <c r="M637">
        <v>58.27</v>
      </c>
      <c r="N637">
        <v>0</v>
      </c>
      <c r="O637">
        <v>4.49</v>
      </c>
      <c r="P637" s="2" t="s">
        <v>42</v>
      </c>
      <c r="Q637">
        <v>0</v>
      </c>
      <c r="R637">
        <v>144.63</v>
      </c>
      <c r="S637">
        <v>92.62</v>
      </c>
      <c r="T637">
        <v>52.01</v>
      </c>
      <c r="U637">
        <f t="shared" si="9"/>
        <v>0</v>
      </c>
    </row>
    <row r="638" spans="1:21" x14ac:dyDescent="0.25">
      <c r="A638" s="2" t="s">
        <v>1127</v>
      </c>
      <c r="B638" s="2" t="s">
        <v>293</v>
      </c>
      <c r="C638" s="1">
        <v>45576</v>
      </c>
      <c r="D638" s="2" t="s">
        <v>59</v>
      </c>
      <c r="E638" s="2" t="s">
        <v>46</v>
      </c>
      <c r="F638" s="2" t="s">
        <v>94</v>
      </c>
      <c r="G638">
        <v>1</v>
      </c>
      <c r="H638" s="2" t="s">
        <v>77</v>
      </c>
      <c r="I638">
        <v>32.380000000000003</v>
      </c>
      <c r="J638">
        <v>25</v>
      </c>
      <c r="K638">
        <v>8.1</v>
      </c>
      <c r="L638">
        <v>29.4</v>
      </c>
      <c r="M638">
        <v>11.78</v>
      </c>
      <c r="N638">
        <v>3.64</v>
      </c>
      <c r="O638">
        <v>1</v>
      </c>
      <c r="P638" s="2" t="s">
        <v>42</v>
      </c>
      <c r="Q638">
        <v>0</v>
      </c>
      <c r="R638">
        <v>24.28</v>
      </c>
      <c r="S638">
        <v>45.82</v>
      </c>
      <c r="T638">
        <v>-21.54</v>
      </c>
      <c r="U638">
        <f t="shared" si="9"/>
        <v>0</v>
      </c>
    </row>
    <row r="639" spans="1:21" x14ac:dyDescent="0.25">
      <c r="A639" s="2" t="s">
        <v>1128</v>
      </c>
      <c r="B639" s="2" t="s">
        <v>1129</v>
      </c>
      <c r="C639" s="1">
        <v>45865</v>
      </c>
      <c r="D639" s="2" t="s">
        <v>45</v>
      </c>
      <c r="E639" s="2" t="s">
        <v>39</v>
      </c>
      <c r="F639" s="2" t="s">
        <v>94</v>
      </c>
      <c r="G639">
        <v>3</v>
      </c>
      <c r="H639" s="2" t="s">
        <v>52</v>
      </c>
      <c r="I639">
        <v>122.27</v>
      </c>
      <c r="J639">
        <v>0</v>
      </c>
      <c r="K639">
        <v>0</v>
      </c>
      <c r="L639">
        <v>29.14</v>
      </c>
      <c r="M639">
        <v>74.72</v>
      </c>
      <c r="N639">
        <v>0</v>
      </c>
      <c r="O639">
        <v>3.85</v>
      </c>
      <c r="P639" s="2" t="s">
        <v>42</v>
      </c>
      <c r="Q639">
        <v>0</v>
      </c>
      <c r="R639">
        <v>122.27</v>
      </c>
      <c r="S639">
        <v>107.71</v>
      </c>
      <c r="T639">
        <v>14.56</v>
      </c>
      <c r="U639">
        <f t="shared" si="9"/>
        <v>0</v>
      </c>
    </row>
    <row r="640" spans="1:21" x14ac:dyDescent="0.25">
      <c r="A640" s="2" t="s">
        <v>1130</v>
      </c>
      <c r="B640" s="2" t="s">
        <v>1098</v>
      </c>
      <c r="C640" s="1">
        <v>45776</v>
      </c>
      <c r="D640" s="2" t="s">
        <v>45</v>
      </c>
      <c r="E640" s="2" t="s">
        <v>67</v>
      </c>
      <c r="F640" s="2" t="s">
        <v>40</v>
      </c>
      <c r="G640">
        <v>3</v>
      </c>
      <c r="H640" s="2" t="s">
        <v>74</v>
      </c>
      <c r="I640">
        <v>589.08000000000004</v>
      </c>
      <c r="J640">
        <v>15</v>
      </c>
      <c r="K640">
        <v>88.36</v>
      </c>
      <c r="L640">
        <v>50.2</v>
      </c>
      <c r="M640">
        <v>192.97</v>
      </c>
      <c r="N640">
        <v>0</v>
      </c>
      <c r="O640">
        <v>14.82</v>
      </c>
      <c r="P640" s="2" t="s">
        <v>42</v>
      </c>
      <c r="Q640">
        <v>0</v>
      </c>
      <c r="R640">
        <v>500.72</v>
      </c>
      <c r="S640">
        <v>257.99</v>
      </c>
      <c r="T640">
        <v>242.73</v>
      </c>
      <c r="U640">
        <f t="shared" si="9"/>
        <v>0</v>
      </c>
    </row>
    <row r="641" spans="1:21" x14ac:dyDescent="0.25">
      <c r="A641" s="2" t="s">
        <v>1131</v>
      </c>
      <c r="B641" s="2" t="s">
        <v>340</v>
      </c>
      <c r="C641" s="1">
        <v>45887</v>
      </c>
      <c r="D641" s="2" t="s">
        <v>45</v>
      </c>
      <c r="E641" s="2" t="s">
        <v>46</v>
      </c>
      <c r="F641" s="2" t="s">
        <v>85</v>
      </c>
      <c r="G641">
        <v>1</v>
      </c>
      <c r="H641" s="2" t="s">
        <v>111</v>
      </c>
      <c r="I641">
        <v>15.69</v>
      </c>
      <c r="J641">
        <v>10</v>
      </c>
      <c r="K641">
        <v>1.57</v>
      </c>
      <c r="L641">
        <v>9.34</v>
      </c>
      <c r="M641">
        <v>4.67</v>
      </c>
      <c r="N641">
        <v>0</v>
      </c>
      <c r="O641">
        <v>0.71</v>
      </c>
      <c r="P641" s="2" t="s">
        <v>42</v>
      </c>
      <c r="Q641">
        <v>0</v>
      </c>
      <c r="R641">
        <v>14.12</v>
      </c>
      <c r="S641">
        <v>14.72</v>
      </c>
      <c r="T641">
        <v>-0.6</v>
      </c>
      <c r="U641">
        <f t="shared" si="9"/>
        <v>0</v>
      </c>
    </row>
    <row r="642" spans="1:21" x14ac:dyDescent="0.25">
      <c r="A642" s="2" t="s">
        <v>1132</v>
      </c>
      <c r="B642" s="2" t="s">
        <v>429</v>
      </c>
      <c r="C642" s="1">
        <v>45839</v>
      </c>
      <c r="D642" s="2" t="s">
        <v>38</v>
      </c>
      <c r="E642" s="2" t="s">
        <v>46</v>
      </c>
      <c r="F642" s="2" t="s">
        <v>40</v>
      </c>
      <c r="G642">
        <v>2</v>
      </c>
      <c r="H642" s="2" t="s">
        <v>48</v>
      </c>
      <c r="I642">
        <v>51.67</v>
      </c>
      <c r="J642">
        <v>0</v>
      </c>
      <c r="K642">
        <v>0</v>
      </c>
      <c r="L642">
        <v>52.56</v>
      </c>
      <c r="M642">
        <v>20.190000000000001</v>
      </c>
      <c r="N642">
        <v>0</v>
      </c>
      <c r="O642">
        <v>1.8</v>
      </c>
      <c r="P642" s="2" t="s">
        <v>42</v>
      </c>
      <c r="Q642">
        <v>0</v>
      </c>
      <c r="R642">
        <v>51.67</v>
      </c>
      <c r="S642">
        <v>74.55</v>
      </c>
      <c r="T642">
        <v>-22.88</v>
      </c>
      <c r="U642">
        <f t="shared" si="9"/>
        <v>0</v>
      </c>
    </row>
    <row r="643" spans="1:21" x14ac:dyDescent="0.25">
      <c r="A643" s="2" t="s">
        <v>1133</v>
      </c>
      <c r="B643" s="2" t="s">
        <v>113</v>
      </c>
      <c r="C643" s="1">
        <v>45892</v>
      </c>
      <c r="D643" s="2" t="s">
        <v>59</v>
      </c>
      <c r="E643" s="2" t="s">
        <v>67</v>
      </c>
      <c r="F643" s="2" t="s">
        <v>94</v>
      </c>
      <c r="G643">
        <v>2</v>
      </c>
      <c r="H643" s="2" t="s">
        <v>56</v>
      </c>
      <c r="I643">
        <v>62.83</v>
      </c>
      <c r="J643">
        <v>0</v>
      </c>
      <c r="K643">
        <v>0</v>
      </c>
      <c r="L643">
        <v>10.52</v>
      </c>
      <c r="M643">
        <v>25.66</v>
      </c>
      <c r="N643">
        <v>9.42</v>
      </c>
      <c r="O643">
        <v>2.12</v>
      </c>
      <c r="P643" s="2" t="s">
        <v>42</v>
      </c>
      <c r="Q643">
        <v>0</v>
      </c>
      <c r="R643">
        <v>62.83</v>
      </c>
      <c r="S643">
        <v>47.72</v>
      </c>
      <c r="T643">
        <v>15.11</v>
      </c>
      <c r="U643">
        <f t="shared" si="9"/>
        <v>0</v>
      </c>
    </row>
    <row r="644" spans="1:21" x14ac:dyDescent="0.25">
      <c r="A644" s="2" t="s">
        <v>1134</v>
      </c>
      <c r="B644" s="2" t="s">
        <v>1135</v>
      </c>
      <c r="C644" s="1">
        <v>45639</v>
      </c>
      <c r="D644" s="2" t="s">
        <v>38</v>
      </c>
      <c r="E644" s="2" t="s">
        <v>71</v>
      </c>
      <c r="F644" s="2" t="s">
        <v>85</v>
      </c>
      <c r="G644">
        <v>2</v>
      </c>
      <c r="H644" s="2" t="s">
        <v>74</v>
      </c>
      <c r="I644">
        <v>207.65</v>
      </c>
      <c r="J644">
        <v>10</v>
      </c>
      <c r="K644">
        <v>20.77</v>
      </c>
      <c r="L644">
        <v>47.68</v>
      </c>
      <c r="M644">
        <v>100.21</v>
      </c>
      <c r="N644">
        <v>0</v>
      </c>
      <c r="O644">
        <v>5.72</v>
      </c>
      <c r="P644" s="2" t="s">
        <v>42</v>
      </c>
      <c r="Q644">
        <v>0</v>
      </c>
      <c r="R644">
        <v>186.88</v>
      </c>
      <c r="S644">
        <v>153.61000000000001</v>
      </c>
      <c r="T644">
        <v>33.270000000000003</v>
      </c>
      <c r="U644">
        <f t="shared" si="9"/>
        <v>0</v>
      </c>
    </row>
    <row r="645" spans="1:21" x14ac:dyDescent="0.25">
      <c r="A645" s="2" t="s">
        <v>1136</v>
      </c>
      <c r="B645" s="2" t="s">
        <v>1137</v>
      </c>
      <c r="C645" s="1">
        <v>45626</v>
      </c>
      <c r="D645" s="2" t="s">
        <v>45</v>
      </c>
      <c r="E645" s="2" t="s">
        <v>46</v>
      </c>
      <c r="F645" s="2" t="s">
        <v>40</v>
      </c>
      <c r="G645">
        <v>1</v>
      </c>
      <c r="H645" s="2" t="s">
        <v>41</v>
      </c>
      <c r="I645">
        <v>24.38</v>
      </c>
      <c r="J645">
        <v>0</v>
      </c>
      <c r="K645">
        <v>0</v>
      </c>
      <c r="L645">
        <v>13.9</v>
      </c>
      <c r="M645">
        <v>16.190000000000001</v>
      </c>
      <c r="N645">
        <v>0</v>
      </c>
      <c r="O645">
        <v>1.01</v>
      </c>
      <c r="P645" s="2" t="s">
        <v>42</v>
      </c>
      <c r="Q645">
        <v>0</v>
      </c>
      <c r="R645">
        <v>24.38</v>
      </c>
      <c r="S645">
        <v>31.1</v>
      </c>
      <c r="T645">
        <v>-6.72</v>
      </c>
      <c r="U645">
        <f t="shared" ref="U645:U708" si="10">IF(P643="Yes", 1, 0)</f>
        <v>0</v>
      </c>
    </row>
    <row r="646" spans="1:21" x14ac:dyDescent="0.25">
      <c r="A646" s="2" t="s">
        <v>1138</v>
      </c>
      <c r="B646" s="2" t="s">
        <v>299</v>
      </c>
      <c r="C646" s="1">
        <v>45757</v>
      </c>
      <c r="D646" s="2" t="s">
        <v>45</v>
      </c>
      <c r="E646" s="2" t="s">
        <v>71</v>
      </c>
      <c r="F646" s="2" t="s">
        <v>85</v>
      </c>
      <c r="G646">
        <v>2</v>
      </c>
      <c r="H646" s="2" t="s">
        <v>52</v>
      </c>
      <c r="I646">
        <v>36.450000000000003</v>
      </c>
      <c r="J646">
        <v>0</v>
      </c>
      <c r="K646">
        <v>0</v>
      </c>
      <c r="L646">
        <v>19.72</v>
      </c>
      <c r="M646">
        <v>21.47</v>
      </c>
      <c r="N646">
        <v>0</v>
      </c>
      <c r="O646">
        <v>1.36</v>
      </c>
      <c r="P646" s="2" t="s">
        <v>42</v>
      </c>
      <c r="Q646">
        <v>0</v>
      </c>
      <c r="R646">
        <v>36.450000000000003</v>
      </c>
      <c r="S646">
        <v>42.55</v>
      </c>
      <c r="T646">
        <v>-6.1</v>
      </c>
      <c r="U646">
        <f t="shared" si="10"/>
        <v>0</v>
      </c>
    </row>
    <row r="647" spans="1:21" x14ac:dyDescent="0.25">
      <c r="A647" s="2" t="s">
        <v>1139</v>
      </c>
      <c r="B647" s="2" t="s">
        <v>543</v>
      </c>
      <c r="C647" s="1">
        <v>45716</v>
      </c>
      <c r="D647" s="2" t="s">
        <v>80</v>
      </c>
      <c r="E647" s="2" t="s">
        <v>71</v>
      </c>
      <c r="F647" s="2" t="s">
        <v>94</v>
      </c>
      <c r="G647">
        <v>1</v>
      </c>
      <c r="H647" s="2" t="s">
        <v>41</v>
      </c>
      <c r="I647">
        <v>182.6</v>
      </c>
      <c r="J647">
        <v>0</v>
      </c>
      <c r="K647">
        <v>0</v>
      </c>
      <c r="L647">
        <v>8.7799999999999994</v>
      </c>
      <c r="M647">
        <v>60.94</v>
      </c>
      <c r="N647">
        <v>14.61</v>
      </c>
      <c r="O647">
        <v>5.6</v>
      </c>
      <c r="P647" s="2" t="s">
        <v>42</v>
      </c>
      <c r="Q647">
        <v>0</v>
      </c>
      <c r="R647">
        <v>182.6</v>
      </c>
      <c r="S647">
        <v>89.93</v>
      </c>
      <c r="T647">
        <v>92.67</v>
      </c>
      <c r="U647">
        <f t="shared" si="10"/>
        <v>0</v>
      </c>
    </row>
    <row r="648" spans="1:21" x14ac:dyDescent="0.25">
      <c r="A648" s="2" t="s">
        <v>1140</v>
      </c>
      <c r="B648" s="2" t="s">
        <v>1141</v>
      </c>
      <c r="C648" s="1">
        <v>45796</v>
      </c>
      <c r="D648" s="2" t="s">
        <v>38</v>
      </c>
      <c r="E648" s="2" t="s">
        <v>71</v>
      </c>
      <c r="F648" s="2" t="s">
        <v>51</v>
      </c>
      <c r="G648">
        <v>3</v>
      </c>
      <c r="H648" s="2" t="s">
        <v>52</v>
      </c>
      <c r="I648">
        <v>192.61</v>
      </c>
      <c r="J648">
        <v>5</v>
      </c>
      <c r="K648">
        <v>9.6300000000000008</v>
      </c>
      <c r="L648">
        <v>29.78</v>
      </c>
      <c r="M648">
        <v>68.13</v>
      </c>
      <c r="N648">
        <v>0</v>
      </c>
      <c r="O648">
        <v>5.61</v>
      </c>
      <c r="P648" s="2" t="s">
        <v>42</v>
      </c>
      <c r="Q648">
        <v>0</v>
      </c>
      <c r="R648">
        <v>182.98</v>
      </c>
      <c r="S648">
        <v>103.52</v>
      </c>
      <c r="T648">
        <v>79.459999999999994</v>
      </c>
      <c r="U648">
        <f t="shared" si="10"/>
        <v>0</v>
      </c>
    </row>
    <row r="649" spans="1:21" x14ac:dyDescent="0.25">
      <c r="A649" s="2" t="s">
        <v>1142</v>
      </c>
      <c r="B649" s="2" t="s">
        <v>1143</v>
      </c>
      <c r="C649" s="1">
        <v>45874</v>
      </c>
      <c r="D649" s="2" t="s">
        <v>45</v>
      </c>
      <c r="E649" s="2" t="s">
        <v>46</v>
      </c>
      <c r="F649" s="2" t="s">
        <v>51</v>
      </c>
      <c r="G649">
        <v>2</v>
      </c>
      <c r="H649" s="2" t="s">
        <v>48</v>
      </c>
      <c r="I649">
        <v>80.7</v>
      </c>
      <c r="J649">
        <v>15</v>
      </c>
      <c r="K649">
        <v>12.11</v>
      </c>
      <c r="L649">
        <v>17.32</v>
      </c>
      <c r="M649">
        <v>27.13</v>
      </c>
      <c r="N649">
        <v>0</v>
      </c>
      <c r="O649">
        <v>2.29</v>
      </c>
      <c r="P649" s="2" t="s">
        <v>42</v>
      </c>
      <c r="Q649">
        <v>0</v>
      </c>
      <c r="R649">
        <v>68.59</v>
      </c>
      <c r="S649">
        <v>46.74</v>
      </c>
      <c r="T649">
        <v>21.85</v>
      </c>
      <c r="U649">
        <f t="shared" si="10"/>
        <v>0</v>
      </c>
    </row>
    <row r="650" spans="1:21" x14ac:dyDescent="0.25">
      <c r="A650" s="2" t="s">
        <v>1144</v>
      </c>
      <c r="B650" s="2" t="s">
        <v>1145</v>
      </c>
      <c r="C650" s="1">
        <v>45645</v>
      </c>
      <c r="D650" s="2" t="s">
        <v>38</v>
      </c>
      <c r="E650" s="2" t="s">
        <v>46</v>
      </c>
      <c r="F650" s="2" t="s">
        <v>94</v>
      </c>
      <c r="G650">
        <v>3</v>
      </c>
      <c r="H650" s="2" t="s">
        <v>52</v>
      </c>
      <c r="I650">
        <v>359.98</v>
      </c>
      <c r="J650">
        <v>0</v>
      </c>
      <c r="K650">
        <v>0</v>
      </c>
      <c r="L650">
        <v>59.28</v>
      </c>
      <c r="M650">
        <v>107.14</v>
      </c>
      <c r="N650">
        <v>0</v>
      </c>
      <c r="O650">
        <v>10.74</v>
      </c>
      <c r="P650" s="2" t="s">
        <v>42</v>
      </c>
      <c r="Q650">
        <v>0</v>
      </c>
      <c r="R650">
        <v>359.98</v>
      </c>
      <c r="S650">
        <v>177.16</v>
      </c>
      <c r="T650">
        <v>182.82</v>
      </c>
      <c r="U650">
        <f t="shared" si="10"/>
        <v>0</v>
      </c>
    </row>
    <row r="651" spans="1:21" x14ac:dyDescent="0.25">
      <c r="A651" s="2" t="s">
        <v>1146</v>
      </c>
      <c r="B651" s="2" t="s">
        <v>1147</v>
      </c>
      <c r="C651" s="1">
        <v>45920</v>
      </c>
      <c r="D651" s="2" t="s">
        <v>45</v>
      </c>
      <c r="E651" s="2" t="s">
        <v>46</v>
      </c>
      <c r="F651" s="2" t="s">
        <v>94</v>
      </c>
      <c r="G651">
        <v>2</v>
      </c>
      <c r="H651" s="2" t="s">
        <v>111</v>
      </c>
      <c r="I651">
        <v>71.760000000000005</v>
      </c>
      <c r="J651">
        <v>0</v>
      </c>
      <c r="K651">
        <v>0</v>
      </c>
      <c r="L651">
        <v>20.28</v>
      </c>
      <c r="M651">
        <v>33.32</v>
      </c>
      <c r="N651">
        <v>0</v>
      </c>
      <c r="O651">
        <v>2.38</v>
      </c>
      <c r="P651" s="2" t="s">
        <v>42</v>
      </c>
      <c r="Q651">
        <v>0</v>
      </c>
      <c r="R651">
        <v>71.760000000000005</v>
      </c>
      <c r="S651">
        <v>55.98</v>
      </c>
      <c r="T651">
        <v>15.78</v>
      </c>
      <c r="U651">
        <f t="shared" si="10"/>
        <v>0</v>
      </c>
    </row>
    <row r="652" spans="1:21" x14ac:dyDescent="0.25">
      <c r="A652" s="2" t="s">
        <v>1148</v>
      </c>
      <c r="B652" s="2" t="s">
        <v>1149</v>
      </c>
      <c r="C652" s="1">
        <v>45914</v>
      </c>
      <c r="D652" s="2" t="s">
        <v>38</v>
      </c>
      <c r="E652" s="2" t="s">
        <v>67</v>
      </c>
      <c r="F652" s="2" t="s">
        <v>51</v>
      </c>
      <c r="G652">
        <v>2</v>
      </c>
      <c r="H652" s="2" t="s">
        <v>56</v>
      </c>
      <c r="I652">
        <v>166.46</v>
      </c>
      <c r="J652">
        <v>15</v>
      </c>
      <c r="K652">
        <v>24.97</v>
      </c>
      <c r="L652">
        <v>31.12</v>
      </c>
      <c r="M652">
        <v>65.08</v>
      </c>
      <c r="N652">
        <v>0</v>
      </c>
      <c r="O652">
        <v>4.4000000000000004</v>
      </c>
      <c r="P652" s="2" t="s">
        <v>42</v>
      </c>
      <c r="Q652">
        <v>0</v>
      </c>
      <c r="R652">
        <v>141.49</v>
      </c>
      <c r="S652">
        <v>100.6</v>
      </c>
      <c r="T652">
        <v>40.89</v>
      </c>
      <c r="U652">
        <f t="shared" si="10"/>
        <v>0</v>
      </c>
    </row>
    <row r="653" spans="1:21" x14ac:dyDescent="0.25">
      <c r="A653" s="2" t="s">
        <v>1150</v>
      </c>
      <c r="B653" s="2" t="s">
        <v>61</v>
      </c>
      <c r="C653" s="1">
        <v>45880</v>
      </c>
      <c r="D653" s="2" t="s">
        <v>59</v>
      </c>
      <c r="E653" s="2" t="s">
        <v>71</v>
      </c>
      <c r="F653" s="2" t="s">
        <v>94</v>
      </c>
      <c r="G653">
        <v>1</v>
      </c>
      <c r="H653" s="2" t="s">
        <v>52</v>
      </c>
      <c r="I653">
        <v>63.63</v>
      </c>
      <c r="J653">
        <v>0</v>
      </c>
      <c r="K653">
        <v>0</v>
      </c>
      <c r="L653">
        <v>8.3800000000000008</v>
      </c>
      <c r="M653">
        <v>31.76</v>
      </c>
      <c r="N653">
        <v>9.5399999999999991</v>
      </c>
      <c r="O653">
        <v>2.15</v>
      </c>
      <c r="P653" s="2" t="s">
        <v>42</v>
      </c>
      <c r="Q653">
        <v>0</v>
      </c>
      <c r="R653">
        <v>63.63</v>
      </c>
      <c r="S653">
        <v>51.83</v>
      </c>
      <c r="T653">
        <v>11.8</v>
      </c>
      <c r="U653">
        <f t="shared" si="10"/>
        <v>0</v>
      </c>
    </row>
    <row r="654" spans="1:21" x14ac:dyDescent="0.25">
      <c r="A654" s="2" t="s">
        <v>1151</v>
      </c>
      <c r="B654" s="2" t="s">
        <v>1152</v>
      </c>
      <c r="C654" s="1">
        <v>45915</v>
      </c>
      <c r="D654" s="2" t="s">
        <v>80</v>
      </c>
      <c r="E654" s="2" t="s">
        <v>55</v>
      </c>
      <c r="F654" s="2" t="s">
        <v>94</v>
      </c>
      <c r="G654">
        <v>1</v>
      </c>
      <c r="H654" s="2" t="s">
        <v>56</v>
      </c>
      <c r="I654">
        <v>188.82</v>
      </c>
      <c r="J654">
        <v>0</v>
      </c>
      <c r="K654">
        <v>0</v>
      </c>
      <c r="L654">
        <v>19.86</v>
      </c>
      <c r="M654">
        <v>79.44</v>
      </c>
      <c r="N654">
        <v>15.11</v>
      </c>
      <c r="O654">
        <v>5.78</v>
      </c>
      <c r="P654" s="2" t="s">
        <v>42</v>
      </c>
      <c r="Q654">
        <v>0</v>
      </c>
      <c r="R654">
        <v>188.82</v>
      </c>
      <c r="S654">
        <v>120.19</v>
      </c>
      <c r="T654">
        <v>68.63</v>
      </c>
      <c r="U654">
        <f t="shared" si="10"/>
        <v>0</v>
      </c>
    </row>
    <row r="655" spans="1:21" x14ac:dyDescent="0.25">
      <c r="A655" s="2" t="s">
        <v>1153</v>
      </c>
      <c r="B655" s="2" t="s">
        <v>1154</v>
      </c>
      <c r="C655" s="1">
        <v>45757</v>
      </c>
      <c r="D655" s="2" t="s">
        <v>38</v>
      </c>
      <c r="E655" s="2" t="s">
        <v>67</v>
      </c>
      <c r="F655" s="2" t="s">
        <v>94</v>
      </c>
      <c r="G655">
        <v>1</v>
      </c>
      <c r="H655" s="2" t="s">
        <v>52</v>
      </c>
      <c r="I655">
        <v>124.51</v>
      </c>
      <c r="J655">
        <v>0</v>
      </c>
      <c r="K655">
        <v>0</v>
      </c>
      <c r="L655">
        <v>5.98</v>
      </c>
      <c r="M655">
        <v>38.53</v>
      </c>
      <c r="N655">
        <v>0</v>
      </c>
      <c r="O655">
        <v>3.91</v>
      </c>
      <c r="P655" s="2" t="s">
        <v>42</v>
      </c>
      <c r="Q655">
        <v>0</v>
      </c>
      <c r="R655">
        <v>124.51</v>
      </c>
      <c r="S655">
        <v>48.42</v>
      </c>
      <c r="T655">
        <v>76.09</v>
      </c>
      <c r="U655">
        <f t="shared" si="10"/>
        <v>0</v>
      </c>
    </row>
    <row r="656" spans="1:21" x14ac:dyDescent="0.25">
      <c r="A656" s="2" t="s">
        <v>1155</v>
      </c>
      <c r="B656" s="2" t="s">
        <v>1156</v>
      </c>
      <c r="C656" s="1">
        <v>45568</v>
      </c>
      <c r="D656" s="2" t="s">
        <v>45</v>
      </c>
      <c r="E656" s="2" t="s">
        <v>71</v>
      </c>
      <c r="F656" s="2" t="s">
        <v>40</v>
      </c>
      <c r="G656">
        <v>2</v>
      </c>
      <c r="H656" s="2" t="s">
        <v>111</v>
      </c>
      <c r="I656">
        <v>125.96</v>
      </c>
      <c r="J656">
        <v>0</v>
      </c>
      <c r="K656">
        <v>0</v>
      </c>
      <c r="L656">
        <v>12.28</v>
      </c>
      <c r="M656">
        <v>52.22</v>
      </c>
      <c r="N656">
        <v>0</v>
      </c>
      <c r="O656">
        <v>3.95</v>
      </c>
      <c r="P656" s="2" t="s">
        <v>42</v>
      </c>
      <c r="Q656">
        <v>0</v>
      </c>
      <c r="R656">
        <v>125.96</v>
      </c>
      <c r="S656">
        <v>68.45</v>
      </c>
      <c r="T656">
        <v>57.51</v>
      </c>
      <c r="U656">
        <f t="shared" si="10"/>
        <v>0</v>
      </c>
    </row>
    <row r="657" spans="1:21" x14ac:dyDescent="0.25">
      <c r="A657" s="2" t="s">
        <v>1157</v>
      </c>
      <c r="B657" s="2" t="s">
        <v>1158</v>
      </c>
      <c r="C657" s="1">
        <v>45572</v>
      </c>
      <c r="D657" s="2" t="s">
        <v>45</v>
      </c>
      <c r="E657" s="2" t="s">
        <v>46</v>
      </c>
      <c r="F657" s="2" t="s">
        <v>40</v>
      </c>
      <c r="G657">
        <v>3</v>
      </c>
      <c r="H657" s="2" t="s">
        <v>74</v>
      </c>
      <c r="I657">
        <v>207.09</v>
      </c>
      <c r="J657">
        <v>0</v>
      </c>
      <c r="K657">
        <v>0</v>
      </c>
      <c r="L657">
        <v>43.44</v>
      </c>
      <c r="M657">
        <v>111.11</v>
      </c>
      <c r="N657">
        <v>0</v>
      </c>
      <c r="O657">
        <v>6.31</v>
      </c>
      <c r="P657" s="2" t="s">
        <v>42</v>
      </c>
      <c r="Q657">
        <v>0</v>
      </c>
      <c r="R657">
        <v>207.09</v>
      </c>
      <c r="S657">
        <v>160.86000000000001</v>
      </c>
      <c r="T657">
        <v>46.23</v>
      </c>
      <c r="U657">
        <f t="shared" si="10"/>
        <v>0</v>
      </c>
    </row>
    <row r="658" spans="1:21" x14ac:dyDescent="0.25">
      <c r="A658" s="2" t="s">
        <v>1159</v>
      </c>
      <c r="B658" s="2" t="s">
        <v>1160</v>
      </c>
      <c r="C658" s="1">
        <v>45851</v>
      </c>
      <c r="D658" s="2" t="s">
        <v>80</v>
      </c>
      <c r="E658" s="2" t="s">
        <v>67</v>
      </c>
      <c r="F658" s="2" t="s">
        <v>94</v>
      </c>
      <c r="G658">
        <v>2</v>
      </c>
      <c r="H658" s="2" t="s">
        <v>64</v>
      </c>
      <c r="I658">
        <v>128.5</v>
      </c>
      <c r="J658">
        <v>5</v>
      </c>
      <c r="K658">
        <v>6.42</v>
      </c>
      <c r="L658">
        <v>23.64</v>
      </c>
      <c r="M658">
        <v>56.31</v>
      </c>
      <c r="N658">
        <v>9.77</v>
      </c>
      <c r="O658">
        <v>3.84</v>
      </c>
      <c r="P658" s="2" t="s">
        <v>42</v>
      </c>
      <c r="Q658">
        <v>0</v>
      </c>
      <c r="R658">
        <v>122.08</v>
      </c>
      <c r="S658">
        <v>93.56</v>
      </c>
      <c r="T658">
        <v>28.52</v>
      </c>
      <c r="U658">
        <f t="shared" si="10"/>
        <v>0</v>
      </c>
    </row>
    <row r="659" spans="1:21" x14ac:dyDescent="0.25">
      <c r="A659" s="2" t="s">
        <v>1161</v>
      </c>
      <c r="B659" s="2" t="s">
        <v>346</v>
      </c>
      <c r="C659" s="1">
        <v>45699</v>
      </c>
      <c r="D659" s="2" t="s">
        <v>38</v>
      </c>
      <c r="E659" s="2" t="s">
        <v>46</v>
      </c>
      <c r="F659" s="2" t="s">
        <v>51</v>
      </c>
      <c r="G659">
        <v>5</v>
      </c>
      <c r="H659" s="2" t="s">
        <v>74</v>
      </c>
      <c r="I659">
        <v>243.42</v>
      </c>
      <c r="J659">
        <v>5</v>
      </c>
      <c r="K659">
        <v>12.17</v>
      </c>
      <c r="L659">
        <v>43.9</v>
      </c>
      <c r="M659">
        <v>106.4</v>
      </c>
      <c r="N659">
        <v>0</v>
      </c>
      <c r="O659">
        <v>7.01</v>
      </c>
      <c r="P659" s="2" t="s">
        <v>42</v>
      </c>
      <c r="Q659">
        <v>0</v>
      </c>
      <c r="R659">
        <v>231.25</v>
      </c>
      <c r="S659">
        <v>157.31</v>
      </c>
      <c r="T659">
        <v>73.94</v>
      </c>
      <c r="U659">
        <f t="shared" si="10"/>
        <v>0</v>
      </c>
    </row>
    <row r="660" spans="1:21" x14ac:dyDescent="0.25">
      <c r="A660" s="2" t="s">
        <v>1162</v>
      </c>
      <c r="B660" s="2" t="s">
        <v>1149</v>
      </c>
      <c r="C660" s="1">
        <v>45551</v>
      </c>
      <c r="D660" s="2" t="s">
        <v>59</v>
      </c>
      <c r="E660" s="2" t="s">
        <v>55</v>
      </c>
      <c r="F660" s="2" t="s">
        <v>47</v>
      </c>
      <c r="G660">
        <v>2</v>
      </c>
      <c r="H660" s="2" t="s">
        <v>48</v>
      </c>
      <c r="I660">
        <v>79.08</v>
      </c>
      <c r="J660">
        <v>15</v>
      </c>
      <c r="K660">
        <v>11.86</v>
      </c>
      <c r="L660">
        <v>14.92</v>
      </c>
      <c r="M660">
        <v>34.04</v>
      </c>
      <c r="N660">
        <v>10.08</v>
      </c>
      <c r="O660">
        <v>2.25</v>
      </c>
      <c r="P660" s="2" t="s">
        <v>42</v>
      </c>
      <c r="Q660">
        <v>0</v>
      </c>
      <c r="R660">
        <v>67.22</v>
      </c>
      <c r="S660">
        <v>61.29</v>
      </c>
      <c r="T660">
        <v>5.93</v>
      </c>
      <c r="U660">
        <f t="shared" si="10"/>
        <v>0</v>
      </c>
    </row>
    <row r="661" spans="1:21" x14ac:dyDescent="0.25">
      <c r="A661" s="2" t="s">
        <v>1163</v>
      </c>
      <c r="B661" s="2" t="s">
        <v>330</v>
      </c>
      <c r="C661" s="1">
        <v>45914</v>
      </c>
      <c r="D661" s="2" t="s">
        <v>45</v>
      </c>
      <c r="E661" s="2" t="s">
        <v>55</v>
      </c>
      <c r="F661" s="2" t="s">
        <v>40</v>
      </c>
      <c r="G661">
        <v>1</v>
      </c>
      <c r="H661" s="2" t="s">
        <v>52</v>
      </c>
      <c r="I661">
        <v>10.050000000000001</v>
      </c>
      <c r="J661">
        <v>0</v>
      </c>
      <c r="K661">
        <v>0</v>
      </c>
      <c r="L661">
        <v>9.18</v>
      </c>
      <c r="M661">
        <v>6.91</v>
      </c>
      <c r="N661">
        <v>0</v>
      </c>
      <c r="O661">
        <v>0.59</v>
      </c>
      <c r="P661" s="2" t="s">
        <v>42</v>
      </c>
      <c r="Q661">
        <v>0</v>
      </c>
      <c r="R661">
        <v>10.050000000000001</v>
      </c>
      <c r="S661">
        <v>16.68</v>
      </c>
      <c r="T661">
        <v>-6.63</v>
      </c>
      <c r="U661">
        <f t="shared" si="10"/>
        <v>0</v>
      </c>
    </row>
    <row r="662" spans="1:21" x14ac:dyDescent="0.25">
      <c r="A662" s="2" t="s">
        <v>1164</v>
      </c>
      <c r="B662" s="2" t="s">
        <v>1165</v>
      </c>
      <c r="C662" s="1">
        <v>45499</v>
      </c>
      <c r="D662" s="2" t="s">
        <v>45</v>
      </c>
      <c r="E662" s="2" t="s">
        <v>46</v>
      </c>
      <c r="F662" s="2" t="s">
        <v>94</v>
      </c>
      <c r="G662">
        <v>2</v>
      </c>
      <c r="H662" s="2" t="s">
        <v>41</v>
      </c>
      <c r="I662">
        <v>252.63</v>
      </c>
      <c r="J662">
        <v>15</v>
      </c>
      <c r="K662">
        <v>37.89</v>
      </c>
      <c r="L662">
        <v>53.98</v>
      </c>
      <c r="M662">
        <v>121.81</v>
      </c>
      <c r="N662">
        <v>0</v>
      </c>
      <c r="O662">
        <v>6.53</v>
      </c>
      <c r="P662" s="2" t="s">
        <v>42</v>
      </c>
      <c r="Q662">
        <v>0</v>
      </c>
      <c r="R662">
        <v>214.74</v>
      </c>
      <c r="S662">
        <v>182.32</v>
      </c>
      <c r="T662">
        <v>32.42</v>
      </c>
      <c r="U662">
        <f t="shared" si="10"/>
        <v>0</v>
      </c>
    </row>
    <row r="663" spans="1:21" x14ac:dyDescent="0.25">
      <c r="A663" s="2" t="s">
        <v>1166</v>
      </c>
      <c r="B663" s="2" t="s">
        <v>1167</v>
      </c>
      <c r="C663" s="1">
        <v>45463</v>
      </c>
      <c r="D663" s="2" t="s">
        <v>59</v>
      </c>
      <c r="E663" s="2" t="s">
        <v>39</v>
      </c>
      <c r="F663" s="2" t="s">
        <v>51</v>
      </c>
      <c r="G663">
        <v>2</v>
      </c>
      <c r="H663" s="2" t="s">
        <v>41</v>
      </c>
      <c r="I663">
        <v>223.18</v>
      </c>
      <c r="J663">
        <v>0</v>
      </c>
      <c r="K663">
        <v>0</v>
      </c>
      <c r="L663">
        <v>25.78</v>
      </c>
      <c r="M663">
        <v>105.58</v>
      </c>
      <c r="N663">
        <v>33.479999999999997</v>
      </c>
      <c r="O663">
        <v>6.77</v>
      </c>
      <c r="P663" s="2" t="s">
        <v>42</v>
      </c>
      <c r="Q663">
        <v>0</v>
      </c>
      <c r="R663">
        <v>223.18</v>
      </c>
      <c r="S663">
        <v>171.61</v>
      </c>
      <c r="T663">
        <v>51.57</v>
      </c>
      <c r="U663">
        <f t="shared" si="10"/>
        <v>0</v>
      </c>
    </row>
    <row r="664" spans="1:21" x14ac:dyDescent="0.25">
      <c r="A664" s="2" t="s">
        <v>1168</v>
      </c>
      <c r="B664" s="2" t="s">
        <v>1169</v>
      </c>
      <c r="C664" s="1">
        <v>45722</v>
      </c>
      <c r="D664" s="2" t="s">
        <v>45</v>
      </c>
      <c r="E664" s="2" t="s">
        <v>55</v>
      </c>
      <c r="F664" s="2" t="s">
        <v>47</v>
      </c>
      <c r="G664">
        <v>1</v>
      </c>
      <c r="H664" s="2" t="s">
        <v>48</v>
      </c>
      <c r="I664">
        <v>17.62</v>
      </c>
      <c r="J664">
        <v>15</v>
      </c>
      <c r="K664">
        <v>2.64</v>
      </c>
      <c r="L664">
        <v>11.66</v>
      </c>
      <c r="M664">
        <v>8.5299999999999994</v>
      </c>
      <c r="N664">
        <v>0</v>
      </c>
      <c r="O664">
        <v>0.73</v>
      </c>
      <c r="P664" s="2" t="s">
        <v>42</v>
      </c>
      <c r="Q664">
        <v>0</v>
      </c>
      <c r="R664">
        <v>14.98</v>
      </c>
      <c r="S664">
        <v>20.92</v>
      </c>
      <c r="T664">
        <v>-5.94</v>
      </c>
      <c r="U664">
        <f t="shared" si="10"/>
        <v>0</v>
      </c>
    </row>
    <row r="665" spans="1:21" x14ac:dyDescent="0.25">
      <c r="A665" s="2" t="s">
        <v>1170</v>
      </c>
      <c r="B665" s="2" t="s">
        <v>1171</v>
      </c>
      <c r="C665" s="1">
        <v>45699</v>
      </c>
      <c r="D665" s="2" t="s">
        <v>45</v>
      </c>
      <c r="E665" s="2" t="s">
        <v>46</v>
      </c>
      <c r="F665" s="2" t="s">
        <v>94</v>
      </c>
      <c r="G665">
        <v>4</v>
      </c>
      <c r="H665" s="2" t="s">
        <v>52</v>
      </c>
      <c r="I665">
        <v>500.39</v>
      </c>
      <c r="J665">
        <v>0</v>
      </c>
      <c r="K665">
        <v>0</v>
      </c>
      <c r="L665">
        <v>51.02</v>
      </c>
      <c r="M665">
        <v>178.29</v>
      </c>
      <c r="N665">
        <v>0</v>
      </c>
      <c r="O665">
        <v>14.81</v>
      </c>
      <c r="P665" s="2" t="s">
        <v>42</v>
      </c>
      <c r="Q665">
        <v>0</v>
      </c>
      <c r="R665">
        <v>500.39</v>
      </c>
      <c r="S665">
        <v>244.12</v>
      </c>
      <c r="T665">
        <v>256.27</v>
      </c>
      <c r="U665">
        <f t="shared" si="10"/>
        <v>0</v>
      </c>
    </row>
    <row r="666" spans="1:21" x14ac:dyDescent="0.25">
      <c r="A666" s="2" t="s">
        <v>1172</v>
      </c>
      <c r="B666" s="2" t="s">
        <v>1173</v>
      </c>
      <c r="C666" s="1">
        <v>45564</v>
      </c>
      <c r="D666" s="2" t="s">
        <v>38</v>
      </c>
      <c r="E666" s="2" t="s">
        <v>46</v>
      </c>
      <c r="F666" s="2" t="s">
        <v>85</v>
      </c>
      <c r="G666">
        <v>4</v>
      </c>
      <c r="H666" s="2" t="s">
        <v>48</v>
      </c>
      <c r="I666">
        <v>185.25</v>
      </c>
      <c r="J666">
        <v>5</v>
      </c>
      <c r="K666">
        <v>9.26</v>
      </c>
      <c r="L666">
        <v>39.36</v>
      </c>
      <c r="M666">
        <v>86.57</v>
      </c>
      <c r="N666">
        <v>0</v>
      </c>
      <c r="O666">
        <v>5.4</v>
      </c>
      <c r="P666" s="2" t="s">
        <v>42</v>
      </c>
      <c r="Q666">
        <v>0</v>
      </c>
      <c r="R666">
        <v>175.99</v>
      </c>
      <c r="S666">
        <v>131.33000000000001</v>
      </c>
      <c r="T666">
        <v>44.66</v>
      </c>
      <c r="U666">
        <f t="shared" si="10"/>
        <v>0</v>
      </c>
    </row>
    <row r="667" spans="1:21" x14ac:dyDescent="0.25">
      <c r="A667" s="2" t="s">
        <v>1174</v>
      </c>
      <c r="B667" s="2" t="s">
        <v>406</v>
      </c>
      <c r="C667" s="1">
        <v>45877</v>
      </c>
      <c r="D667" s="2" t="s">
        <v>45</v>
      </c>
      <c r="E667" s="2" t="s">
        <v>46</v>
      </c>
      <c r="F667" s="2" t="s">
        <v>40</v>
      </c>
      <c r="G667">
        <v>2</v>
      </c>
      <c r="H667" s="2" t="s">
        <v>56</v>
      </c>
      <c r="I667">
        <v>118.3</v>
      </c>
      <c r="J667">
        <v>0</v>
      </c>
      <c r="K667">
        <v>0</v>
      </c>
      <c r="L667">
        <v>25.24</v>
      </c>
      <c r="M667">
        <v>48.78</v>
      </c>
      <c r="N667">
        <v>0</v>
      </c>
      <c r="O667">
        <v>3.73</v>
      </c>
      <c r="P667" s="2" t="s">
        <v>42</v>
      </c>
      <c r="Q667">
        <v>0</v>
      </c>
      <c r="R667">
        <v>118.3</v>
      </c>
      <c r="S667">
        <v>77.75</v>
      </c>
      <c r="T667">
        <v>40.549999999999997</v>
      </c>
      <c r="U667">
        <f t="shared" si="10"/>
        <v>0</v>
      </c>
    </row>
    <row r="668" spans="1:21" x14ac:dyDescent="0.25">
      <c r="A668" s="2" t="s">
        <v>1175</v>
      </c>
      <c r="B668" s="2" t="s">
        <v>1176</v>
      </c>
      <c r="C668" s="1">
        <v>45560</v>
      </c>
      <c r="D668" s="2" t="s">
        <v>80</v>
      </c>
      <c r="E668" s="2" t="s">
        <v>46</v>
      </c>
      <c r="F668" s="2" t="s">
        <v>40</v>
      </c>
      <c r="G668">
        <v>1</v>
      </c>
      <c r="H668" s="2" t="s">
        <v>52</v>
      </c>
      <c r="I668">
        <v>90.83</v>
      </c>
      <c r="J668">
        <v>10</v>
      </c>
      <c r="K668">
        <v>9.08</v>
      </c>
      <c r="L668">
        <v>15.42</v>
      </c>
      <c r="M668">
        <v>26.68</v>
      </c>
      <c r="N668">
        <v>6.54</v>
      </c>
      <c r="O668">
        <v>2.67</v>
      </c>
      <c r="P668" s="2" t="s">
        <v>42</v>
      </c>
      <c r="Q668">
        <v>0</v>
      </c>
      <c r="R668">
        <v>81.75</v>
      </c>
      <c r="S668">
        <v>51.31</v>
      </c>
      <c r="T668">
        <v>30.44</v>
      </c>
      <c r="U668">
        <f t="shared" si="10"/>
        <v>0</v>
      </c>
    </row>
    <row r="669" spans="1:21" x14ac:dyDescent="0.25">
      <c r="A669" s="2" t="s">
        <v>1177</v>
      </c>
      <c r="B669" s="2" t="s">
        <v>554</v>
      </c>
      <c r="C669" s="1">
        <v>45656</v>
      </c>
      <c r="D669" s="2" t="s">
        <v>59</v>
      </c>
      <c r="E669" s="2" t="s">
        <v>46</v>
      </c>
      <c r="F669" s="2" t="s">
        <v>40</v>
      </c>
      <c r="G669">
        <v>1</v>
      </c>
      <c r="H669" s="2" t="s">
        <v>64</v>
      </c>
      <c r="I669">
        <v>63.94</v>
      </c>
      <c r="J669">
        <v>0</v>
      </c>
      <c r="K669">
        <v>0</v>
      </c>
      <c r="L669">
        <v>8.4600000000000009</v>
      </c>
      <c r="M669">
        <v>20.51</v>
      </c>
      <c r="N669">
        <v>9.59</v>
      </c>
      <c r="O669">
        <v>2.15</v>
      </c>
      <c r="P669" s="2" t="s">
        <v>42</v>
      </c>
      <c r="Q669">
        <v>0</v>
      </c>
      <c r="R669">
        <v>63.94</v>
      </c>
      <c r="S669">
        <v>40.71</v>
      </c>
      <c r="T669">
        <v>23.23</v>
      </c>
      <c r="U669">
        <f t="shared" si="10"/>
        <v>0</v>
      </c>
    </row>
    <row r="670" spans="1:21" x14ac:dyDescent="0.25">
      <c r="A670" s="2" t="s">
        <v>1178</v>
      </c>
      <c r="B670" s="2" t="s">
        <v>900</v>
      </c>
      <c r="C670" s="1">
        <v>45434</v>
      </c>
      <c r="D670" s="2" t="s">
        <v>45</v>
      </c>
      <c r="E670" s="2" t="s">
        <v>71</v>
      </c>
      <c r="F670" s="2" t="s">
        <v>94</v>
      </c>
      <c r="G670">
        <v>3</v>
      </c>
      <c r="H670" s="2" t="s">
        <v>74</v>
      </c>
      <c r="I670">
        <v>209.23</v>
      </c>
      <c r="J670">
        <v>5</v>
      </c>
      <c r="K670">
        <v>10.46</v>
      </c>
      <c r="L670">
        <v>27.52</v>
      </c>
      <c r="M670">
        <v>102.73</v>
      </c>
      <c r="N670">
        <v>0</v>
      </c>
      <c r="O670">
        <v>6.06</v>
      </c>
      <c r="P670" s="2" t="s">
        <v>42</v>
      </c>
      <c r="Q670">
        <v>0</v>
      </c>
      <c r="R670">
        <v>198.77</v>
      </c>
      <c r="S670">
        <v>136.31</v>
      </c>
      <c r="T670">
        <v>62.46</v>
      </c>
      <c r="U670">
        <f t="shared" si="10"/>
        <v>0</v>
      </c>
    </row>
    <row r="671" spans="1:21" x14ac:dyDescent="0.25">
      <c r="A671" s="2" t="s">
        <v>1179</v>
      </c>
      <c r="B671" s="2" t="s">
        <v>988</v>
      </c>
      <c r="C671" s="1">
        <v>45821</v>
      </c>
      <c r="D671" s="2" t="s">
        <v>45</v>
      </c>
      <c r="E671" s="2" t="s">
        <v>46</v>
      </c>
      <c r="F671" s="2" t="s">
        <v>94</v>
      </c>
      <c r="G671">
        <v>2</v>
      </c>
      <c r="H671" s="2" t="s">
        <v>111</v>
      </c>
      <c r="I671">
        <v>252.62</v>
      </c>
      <c r="J671">
        <v>20</v>
      </c>
      <c r="K671">
        <v>50.52</v>
      </c>
      <c r="L671">
        <v>42.16</v>
      </c>
      <c r="M671">
        <v>137.62</v>
      </c>
      <c r="N671">
        <v>0</v>
      </c>
      <c r="O671">
        <v>6.16</v>
      </c>
      <c r="P671" s="2" t="s">
        <v>42</v>
      </c>
      <c r="Q671">
        <v>0</v>
      </c>
      <c r="R671">
        <v>202.1</v>
      </c>
      <c r="S671">
        <v>185.94</v>
      </c>
      <c r="T671">
        <v>16.16</v>
      </c>
      <c r="U671">
        <f t="shared" si="10"/>
        <v>0</v>
      </c>
    </row>
    <row r="672" spans="1:21" x14ac:dyDescent="0.25">
      <c r="A672" s="2" t="s">
        <v>1180</v>
      </c>
      <c r="B672" s="2" t="s">
        <v>312</v>
      </c>
      <c r="C672" s="1">
        <v>45515</v>
      </c>
      <c r="D672" s="2" t="s">
        <v>38</v>
      </c>
      <c r="E672" s="2" t="s">
        <v>46</v>
      </c>
      <c r="F672" s="2" t="s">
        <v>40</v>
      </c>
      <c r="G672">
        <v>5</v>
      </c>
      <c r="H672" s="2" t="s">
        <v>41</v>
      </c>
      <c r="I672">
        <v>218.51</v>
      </c>
      <c r="J672">
        <v>20</v>
      </c>
      <c r="K672">
        <v>43.7</v>
      </c>
      <c r="L672">
        <v>71.540000000000006</v>
      </c>
      <c r="M672">
        <v>88.53</v>
      </c>
      <c r="N672">
        <v>0</v>
      </c>
      <c r="O672">
        <v>5.37</v>
      </c>
      <c r="P672" s="2" t="s">
        <v>42</v>
      </c>
      <c r="Q672">
        <v>0</v>
      </c>
      <c r="R672">
        <v>174.81</v>
      </c>
      <c r="S672">
        <v>165.44</v>
      </c>
      <c r="T672">
        <v>9.3699999999999992</v>
      </c>
      <c r="U672">
        <f t="shared" si="10"/>
        <v>0</v>
      </c>
    </row>
    <row r="673" spans="1:21" x14ac:dyDescent="0.25">
      <c r="A673" s="2" t="s">
        <v>1181</v>
      </c>
      <c r="B673" s="2" t="s">
        <v>1182</v>
      </c>
      <c r="C673" s="1">
        <v>45914</v>
      </c>
      <c r="D673" s="2" t="s">
        <v>38</v>
      </c>
      <c r="E673" s="2" t="s">
        <v>46</v>
      </c>
      <c r="F673" s="2" t="s">
        <v>94</v>
      </c>
      <c r="G673">
        <v>3</v>
      </c>
      <c r="H673" s="2" t="s">
        <v>77</v>
      </c>
      <c r="I673">
        <v>160.08000000000001</v>
      </c>
      <c r="J673">
        <v>20</v>
      </c>
      <c r="K673">
        <v>32.020000000000003</v>
      </c>
      <c r="L673">
        <v>87.7</v>
      </c>
      <c r="M673">
        <v>84.31</v>
      </c>
      <c r="N673">
        <v>0</v>
      </c>
      <c r="O673">
        <v>4.01</v>
      </c>
      <c r="P673" s="2" t="s">
        <v>42</v>
      </c>
      <c r="Q673">
        <v>0</v>
      </c>
      <c r="R673">
        <v>128.06</v>
      </c>
      <c r="S673">
        <v>176.02</v>
      </c>
      <c r="T673">
        <v>-47.96</v>
      </c>
      <c r="U673">
        <f t="shared" si="10"/>
        <v>0</v>
      </c>
    </row>
    <row r="674" spans="1:21" x14ac:dyDescent="0.25">
      <c r="A674" s="2" t="s">
        <v>1183</v>
      </c>
      <c r="B674" s="2" t="s">
        <v>1184</v>
      </c>
      <c r="C674" s="1">
        <v>45908</v>
      </c>
      <c r="D674" s="2" t="s">
        <v>38</v>
      </c>
      <c r="E674" s="2" t="s">
        <v>39</v>
      </c>
      <c r="F674" s="2" t="s">
        <v>85</v>
      </c>
      <c r="G674">
        <v>1</v>
      </c>
      <c r="H674" s="2" t="s">
        <v>48</v>
      </c>
      <c r="I674">
        <v>109.8</v>
      </c>
      <c r="J674">
        <v>0</v>
      </c>
      <c r="K674">
        <v>0</v>
      </c>
      <c r="L674">
        <v>31.86</v>
      </c>
      <c r="M674">
        <v>43.92</v>
      </c>
      <c r="N674">
        <v>0</v>
      </c>
      <c r="O674">
        <v>3.48</v>
      </c>
      <c r="P674" s="2" t="s">
        <v>42</v>
      </c>
      <c r="Q674">
        <v>0</v>
      </c>
      <c r="R674">
        <v>109.8</v>
      </c>
      <c r="S674">
        <v>79.260000000000005</v>
      </c>
      <c r="T674">
        <v>30.54</v>
      </c>
      <c r="U674">
        <f t="shared" si="10"/>
        <v>0</v>
      </c>
    </row>
    <row r="675" spans="1:21" x14ac:dyDescent="0.25">
      <c r="A675" s="2" t="s">
        <v>1185</v>
      </c>
      <c r="B675" s="2" t="s">
        <v>591</v>
      </c>
      <c r="C675" s="1">
        <v>45829</v>
      </c>
      <c r="D675" s="2" t="s">
        <v>59</v>
      </c>
      <c r="E675" s="2" t="s">
        <v>71</v>
      </c>
      <c r="F675" s="2" t="s">
        <v>85</v>
      </c>
      <c r="G675">
        <v>4</v>
      </c>
      <c r="H675" s="2" t="s">
        <v>52</v>
      </c>
      <c r="I675">
        <v>884.48</v>
      </c>
      <c r="J675">
        <v>0</v>
      </c>
      <c r="K675">
        <v>0</v>
      </c>
      <c r="L675">
        <v>64.739999999999995</v>
      </c>
      <c r="M675">
        <v>287.45999999999998</v>
      </c>
      <c r="N675">
        <v>132.66999999999999</v>
      </c>
      <c r="O675">
        <v>25.95</v>
      </c>
      <c r="P675" s="2" t="s">
        <v>42</v>
      </c>
      <c r="Q675">
        <v>0</v>
      </c>
      <c r="R675">
        <v>884.48</v>
      </c>
      <c r="S675">
        <v>510.82</v>
      </c>
      <c r="T675">
        <v>373.66</v>
      </c>
      <c r="U675">
        <f t="shared" si="10"/>
        <v>0</v>
      </c>
    </row>
    <row r="676" spans="1:21" x14ac:dyDescent="0.25">
      <c r="A676" s="2" t="s">
        <v>1186</v>
      </c>
      <c r="B676" s="2" t="s">
        <v>1187</v>
      </c>
      <c r="C676" s="1">
        <v>45954</v>
      </c>
      <c r="D676" s="2" t="s">
        <v>45</v>
      </c>
      <c r="E676" s="2" t="s">
        <v>71</v>
      </c>
      <c r="F676" s="2" t="s">
        <v>47</v>
      </c>
      <c r="G676">
        <v>1</v>
      </c>
      <c r="H676" s="2" t="s">
        <v>56</v>
      </c>
      <c r="I676">
        <v>312.42</v>
      </c>
      <c r="J676">
        <v>0</v>
      </c>
      <c r="K676">
        <v>0</v>
      </c>
      <c r="L676">
        <v>43.62</v>
      </c>
      <c r="M676">
        <v>99.12</v>
      </c>
      <c r="N676">
        <v>0</v>
      </c>
      <c r="O676">
        <v>9.36</v>
      </c>
      <c r="P676" s="2" t="s">
        <v>42</v>
      </c>
      <c r="Q676">
        <v>0</v>
      </c>
      <c r="R676">
        <v>312.42</v>
      </c>
      <c r="S676">
        <v>152.1</v>
      </c>
      <c r="T676">
        <v>160.32</v>
      </c>
      <c r="U676">
        <f t="shared" si="10"/>
        <v>0</v>
      </c>
    </row>
    <row r="677" spans="1:21" x14ac:dyDescent="0.25">
      <c r="A677" s="2" t="s">
        <v>1188</v>
      </c>
      <c r="B677" s="2" t="s">
        <v>322</v>
      </c>
      <c r="C677" s="1">
        <v>45623</v>
      </c>
      <c r="D677" s="2" t="s">
        <v>45</v>
      </c>
      <c r="E677" s="2" t="s">
        <v>67</v>
      </c>
      <c r="F677" s="2" t="s">
        <v>47</v>
      </c>
      <c r="G677">
        <v>1</v>
      </c>
      <c r="H677" s="2" t="s">
        <v>64</v>
      </c>
      <c r="I677">
        <v>86.75</v>
      </c>
      <c r="J677">
        <v>20</v>
      </c>
      <c r="K677">
        <v>17.350000000000001</v>
      </c>
      <c r="L677">
        <v>12.94</v>
      </c>
      <c r="M677">
        <v>26.86</v>
      </c>
      <c r="N677">
        <v>0</v>
      </c>
      <c r="O677">
        <v>2.31</v>
      </c>
      <c r="P677" s="2" t="s">
        <v>42</v>
      </c>
      <c r="Q677">
        <v>0</v>
      </c>
      <c r="R677">
        <v>69.400000000000006</v>
      </c>
      <c r="S677">
        <v>42.11</v>
      </c>
      <c r="T677">
        <v>27.29</v>
      </c>
      <c r="U677">
        <f t="shared" si="10"/>
        <v>0</v>
      </c>
    </row>
    <row r="678" spans="1:21" x14ac:dyDescent="0.25">
      <c r="A678" s="2" t="s">
        <v>1189</v>
      </c>
      <c r="B678" s="2" t="s">
        <v>1190</v>
      </c>
      <c r="C678" s="1">
        <v>45562</v>
      </c>
      <c r="D678" s="2" t="s">
        <v>45</v>
      </c>
      <c r="E678" s="2" t="s">
        <v>67</v>
      </c>
      <c r="F678" s="2" t="s">
        <v>40</v>
      </c>
      <c r="G678">
        <v>2</v>
      </c>
      <c r="H678" s="2" t="s">
        <v>52</v>
      </c>
      <c r="I678">
        <v>91.34</v>
      </c>
      <c r="J678">
        <v>0</v>
      </c>
      <c r="K678">
        <v>0</v>
      </c>
      <c r="L678">
        <v>21.32</v>
      </c>
      <c r="M678">
        <v>43.2</v>
      </c>
      <c r="N678">
        <v>0</v>
      </c>
      <c r="O678">
        <v>2.95</v>
      </c>
      <c r="P678" s="2" t="s">
        <v>42</v>
      </c>
      <c r="Q678">
        <v>0</v>
      </c>
      <c r="R678">
        <v>91.34</v>
      </c>
      <c r="S678">
        <v>67.47</v>
      </c>
      <c r="T678">
        <v>23.87</v>
      </c>
      <c r="U678">
        <f t="shared" si="10"/>
        <v>0</v>
      </c>
    </row>
    <row r="679" spans="1:21" x14ac:dyDescent="0.25">
      <c r="A679" s="2" t="s">
        <v>1191</v>
      </c>
      <c r="B679" s="2" t="s">
        <v>1192</v>
      </c>
      <c r="C679" s="1">
        <v>45909</v>
      </c>
      <c r="D679" s="2" t="s">
        <v>45</v>
      </c>
      <c r="E679" s="2" t="s">
        <v>71</v>
      </c>
      <c r="F679" s="2" t="s">
        <v>47</v>
      </c>
      <c r="G679">
        <v>1</v>
      </c>
      <c r="H679" s="2" t="s">
        <v>56</v>
      </c>
      <c r="I679">
        <v>165.18</v>
      </c>
      <c r="J679">
        <v>0</v>
      </c>
      <c r="K679">
        <v>0</v>
      </c>
      <c r="L679">
        <v>17.46</v>
      </c>
      <c r="M679">
        <v>63.24</v>
      </c>
      <c r="N679">
        <v>0</v>
      </c>
      <c r="O679">
        <v>5.09</v>
      </c>
      <c r="P679" s="2" t="s">
        <v>42</v>
      </c>
      <c r="Q679">
        <v>0</v>
      </c>
      <c r="R679">
        <v>165.18</v>
      </c>
      <c r="S679">
        <v>85.79</v>
      </c>
      <c r="T679">
        <v>79.39</v>
      </c>
      <c r="U679">
        <f t="shared" si="10"/>
        <v>0</v>
      </c>
    </row>
    <row r="680" spans="1:21" x14ac:dyDescent="0.25">
      <c r="A680" s="2" t="s">
        <v>1193</v>
      </c>
      <c r="B680" s="2" t="s">
        <v>188</v>
      </c>
      <c r="C680" s="1">
        <v>45890</v>
      </c>
      <c r="D680" s="2" t="s">
        <v>45</v>
      </c>
      <c r="E680" s="2" t="s">
        <v>71</v>
      </c>
      <c r="F680" s="2" t="s">
        <v>85</v>
      </c>
      <c r="G680">
        <v>1</v>
      </c>
      <c r="H680" s="2" t="s">
        <v>52</v>
      </c>
      <c r="I680">
        <v>76.83</v>
      </c>
      <c r="J680">
        <v>20</v>
      </c>
      <c r="K680">
        <v>15.37</v>
      </c>
      <c r="L680">
        <v>9.02</v>
      </c>
      <c r="M680">
        <v>27.31</v>
      </c>
      <c r="N680">
        <v>0</v>
      </c>
      <c r="O680">
        <v>2.08</v>
      </c>
      <c r="P680" s="2" t="s">
        <v>42</v>
      </c>
      <c r="Q680">
        <v>0</v>
      </c>
      <c r="R680">
        <v>61.46</v>
      </c>
      <c r="S680">
        <v>38.409999999999997</v>
      </c>
      <c r="T680">
        <v>23.05</v>
      </c>
      <c r="U680">
        <f t="shared" si="10"/>
        <v>0</v>
      </c>
    </row>
    <row r="681" spans="1:21" x14ac:dyDescent="0.25">
      <c r="A681" s="2" t="s">
        <v>1194</v>
      </c>
      <c r="B681" s="2" t="s">
        <v>394</v>
      </c>
      <c r="C681" s="1">
        <v>45651</v>
      </c>
      <c r="D681" s="2" t="s">
        <v>38</v>
      </c>
      <c r="E681" s="2" t="s">
        <v>46</v>
      </c>
      <c r="F681" s="2" t="s">
        <v>94</v>
      </c>
      <c r="G681">
        <v>3</v>
      </c>
      <c r="H681" s="2" t="s">
        <v>41</v>
      </c>
      <c r="I681">
        <v>133.80000000000001</v>
      </c>
      <c r="J681">
        <v>20</v>
      </c>
      <c r="K681">
        <v>26.76</v>
      </c>
      <c r="L681">
        <v>39.76</v>
      </c>
      <c r="M681">
        <v>50.77</v>
      </c>
      <c r="N681">
        <v>0</v>
      </c>
      <c r="O681">
        <v>3.4</v>
      </c>
      <c r="P681" s="2" t="s">
        <v>42</v>
      </c>
      <c r="Q681">
        <v>0</v>
      </c>
      <c r="R681">
        <v>107.04</v>
      </c>
      <c r="S681">
        <v>93.93</v>
      </c>
      <c r="T681">
        <v>13.11</v>
      </c>
      <c r="U681">
        <f t="shared" si="10"/>
        <v>0</v>
      </c>
    </row>
    <row r="682" spans="1:21" x14ac:dyDescent="0.25">
      <c r="A682" s="2" t="s">
        <v>1195</v>
      </c>
      <c r="B682" s="2" t="s">
        <v>1196</v>
      </c>
      <c r="C682" s="1">
        <v>45936</v>
      </c>
      <c r="D682" s="2" t="s">
        <v>38</v>
      </c>
      <c r="E682" s="2" t="s">
        <v>71</v>
      </c>
      <c r="F682" s="2" t="s">
        <v>94</v>
      </c>
      <c r="G682">
        <v>3</v>
      </c>
      <c r="H682" s="2" t="s">
        <v>64</v>
      </c>
      <c r="I682">
        <v>188.85</v>
      </c>
      <c r="J682">
        <v>0</v>
      </c>
      <c r="K682">
        <v>0</v>
      </c>
      <c r="L682">
        <v>28</v>
      </c>
      <c r="M682">
        <v>60.02</v>
      </c>
      <c r="N682">
        <v>0</v>
      </c>
      <c r="O682">
        <v>5.78</v>
      </c>
      <c r="P682" s="2" t="s">
        <v>68</v>
      </c>
      <c r="Q682">
        <v>188.85</v>
      </c>
      <c r="R682">
        <v>0</v>
      </c>
      <c r="S682">
        <v>93.8</v>
      </c>
      <c r="T682">
        <v>-93.8</v>
      </c>
      <c r="U682">
        <f t="shared" si="10"/>
        <v>0</v>
      </c>
    </row>
    <row r="683" spans="1:21" x14ac:dyDescent="0.25">
      <c r="A683" s="2" t="s">
        <v>1197</v>
      </c>
      <c r="B683" s="2" t="s">
        <v>338</v>
      </c>
      <c r="C683" s="1">
        <v>45897</v>
      </c>
      <c r="D683" s="2" t="s">
        <v>45</v>
      </c>
      <c r="E683" s="2" t="s">
        <v>46</v>
      </c>
      <c r="F683" s="2" t="s">
        <v>85</v>
      </c>
      <c r="G683">
        <v>2</v>
      </c>
      <c r="H683" s="2" t="s">
        <v>77</v>
      </c>
      <c r="I683">
        <v>78.55</v>
      </c>
      <c r="J683">
        <v>0</v>
      </c>
      <c r="K683">
        <v>0</v>
      </c>
      <c r="L683">
        <v>19.88</v>
      </c>
      <c r="M683">
        <v>26.03</v>
      </c>
      <c r="N683">
        <v>0</v>
      </c>
      <c r="O683">
        <v>2.58</v>
      </c>
      <c r="P683" s="2" t="s">
        <v>42</v>
      </c>
      <c r="Q683">
        <v>0</v>
      </c>
      <c r="R683">
        <v>78.55</v>
      </c>
      <c r="S683">
        <v>48.49</v>
      </c>
      <c r="T683">
        <v>30.06</v>
      </c>
      <c r="U683">
        <f t="shared" si="10"/>
        <v>0</v>
      </c>
    </row>
    <row r="684" spans="1:21" x14ac:dyDescent="0.25">
      <c r="A684" s="2" t="s">
        <v>1198</v>
      </c>
      <c r="B684" s="2" t="s">
        <v>852</v>
      </c>
      <c r="C684" s="1">
        <v>45593</v>
      </c>
      <c r="D684" s="2" t="s">
        <v>45</v>
      </c>
      <c r="E684" s="2" t="s">
        <v>46</v>
      </c>
      <c r="F684" s="2" t="s">
        <v>40</v>
      </c>
      <c r="G684">
        <v>1</v>
      </c>
      <c r="H684" s="2" t="s">
        <v>48</v>
      </c>
      <c r="I684">
        <v>24.02</v>
      </c>
      <c r="J684">
        <v>20</v>
      </c>
      <c r="K684">
        <v>4.8</v>
      </c>
      <c r="L684">
        <v>3.98</v>
      </c>
      <c r="M684">
        <v>10.75</v>
      </c>
      <c r="N684">
        <v>0</v>
      </c>
      <c r="O684">
        <v>0.86</v>
      </c>
      <c r="P684" s="2" t="s">
        <v>42</v>
      </c>
      <c r="Q684">
        <v>0</v>
      </c>
      <c r="R684">
        <v>19.22</v>
      </c>
      <c r="S684">
        <v>15.59</v>
      </c>
      <c r="T684">
        <v>3.63</v>
      </c>
      <c r="U684">
        <f t="shared" si="10"/>
        <v>1</v>
      </c>
    </row>
    <row r="685" spans="1:21" x14ac:dyDescent="0.25">
      <c r="A685" s="2" t="s">
        <v>1199</v>
      </c>
      <c r="B685" s="2" t="s">
        <v>526</v>
      </c>
      <c r="C685" s="1">
        <v>45779</v>
      </c>
      <c r="D685" s="2" t="s">
        <v>80</v>
      </c>
      <c r="E685" s="2" t="s">
        <v>46</v>
      </c>
      <c r="F685" s="2" t="s">
        <v>51</v>
      </c>
      <c r="G685">
        <v>2</v>
      </c>
      <c r="H685" s="2" t="s">
        <v>56</v>
      </c>
      <c r="I685">
        <v>172.36</v>
      </c>
      <c r="J685">
        <v>0</v>
      </c>
      <c r="K685">
        <v>0</v>
      </c>
      <c r="L685">
        <v>30.88</v>
      </c>
      <c r="M685">
        <v>87.44</v>
      </c>
      <c r="N685">
        <v>13.79</v>
      </c>
      <c r="O685">
        <v>5.3</v>
      </c>
      <c r="P685" s="2" t="s">
        <v>42</v>
      </c>
      <c r="Q685">
        <v>0</v>
      </c>
      <c r="R685">
        <v>172.36</v>
      </c>
      <c r="S685">
        <v>137.41</v>
      </c>
      <c r="T685">
        <v>34.950000000000003</v>
      </c>
      <c r="U685">
        <f t="shared" si="10"/>
        <v>0</v>
      </c>
    </row>
    <row r="686" spans="1:21" x14ac:dyDescent="0.25">
      <c r="A686" s="2" t="s">
        <v>1200</v>
      </c>
      <c r="B686" s="2" t="s">
        <v>161</v>
      </c>
      <c r="C686" s="1">
        <v>45670</v>
      </c>
      <c r="D686" s="2" t="s">
        <v>45</v>
      </c>
      <c r="E686" s="2" t="s">
        <v>71</v>
      </c>
      <c r="F686" s="2" t="s">
        <v>85</v>
      </c>
      <c r="G686">
        <v>2</v>
      </c>
      <c r="H686" s="2" t="s">
        <v>56</v>
      </c>
      <c r="I686">
        <v>130.99</v>
      </c>
      <c r="J686">
        <v>10</v>
      </c>
      <c r="K686">
        <v>13.1</v>
      </c>
      <c r="L686">
        <v>35.380000000000003</v>
      </c>
      <c r="M686">
        <v>44.15</v>
      </c>
      <c r="N686">
        <v>0</v>
      </c>
      <c r="O686">
        <v>3.72</v>
      </c>
      <c r="P686" s="2" t="s">
        <v>42</v>
      </c>
      <c r="Q686">
        <v>0</v>
      </c>
      <c r="R686">
        <v>117.89</v>
      </c>
      <c r="S686">
        <v>83.25</v>
      </c>
      <c r="T686">
        <v>34.64</v>
      </c>
      <c r="U686">
        <f t="shared" si="10"/>
        <v>0</v>
      </c>
    </row>
    <row r="687" spans="1:21" x14ac:dyDescent="0.25">
      <c r="A687" s="2" t="s">
        <v>1201</v>
      </c>
      <c r="B687" s="2" t="s">
        <v>810</v>
      </c>
      <c r="C687" s="1">
        <v>45861</v>
      </c>
      <c r="D687" s="2" t="s">
        <v>80</v>
      </c>
      <c r="E687" s="2" t="s">
        <v>71</v>
      </c>
      <c r="F687" s="2" t="s">
        <v>51</v>
      </c>
      <c r="G687">
        <v>1</v>
      </c>
      <c r="H687" s="2" t="s">
        <v>56</v>
      </c>
      <c r="I687">
        <v>88.77</v>
      </c>
      <c r="J687">
        <v>0</v>
      </c>
      <c r="K687">
        <v>0</v>
      </c>
      <c r="L687">
        <v>14.1</v>
      </c>
      <c r="M687">
        <v>37.26</v>
      </c>
      <c r="N687">
        <v>7.1</v>
      </c>
      <c r="O687">
        <v>2.87</v>
      </c>
      <c r="P687" s="2" t="s">
        <v>42</v>
      </c>
      <c r="Q687">
        <v>0</v>
      </c>
      <c r="R687">
        <v>88.77</v>
      </c>
      <c r="S687">
        <v>61.33</v>
      </c>
      <c r="T687">
        <v>27.44</v>
      </c>
      <c r="U687">
        <f t="shared" si="10"/>
        <v>0</v>
      </c>
    </row>
    <row r="688" spans="1:21" x14ac:dyDescent="0.25">
      <c r="A688" s="2" t="s">
        <v>1202</v>
      </c>
      <c r="B688" s="2" t="s">
        <v>1053</v>
      </c>
      <c r="C688" s="1">
        <v>45644</v>
      </c>
      <c r="D688" s="2" t="s">
        <v>45</v>
      </c>
      <c r="E688" s="2" t="s">
        <v>55</v>
      </c>
      <c r="F688" s="2" t="s">
        <v>47</v>
      </c>
      <c r="G688">
        <v>1</v>
      </c>
      <c r="H688" s="2" t="s">
        <v>56</v>
      </c>
      <c r="I688">
        <v>137.07</v>
      </c>
      <c r="J688">
        <v>15</v>
      </c>
      <c r="K688">
        <v>20.56</v>
      </c>
      <c r="L688">
        <v>34.74</v>
      </c>
      <c r="M688">
        <v>84.63</v>
      </c>
      <c r="N688">
        <v>0</v>
      </c>
      <c r="O688">
        <v>3.68</v>
      </c>
      <c r="P688" s="2" t="s">
        <v>42</v>
      </c>
      <c r="Q688">
        <v>0</v>
      </c>
      <c r="R688">
        <v>116.51</v>
      </c>
      <c r="S688">
        <v>123.05</v>
      </c>
      <c r="T688">
        <v>-6.54</v>
      </c>
      <c r="U688">
        <f t="shared" si="10"/>
        <v>0</v>
      </c>
    </row>
    <row r="689" spans="1:21" x14ac:dyDescent="0.25">
      <c r="A689" s="2" t="s">
        <v>1203</v>
      </c>
      <c r="B689" s="2" t="s">
        <v>762</v>
      </c>
      <c r="C689" s="1">
        <v>45818</v>
      </c>
      <c r="D689" s="2" t="s">
        <v>45</v>
      </c>
      <c r="E689" s="2" t="s">
        <v>67</v>
      </c>
      <c r="F689" s="2" t="s">
        <v>85</v>
      </c>
      <c r="G689">
        <v>3</v>
      </c>
      <c r="H689" s="2" t="s">
        <v>56</v>
      </c>
      <c r="I689">
        <v>278.64</v>
      </c>
      <c r="J689">
        <v>25</v>
      </c>
      <c r="K689">
        <v>69.66</v>
      </c>
      <c r="L689">
        <v>68.7</v>
      </c>
      <c r="M689">
        <v>157.18</v>
      </c>
      <c r="N689">
        <v>0</v>
      </c>
      <c r="O689">
        <v>6.36</v>
      </c>
      <c r="P689" s="2" t="s">
        <v>42</v>
      </c>
      <c r="Q689">
        <v>0</v>
      </c>
      <c r="R689">
        <v>208.98</v>
      </c>
      <c r="S689">
        <v>232.24</v>
      </c>
      <c r="T689">
        <v>-23.26</v>
      </c>
      <c r="U689">
        <f t="shared" si="10"/>
        <v>0</v>
      </c>
    </row>
    <row r="690" spans="1:21" x14ac:dyDescent="0.25">
      <c r="A690" s="2" t="s">
        <v>1204</v>
      </c>
      <c r="B690" s="2" t="s">
        <v>353</v>
      </c>
      <c r="C690" s="1">
        <v>45956</v>
      </c>
      <c r="D690" s="2" t="s">
        <v>45</v>
      </c>
      <c r="E690" s="2" t="s">
        <v>39</v>
      </c>
      <c r="F690" s="2" t="s">
        <v>40</v>
      </c>
      <c r="G690">
        <v>1</v>
      </c>
      <c r="H690" s="2" t="s">
        <v>64</v>
      </c>
      <c r="I690">
        <v>124.56</v>
      </c>
      <c r="J690">
        <v>20</v>
      </c>
      <c r="K690">
        <v>24.91</v>
      </c>
      <c r="L690">
        <v>21.08</v>
      </c>
      <c r="M690">
        <v>46.64</v>
      </c>
      <c r="N690">
        <v>0</v>
      </c>
      <c r="O690">
        <v>3.19</v>
      </c>
      <c r="P690" s="2" t="s">
        <v>42</v>
      </c>
      <c r="Q690">
        <v>0</v>
      </c>
      <c r="R690">
        <v>99.65</v>
      </c>
      <c r="S690">
        <v>70.91</v>
      </c>
      <c r="T690">
        <v>28.74</v>
      </c>
      <c r="U690">
        <f t="shared" si="10"/>
        <v>0</v>
      </c>
    </row>
    <row r="691" spans="1:21" x14ac:dyDescent="0.25">
      <c r="A691" s="2" t="s">
        <v>1205</v>
      </c>
      <c r="B691" s="2" t="s">
        <v>1206</v>
      </c>
      <c r="C691" s="1">
        <v>45711</v>
      </c>
      <c r="D691" s="2" t="s">
        <v>45</v>
      </c>
      <c r="E691" s="2" t="s">
        <v>71</v>
      </c>
      <c r="F691" s="2" t="s">
        <v>40</v>
      </c>
      <c r="G691">
        <v>3</v>
      </c>
      <c r="H691" s="2" t="s">
        <v>41</v>
      </c>
      <c r="I691">
        <v>298.94</v>
      </c>
      <c r="J691">
        <v>5</v>
      </c>
      <c r="K691">
        <v>14.95</v>
      </c>
      <c r="L691">
        <v>31.94</v>
      </c>
      <c r="M691">
        <v>108.58</v>
      </c>
      <c r="N691">
        <v>0</v>
      </c>
      <c r="O691">
        <v>8.5399999999999991</v>
      </c>
      <c r="P691" s="2" t="s">
        <v>42</v>
      </c>
      <c r="Q691">
        <v>0</v>
      </c>
      <c r="R691">
        <v>283.99</v>
      </c>
      <c r="S691">
        <v>149.06</v>
      </c>
      <c r="T691">
        <v>134.93</v>
      </c>
      <c r="U691">
        <f t="shared" si="10"/>
        <v>0</v>
      </c>
    </row>
    <row r="692" spans="1:21" x14ac:dyDescent="0.25">
      <c r="A692" s="2" t="s">
        <v>1207</v>
      </c>
      <c r="B692" s="2" t="s">
        <v>1176</v>
      </c>
      <c r="C692" s="1">
        <v>45375</v>
      </c>
      <c r="D692" s="2" t="s">
        <v>45</v>
      </c>
      <c r="E692" s="2" t="s">
        <v>67</v>
      </c>
      <c r="F692" s="2" t="s">
        <v>94</v>
      </c>
      <c r="G692">
        <v>1</v>
      </c>
      <c r="H692" s="2" t="s">
        <v>52</v>
      </c>
      <c r="I692">
        <v>11.84</v>
      </c>
      <c r="J692">
        <v>10</v>
      </c>
      <c r="K692">
        <v>1.18</v>
      </c>
      <c r="L692">
        <v>11.5</v>
      </c>
      <c r="M692">
        <v>5.71</v>
      </c>
      <c r="N692">
        <v>0</v>
      </c>
      <c r="O692">
        <v>0.61</v>
      </c>
      <c r="P692" s="2" t="s">
        <v>42</v>
      </c>
      <c r="Q692">
        <v>0</v>
      </c>
      <c r="R692">
        <v>10.66</v>
      </c>
      <c r="S692">
        <v>17.82</v>
      </c>
      <c r="T692">
        <v>-7.16</v>
      </c>
      <c r="U692">
        <f t="shared" si="10"/>
        <v>0</v>
      </c>
    </row>
    <row r="693" spans="1:21" x14ac:dyDescent="0.25">
      <c r="A693" s="2" t="s">
        <v>1208</v>
      </c>
      <c r="B693" s="2" t="s">
        <v>698</v>
      </c>
      <c r="C693" s="1">
        <v>45932</v>
      </c>
      <c r="D693" s="2" t="s">
        <v>45</v>
      </c>
      <c r="E693" s="2" t="s">
        <v>67</v>
      </c>
      <c r="F693" s="2" t="s">
        <v>51</v>
      </c>
      <c r="G693">
        <v>4</v>
      </c>
      <c r="H693" s="2" t="s">
        <v>77</v>
      </c>
      <c r="I693">
        <v>109.71</v>
      </c>
      <c r="J693">
        <v>0</v>
      </c>
      <c r="K693">
        <v>0</v>
      </c>
      <c r="L693">
        <v>44.7</v>
      </c>
      <c r="M693">
        <v>48.13</v>
      </c>
      <c r="N693">
        <v>0</v>
      </c>
      <c r="O693">
        <v>3.48</v>
      </c>
      <c r="P693" s="2" t="s">
        <v>42</v>
      </c>
      <c r="Q693">
        <v>0</v>
      </c>
      <c r="R693">
        <v>109.71</v>
      </c>
      <c r="S693">
        <v>96.31</v>
      </c>
      <c r="T693">
        <v>13.4</v>
      </c>
      <c r="U693">
        <f t="shared" si="10"/>
        <v>0</v>
      </c>
    </row>
    <row r="694" spans="1:21" x14ac:dyDescent="0.25">
      <c r="A694" s="2" t="s">
        <v>1209</v>
      </c>
      <c r="B694" s="2" t="s">
        <v>630</v>
      </c>
      <c r="C694" s="1">
        <v>45822</v>
      </c>
      <c r="D694" s="2" t="s">
        <v>59</v>
      </c>
      <c r="E694" s="2" t="s">
        <v>67</v>
      </c>
      <c r="F694" s="2" t="s">
        <v>85</v>
      </c>
      <c r="G694">
        <v>2</v>
      </c>
      <c r="H694" s="2" t="s">
        <v>74</v>
      </c>
      <c r="I694">
        <v>137.4</v>
      </c>
      <c r="J694">
        <v>0</v>
      </c>
      <c r="K694">
        <v>0</v>
      </c>
      <c r="L694">
        <v>35.94</v>
      </c>
      <c r="M694">
        <v>78.05</v>
      </c>
      <c r="N694">
        <v>20.61</v>
      </c>
      <c r="O694">
        <v>4.28</v>
      </c>
      <c r="P694" s="2" t="s">
        <v>42</v>
      </c>
      <c r="Q694">
        <v>0</v>
      </c>
      <c r="R694">
        <v>137.4</v>
      </c>
      <c r="S694">
        <v>138.88</v>
      </c>
      <c r="T694">
        <v>-1.48</v>
      </c>
      <c r="U694">
        <f t="shared" si="10"/>
        <v>0</v>
      </c>
    </row>
    <row r="695" spans="1:21" x14ac:dyDescent="0.25">
      <c r="A695" s="2" t="s">
        <v>1210</v>
      </c>
      <c r="B695" s="2" t="s">
        <v>1211</v>
      </c>
      <c r="C695" s="1">
        <v>45476</v>
      </c>
      <c r="D695" s="2" t="s">
        <v>45</v>
      </c>
      <c r="E695" s="2" t="s">
        <v>71</v>
      </c>
      <c r="F695" s="2" t="s">
        <v>51</v>
      </c>
      <c r="G695">
        <v>4</v>
      </c>
      <c r="H695" s="2" t="s">
        <v>64</v>
      </c>
      <c r="I695">
        <v>121.96</v>
      </c>
      <c r="J695">
        <v>0</v>
      </c>
      <c r="K695">
        <v>0</v>
      </c>
      <c r="L695">
        <v>28.56</v>
      </c>
      <c r="M695">
        <v>48.3</v>
      </c>
      <c r="N695">
        <v>0</v>
      </c>
      <c r="O695">
        <v>3.84</v>
      </c>
      <c r="P695" s="2" t="s">
        <v>42</v>
      </c>
      <c r="Q695">
        <v>0</v>
      </c>
      <c r="R695">
        <v>121.96</v>
      </c>
      <c r="S695">
        <v>80.7</v>
      </c>
      <c r="T695">
        <v>41.26</v>
      </c>
      <c r="U695">
        <f t="shared" si="10"/>
        <v>0</v>
      </c>
    </row>
    <row r="696" spans="1:21" x14ac:dyDescent="0.25">
      <c r="A696" s="2" t="s">
        <v>1212</v>
      </c>
      <c r="B696" s="2" t="s">
        <v>842</v>
      </c>
      <c r="C696" s="1">
        <v>45932</v>
      </c>
      <c r="D696" s="2" t="s">
        <v>45</v>
      </c>
      <c r="E696" s="2" t="s">
        <v>46</v>
      </c>
      <c r="F696" s="2" t="s">
        <v>94</v>
      </c>
      <c r="G696">
        <v>3</v>
      </c>
      <c r="H696" s="2" t="s">
        <v>111</v>
      </c>
      <c r="I696">
        <v>196.51</v>
      </c>
      <c r="J696">
        <v>0</v>
      </c>
      <c r="K696">
        <v>0</v>
      </c>
      <c r="L696">
        <v>39.28</v>
      </c>
      <c r="M696">
        <v>92.73</v>
      </c>
      <c r="N696">
        <v>0</v>
      </c>
      <c r="O696">
        <v>6</v>
      </c>
      <c r="P696" s="2" t="s">
        <v>42</v>
      </c>
      <c r="Q696">
        <v>0</v>
      </c>
      <c r="R696">
        <v>196.51</v>
      </c>
      <c r="S696">
        <v>138.01</v>
      </c>
      <c r="T696">
        <v>58.5</v>
      </c>
      <c r="U696">
        <f t="shared" si="10"/>
        <v>0</v>
      </c>
    </row>
    <row r="697" spans="1:21" x14ac:dyDescent="0.25">
      <c r="A697" s="2" t="s">
        <v>1213</v>
      </c>
      <c r="B697" s="2" t="s">
        <v>1214</v>
      </c>
      <c r="C697" s="1">
        <v>45822</v>
      </c>
      <c r="D697" s="2" t="s">
        <v>38</v>
      </c>
      <c r="E697" s="2" t="s">
        <v>71</v>
      </c>
      <c r="F697" s="2" t="s">
        <v>51</v>
      </c>
      <c r="G697">
        <v>1</v>
      </c>
      <c r="H697" s="2" t="s">
        <v>77</v>
      </c>
      <c r="I697">
        <v>3.49</v>
      </c>
      <c r="J697">
        <v>20</v>
      </c>
      <c r="K697">
        <v>0.7</v>
      </c>
      <c r="L697">
        <v>10.38</v>
      </c>
      <c r="M697">
        <v>2.17</v>
      </c>
      <c r="N697">
        <v>0</v>
      </c>
      <c r="O697">
        <v>0.38</v>
      </c>
      <c r="P697" s="2" t="s">
        <v>42</v>
      </c>
      <c r="Q697">
        <v>0</v>
      </c>
      <c r="R697">
        <v>2.79</v>
      </c>
      <c r="S697">
        <v>12.93</v>
      </c>
      <c r="T697">
        <v>-10.14</v>
      </c>
      <c r="U697">
        <f t="shared" si="10"/>
        <v>0</v>
      </c>
    </row>
    <row r="698" spans="1:21" x14ac:dyDescent="0.25">
      <c r="A698" s="2" t="s">
        <v>1215</v>
      </c>
      <c r="B698" s="2" t="s">
        <v>1216</v>
      </c>
      <c r="C698" s="1">
        <v>45859</v>
      </c>
      <c r="D698" s="2" t="s">
        <v>59</v>
      </c>
      <c r="E698" s="2" t="s">
        <v>46</v>
      </c>
      <c r="F698" s="2" t="s">
        <v>85</v>
      </c>
      <c r="G698">
        <v>1</v>
      </c>
      <c r="H698" s="2" t="s">
        <v>64</v>
      </c>
      <c r="I698">
        <v>40.89</v>
      </c>
      <c r="J698">
        <v>10</v>
      </c>
      <c r="K698">
        <v>4.09</v>
      </c>
      <c r="L698">
        <v>15.1</v>
      </c>
      <c r="M698">
        <v>16.21</v>
      </c>
      <c r="N698">
        <v>5.52</v>
      </c>
      <c r="O698">
        <v>1.37</v>
      </c>
      <c r="P698" s="2" t="s">
        <v>68</v>
      </c>
      <c r="Q698">
        <v>36.799999999999997</v>
      </c>
      <c r="R698">
        <v>0</v>
      </c>
      <c r="S698">
        <v>38.200000000000003</v>
      </c>
      <c r="T698">
        <v>-38.200000000000003</v>
      </c>
      <c r="U698">
        <f t="shared" si="10"/>
        <v>0</v>
      </c>
    </row>
    <row r="699" spans="1:21" x14ac:dyDescent="0.25">
      <c r="A699" s="2" t="s">
        <v>1217</v>
      </c>
      <c r="B699" s="2" t="s">
        <v>1218</v>
      </c>
      <c r="C699" s="1">
        <v>45659</v>
      </c>
      <c r="D699" s="2" t="s">
        <v>59</v>
      </c>
      <c r="E699" s="2" t="s">
        <v>67</v>
      </c>
      <c r="F699" s="2" t="s">
        <v>51</v>
      </c>
      <c r="G699">
        <v>2</v>
      </c>
      <c r="H699" s="2" t="s">
        <v>111</v>
      </c>
      <c r="I699">
        <v>230.28</v>
      </c>
      <c r="J699">
        <v>0</v>
      </c>
      <c r="K699">
        <v>0</v>
      </c>
      <c r="L699">
        <v>10.28</v>
      </c>
      <c r="M699">
        <v>80.41</v>
      </c>
      <c r="N699">
        <v>34.54</v>
      </c>
      <c r="O699">
        <v>6.98</v>
      </c>
      <c r="P699" s="2" t="s">
        <v>42</v>
      </c>
      <c r="Q699">
        <v>0</v>
      </c>
      <c r="R699">
        <v>230.28</v>
      </c>
      <c r="S699">
        <v>132.21</v>
      </c>
      <c r="T699">
        <v>98.07</v>
      </c>
      <c r="U699">
        <f t="shared" si="10"/>
        <v>0</v>
      </c>
    </row>
    <row r="700" spans="1:21" x14ac:dyDescent="0.25">
      <c r="A700" s="2" t="s">
        <v>1219</v>
      </c>
      <c r="B700" s="2" t="s">
        <v>1220</v>
      </c>
      <c r="C700" s="1">
        <v>45802</v>
      </c>
      <c r="D700" s="2" t="s">
        <v>59</v>
      </c>
      <c r="E700" s="2" t="s">
        <v>46</v>
      </c>
      <c r="F700" s="2" t="s">
        <v>47</v>
      </c>
      <c r="G700">
        <v>2</v>
      </c>
      <c r="H700" s="2" t="s">
        <v>74</v>
      </c>
      <c r="I700">
        <v>284.27999999999997</v>
      </c>
      <c r="J700">
        <v>0</v>
      </c>
      <c r="K700">
        <v>0</v>
      </c>
      <c r="L700">
        <v>46.16</v>
      </c>
      <c r="M700">
        <v>126.74</v>
      </c>
      <c r="N700">
        <v>42.64</v>
      </c>
      <c r="O700">
        <v>8.5399999999999991</v>
      </c>
      <c r="P700" s="2" t="s">
        <v>42</v>
      </c>
      <c r="Q700">
        <v>0</v>
      </c>
      <c r="R700">
        <v>284.27999999999997</v>
      </c>
      <c r="S700">
        <v>224.08</v>
      </c>
      <c r="T700">
        <v>60.2</v>
      </c>
      <c r="U700">
        <f t="shared" si="10"/>
        <v>1</v>
      </c>
    </row>
    <row r="701" spans="1:21" x14ac:dyDescent="0.25">
      <c r="A701" s="2" t="s">
        <v>1221</v>
      </c>
      <c r="B701" s="2" t="s">
        <v>188</v>
      </c>
      <c r="C701" s="1">
        <v>45548</v>
      </c>
      <c r="D701" s="2" t="s">
        <v>38</v>
      </c>
      <c r="E701" s="2" t="s">
        <v>71</v>
      </c>
      <c r="F701" s="2" t="s">
        <v>47</v>
      </c>
      <c r="G701">
        <v>4</v>
      </c>
      <c r="H701" s="2" t="s">
        <v>64</v>
      </c>
      <c r="I701">
        <v>285.27999999999997</v>
      </c>
      <c r="J701">
        <v>10</v>
      </c>
      <c r="K701">
        <v>28.53</v>
      </c>
      <c r="L701">
        <v>59.38</v>
      </c>
      <c r="M701">
        <v>135.65</v>
      </c>
      <c r="N701">
        <v>0</v>
      </c>
      <c r="O701">
        <v>7.75</v>
      </c>
      <c r="P701" s="2" t="s">
        <v>42</v>
      </c>
      <c r="Q701">
        <v>0</v>
      </c>
      <c r="R701">
        <v>256.75</v>
      </c>
      <c r="S701">
        <v>202.78</v>
      </c>
      <c r="T701">
        <v>53.97</v>
      </c>
      <c r="U701">
        <f t="shared" si="10"/>
        <v>0</v>
      </c>
    </row>
    <row r="702" spans="1:21" x14ac:dyDescent="0.25">
      <c r="A702" s="2" t="s">
        <v>1222</v>
      </c>
      <c r="B702" s="2" t="s">
        <v>1223</v>
      </c>
      <c r="C702" s="1">
        <v>45808</v>
      </c>
      <c r="D702" s="2" t="s">
        <v>45</v>
      </c>
      <c r="E702" s="2" t="s">
        <v>46</v>
      </c>
      <c r="F702" s="2" t="s">
        <v>51</v>
      </c>
      <c r="G702">
        <v>2</v>
      </c>
      <c r="H702" s="2" t="s">
        <v>56</v>
      </c>
      <c r="I702">
        <v>66.53</v>
      </c>
      <c r="J702">
        <v>10</v>
      </c>
      <c r="K702">
        <v>6.65</v>
      </c>
      <c r="L702">
        <v>38.340000000000003</v>
      </c>
      <c r="M702">
        <v>28.38</v>
      </c>
      <c r="N702">
        <v>0</v>
      </c>
      <c r="O702">
        <v>2.04</v>
      </c>
      <c r="P702" s="2" t="s">
        <v>42</v>
      </c>
      <c r="Q702">
        <v>0</v>
      </c>
      <c r="R702">
        <v>59.88</v>
      </c>
      <c r="S702">
        <v>68.760000000000005</v>
      </c>
      <c r="T702">
        <v>-8.8800000000000008</v>
      </c>
      <c r="U702">
        <f t="shared" si="10"/>
        <v>0</v>
      </c>
    </row>
    <row r="703" spans="1:21" x14ac:dyDescent="0.25">
      <c r="A703" s="2" t="s">
        <v>1224</v>
      </c>
      <c r="B703" s="2" t="s">
        <v>826</v>
      </c>
      <c r="C703" s="1">
        <v>45435</v>
      </c>
      <c r="D703" s="2" t="s">
        <v>45</v>
      </c>
      <c r="E703" s="2" t="s">
        <v>39</v>
      </c>
      <c r="F703" s="2" t="s">
        <v>47</v>
      </c>
      <c r="G703">
        <v>1</v>
      </c>
      <c r="H703" s="2" t="s">
        <v>48</v>
      </c>
      <c r="I703">
        <v>47.32</v>
      </c>
      <c r="J703">
        <v>15</v>
      </c>
      <c r="K703">
        <v>7.1</v>
      </c>
      <c r="L703">
        <v>9.1</v>
      </c>
      <c r="M703">
        <v>20.94</v>
      </c>
      <c r="N703">
        <v>0</v>
      </c>
      <c r="O703">
        <v>1.47</v>
      </c>
      <c r="P703" s="2" t="s">
        <v>68</v>
      </c>
      <c r="Q703">
        <v>40.22</v>
      </c>
      <c r="R703">
        <v>0</v>
      </c>
      <c r="S703">
        <v>31.51</v>
      </c>
      <c r="T703">
        <v>-31.51</v>
      </c>
      <c r="U703">
        <f t="shared" si="10"/>
        <v>0</v>
      </c>
    </row>
    <row r="704" spans="1:21" x14ac:dyDescent="0.25">
      <c r="A704" s="2" t="s">
        <v>1225</v>
      </c>
      <c r="B704" s="2" t="s">
        <v>386</v>
      </c>
      <c r="C704" s="1">
        <v>45610</v>
      </c>
      <c r="D704" s="2" t="s">
        <v>45</v>
      </c>
      <c r="E704" s="2" t="s">
        <v>46</v>
      </c>
      <c r="F704" s="2" t="s">
        <v>94</v>
      </c>
      <c r="G704">
        <v>3</v>
      </c>
      <c r="H704" s="2" t="s">
        <v>41</v>
      </c>
      <c r="I704">
        <v>145.41</v>
      </c>
      <c r="J704">
        <v>0</v>
      </c>
      <c r="K704">
        <v>0</v>
      </c>
      <c r="L704">
        <v>33.82</v>
      </c>
      <c r="M704">
        <v>58.73</v>
      </c>
      <c r="N704">
        <v>0</v>
      </c>
      <c r="O704">
        <v>4.5199999999999996</v>
      </c>
      <c r="P704" s="2" t="s">
        <v>42</v>
      </c>
      <c r="Q704">
        <v>0</v>
      </c>
      <c r="R704">
        <v>145.41</v>
      </c>
      <c r="S704">
        <v>97.07</v>
      </c>
      <c r="T704">
        <v>48.34</v>
      </c>
      <c r="U704">
        <f t="shared" si="10"/>
        <v>0</v>
      </c>
    </row>
    <row r="705" spans="1:21" x14ac:dyDescent="0.25">
      <c r="A705" s="2" t="s">
        <v>1226</v>
      </c>
      <c r="B705" s="2" t="s">
        <v>1227</v>
      </c>
      <c r="C705" s="1">
        <v>45742</v>
      </c>
      <c r="D705" s="2" t="s">
        <v>45</v>
      </c>
      <c r="E705" s="2" t="s">
        <v>71</v>
      </c>
      <c r="F705" s="2" t="s">
        <v>40</v>
      </c>
      <c r="G705">
        <v>4</v>
      </c>
      <c r="H705" s="2" t="s">
        <v>64</v>
      </c>
      <c r="I705">
        <v>174.7</v>
      </c>
      <c r="J705">
        <v>20</v>
      </c>
      <c r="K705">
        <v>34.94</v>
      </c>
      <c r="L705">
        <v>40.880000000000003</v>
      </c>
      <c r="M705">
        <v>76.52</v>
      </c>
      <c r="N705">
        <v>0</v>
      </c>
      <c r="O705">
        <v>4.3499999999999996</v>
      </c>
      <c r="P705" s="2" t="s">
        <v>42</v>
      </c>
      <c r="Q705">
        <v>0</v>
      </c>
      <c r="R705">
        <v>139.76</v>
      </c>
      <c r="S705">
        <v>121.75</v>
      </c>
      <c r="T705">
        <v>18.010000000000002</v>
      </c>
      <c r="U705">
        <f t="shared" si="10"/>
        <v>1</v>
      </c>
    </row>
    <row r="706" spans="1:21" x14ac:dyDescent="0.25">
      <c r="A706" s="2" t="s">
        <v>1228</v>
      </c>
      <c r="B706" s="2" t="s">
        <v>1229</v>
      </c>
      <c r="C706" s="1">
        <v>45719</v>
      </c>
      <c r="D706" s="2" t="s">
        <v>38</v>
      </c>
      <c r="E706" s="2" t="s">
        <v>46</v>
      </c>
      <c r="F706" s="2" t="s">
        <v>85</v>
      </c>
      <c r="G706">
        <v>2</v>
      </c>
      <c r="H706" s="2" t="s">
        <v>48</v>
      </c>
      <c r="I706">
        <v>19.82</v>
      </c>
      <c r="J706">
        <v>10</v>
      </c>
      <c r="K706">
        <v>1.98</v>
      </c>
      <c r="L706">
        <v>20.76</v>
      </c>
      <c r="M706">
        <v>7.36</v>
      </c>
      <c r="N706">
        <v>0</v>
      </c>
      <c r="O706">
        <v>0.82</v>
      </c>
      <c r="P706" s="2" t="s">
        <v>42</v>
      </c>
      <c r="Q706">
        <v>0</v>
      </c>
      <c r="R706">
        <v>17.84</v>
      </c>
      <c r="S706">
        <v>28.94</v>
      </c>
      <c r="T706">
        <v>-11.1</v>
      </c>
      <c r="U706">
        <f t="shared" si="10"/>
        <v>0</v>
      </c>
    </row>
    <row r="707" spans="1:21" x14ac:dyDescent="0.25">
      <c r="A707" s="2" t="s">
        <v>1230</v>
      </c>
      <c r="B707" s="2" t="s">
        <v>1231</v>
      </c>
      <c r="C707" s="1">
        <v>45414</v>
      </c>
      <c r="D707" s="2" t="s">
        <v>45</v>
      </c>
      <c r="E707" s="2" t="s">
        <v>71</v>
      </c>
      <c r="F707" s="2" t="s">
        <v>85</v>
      </c>
      <c r="G707">
        <v>2</v>
      </c>
      <c r="H707" s="2" t="s">
        <v>56</v>
      </c>
      <c r="I707">
        <v>146.83000000000001</v>
      </c>
      <c r="J707">
        <v>0</v>
      </c>
      <c r="K707">
        <v>0</v>
      </c>
      <c r="L707">
        <v>19.239999999999998</v>
      </c>
      <c r="M707">
        <v>49.55</v>
      </c>
      <c r="N707">
        <v>0</v>
      </c>
      <c r="O707">
        <v>4.5599999999999996</v>
      </c>
      <c r="P707" s="2" t="s">
        <v>42</v>
      </c>
      <c r="Q707">
        <v>0</v>
      </c>
      <c r="R707">
        <v>146.83000000000001</v>
      </c>
      <c r="S707">
        <v>73.349999999999994</v>
      </c>
      <c r="T707">
        <v>73.48</v>
      </c>
      <c r="U707">
        <f t="shared" si="10"/>
        <v>0</v>
      </c>
    </row>
    <row r="708" spans="1:21" x14ac:dyDescent="0.25">
      <c r="A708" s="2" t="s">
        <v>1232</v>
      </c>
      <c r="B708" s="2" t="s">
        <v>1233</v>
      </c>
      <c r="C708" s="1">
        <v>45897</v>
      </c>
      <c r="D708" s="2" t="s">
        <v>38</v>
      </c>
      <c r="E708" s="2" t="s">
        <v>67</v>
      </c>
      <c r="F708" s="2" t="s">
        <v>40</v>
      </c>
      <c r="G708">
        <v>1</v>
      </c>
      <c r="H708" s="2" t="s">
        <v>41</v>
      </c>
      <c r="I708">
        <v>35.03</v>
      </c>
      <c r="J708">
        <v>10</v>
      </c>
      <c r="K708">
        <v>3.5</v>
      </c>
      <c r="L708">
        <v>9.98</v>
      </c>
      <c r="M708">
        <v>11.54</v>
      </c>
      <c r="N708">
        <v>0</v>
      </c>
      <c r="O708">
        <v>1.21</v>
      </c>
      <c r="P708" s="2" t="s">
        <v>42</v>
      </c>
      <c r="Q708">
        <v>0</v>
      </c>
      <c r="R708">
        <v>31.53</v>
      </c>
      <c r="S708">
        <v>22.73</v>
      </c>
      <c r="T708">
        <v>8.8000000000000007</v>
      </c>
      <c r="U708">
        <f t="shared" si="10"/>
        <v>0</v>
      </c>
    </row>
    <row r="709" spans="1:21" x14ac:dyDescent="0.25">
      <c r="A709" s="2" t="s">
        <v>1234</v>
      </c>
      <c r="B709" s="2" t="s">
        <v>1235</v>
      </c>
      <c r="C709" s="1">
        <v>45791</v>
      </c>
      <c r="D709" s="2" t="s">
        <v>45</v>
      </c>
      <c r="E709" s="2" t="s">
        <v>67</v>
      </c>
      <c r="F709" s="2" t="s">
        <v>40</v>
      </c>
      <c r="G709">
        <v>1</v>
      </c>
      <c r="H709" s="2" t="s">
        <v>56</v>
      </c>
      <c r="I709">
        <v>55.06</v>
      </c>
      <c r="J709">
        <v>0</v>
      </c>
      <c r="K709">
        <v>0</v>
      </c>
      <c r="L709">
        <v>5.82</v>
      </c>
      <c r="M709">
        <v>21.08</v>
      </c>
      <c r="N709">
        <v>0</v>
      </c>
      <c r="O709">
        <v>1.9</v>
      </c>
      <c r="P709" s="2" t="s">
        <v>68</v>
      </c>
      <c r="Q709">
        <v>55.06</v>
      </c>
      <c r="R709">
        <v>0</v>
      </c>
      <c r="S709">
        <v>28.8</v>
      </c>
      <c r="T709">
        <v>-28.8</v>
      </c>
      <c r="U709">
        <f t="shared" ref="U709:U772" si="11">IF(P707="Yes", 1, 0)</f>
        <v>0</v>
      </c>
    </row>
    <row r="710" spans="1:21" x14ac:dyDescent="0.25">
      <c r="A710" s="2" t="s">
        <v>1236</v>
      </c>
      <c r="B710" s="2" t="s">
        <v>1184</v>
      </c>
      <c r="C710" s="1">
        <v>45745</v>
      </c>
      <c r="D710" s="2" t="s">
        <v>45</v>
      </c>
      <c r="E710" s="2" t="s">
        <v>46</v>
      </c>
      <c r="F710" s="2" t="s">
        <v>40</v>
      </c>
      <c r="G710">
        <v>2</v>
      </c>
      <c r="H710" s="2" t="s">
        <v>56</v>
      </c>
      <c r="I710">
        <v>94.66</v>
      </c>
      <c r="J710">
        <v>0</v>
      </c>
      <c r="K710">
        <v>0</v>
      </c>
      <c r="L710">
        <v>19.239999999999998</v>
      </c>
      <c r="M710">
        <v>35.380000000000003</v>
      </c>
      <c r="N710">
        <v>0</v>
      </c>
      <c r="O710">
        <v>3.05</v>
      </c>
      <c r="P710" s="2" t="s">
        <v>42</v>
      </c>
      <c r="Q710">
        <v>0</v>
      </c>
      <c r="R710">
        <v>94.66</v>
      </c>
      <c r="S710">
        <v>57.67</v>
      </c>
      <c r="T710">
        <v>36.99</v>
      </c>
      <c r="U710">
        <f t="shared" si="11"/>
        <v>0</v>
      </c>
    </row>
    <row r="711" spans="1:21" x14ac:dyDescent="0.25">
      <c r="A711" s="2" t="s">
        <v>1237</v>
      </c>
      <c r="B711" s="2" t="s">
        <v>808</v>
      </c>
      <c r="C711" s="1">
        <v>46000</v>
      </c>
      <c r="D711" s="2" t="s">
        <v>45</v>
      </c>
      <c r="E711" s="2" t="s">
        <v>67</v>
      </c>
      <c r="F711" s="2" t="s">
        <v>94</v>
      </c>
      <c r="G711">
        <v>3</v>
      </c>
      <c r="H711" s="2" t="s">
        <v>77</v>
      </c>
      <c r="I711">
        <v>274.61</v>
      </c>
      <c r="J711">
        <v>15</v>
      </c>
      <c r="K711">
        <v>41.19</v>
      </c>
      <c r="L711">
        <v>52.56</v>
      </c>
      <c r="M711">
        <v>90.09</v>
      </c>
      <c r="N711">
        <v>0</v>
      </c>
      <c r="O711">
        <v>7.07</v>
      </c>
      <c r="P711" s="2" t="s">
        <v>42</v>
      </c>
      <c r="Q711">
        <v>0</v>
      </c>
      <c r="R711">
        <v>233.42</v>
      </c>
      <c r="S711">
        <v>149.72</v>
      </c>
      <c r="T711">
        <v>83.7</v>
      </c>
      <c r="U711">
        <f t="shared" si="11"/>
        <v>1</v>
      </c>
    </row>
    <row r="712" spans="1:21" x14ac:dyDescent="0.25">
      <c r="A712" s="2" t="s">
        <v>1238</v>
      </c>
      <c r="B712" s="2" t="s">
        <v>416</v>
      </c>
      <c r="C712" s="1">
        <v>45962</v>
      </c>
      <c r="D712" s="2" t="s">
        <v>45</v>
      </c>
      <c r="E712" s="2" t="s">
        <v>39</v>
      </c>
      <c r="F712" s="2" t="s">
        <v>85</v>
      </c>
      <c r="G712">
        <v>2</v>
      </c>
      <c r="H712" s="2" t="s">
        <v>74</v>
      </c>
      <c r="I712">
        <v>221.77</v>
      </c>
      <c r="J712">
        <v>0</v>
      </c>
      <c r="K712">
        <v>0</v>
      </c>
      <c r="L712">
        <v>50.56</v>
      </c>
      <c r="M712">
        <v>127.04</v>
      </c>
      <c r="N712">
        <v>0</v>
      </c>
      <c r="O712">
        <v>6.73</v>
      </c>
      <c r="P712" s="2" t="s">
        <v>42</v>
      </c>
      <c r="Q712">
        <v>0</v>
      </c>
      <c r="R712">
        <v>221.77</v>
      </c>
      <c r="S712">
        <v>184.33</v>
      </c>
      <c r="T712">
        <v>37.44</v>
      </c>
      <c r="U712">
        <f t="shared" si="11"/>
        <v>0</v>
      </c>
    </row>
    <row r="713" spans="1:21" x14ac:dyDescent="0.25">
      <c r="A713" s="2" t="s">
        <v>1239</v>
      </c>
      <c r="B713" s="2" t="s">
        <v>1240</v>
      </c>
      <c r="C713" s="1">
        <v>45573</v>
      </c>
      <c r="D713" s="2" t="s">
        <v>38</v>
      </c>
      <c r="E713" s="2" t="s">
        <v>55</v>
      </c>
      <c r="F713" s="2" t="s">
        <v>47</v>
      </c>
      <c r="G713">
        <v>4</v>
      </c>
      <c r="H713" s="2" t="s">
        <v>77</v>
      </c>
      <c r="I713">
        <v>241.39</v>
      </c>
      <c r="J713">
        <v>0</v>
      </c>
      <c r="K713">
        <v>0</v>
      </c>
      <c r="L713">
        <v>100.48</v>
      </c>
      <c r="M713">
        <v>111.31</v>
      </c>
      <c r="N713">
        <v>0</v>
      </c>
      <c r="O713">
        <v>7.3</v>
      </c>
      <c r="P713" s="2" t="s">
        <v>68</v>
      </c>
      <c r="Q713">
        <v>241.39</v>
      </c>
      <c r="R713">
        <v>0</v>
      </c>
      <c r="S713">
        <v>219.09</v>
      </c>
      <c r="T713">
        <v>-219.09</v>
      </c>
      <c r="U713">
        <f t="shared" si="11"/>
        <v>0</v>
      </c>
    </row>
    <row r="714" spans="1:21" x14ac:dyDescent="0.25">
      <c r="A714" s="2" t="s">
        <v>1241</v>
      </c>
      <c r="B714" s="2" t="s">
        <v>1242</v>
      </c>
      <c r="C714" s="1">
        <v>45745</v>
      </c>
      <c r="D714" s="2" t="s">
        <v>59</v>
      </c>
      <c r="E714" s="2" t="s">
        <v>46</v>
      </c>
      <c r="F714" s="2" t="s">
        <v>47</v>
      </c>
      <c r="G714">
        <v>1</v>
      </c>
      <c r="H714" s="2" t="s">
        <v>111</v>
      </c>
      <c r="I714">
        <v>104.73</v>
      </c>
      <c r="J714">
        <v>10</v>
      </c>
      <c r="K714">
        <v>10.47</v>
      </c>
      <c r="L714">
        <v>14.94</v>
      </c>
      <c r="M714">
        <v>34.15</v>
      </c>
      <c r="N714">
        <v>14.14</v>
      </c>
      <c r="O714">
        <v>3.03</v>
      </c>
      <c r="P714" s="2" t="s">
        <v>42</v>
      </c>
      <c r="Q714">
        <v>0</v>
      </c>
      <c r="R714">
        <v>94.26</v>
      </c>
      <c r="S714">
        <v>66.260000000000005</v>
      </c>
      <c r="T714">
        <v>28</v>
      </c>
      <c r="U714">
        <f t="shared" si="11"/>
        <v>0</v>
      </c>
    </row>
    <row r="715" spans="1:21" x14ac:dyDescent="0.25">
      <c r="A715" s="2" t="s">
        <v>1243</v>
      </c>
      <c r="B715" s="2" t="s">
        <v>439</v>
      </c>
      <c r="C715" s="1">
        <v>45789</v>
      </c>
      <c r="D715" s="2" t="s">
        <v>80</v>
      </c>
      <c r="E715" s="2" t="s">
        <v>67</v>
      </c>
      <c r="F715" s="2" t="s">
        <v>94</v>
      </c>
      <c r="G715">
        <v>2</v>
      </c>
      <c r="H715" s="2" t="s">
        <v>48</v>
      </c>
      <c r="I715">
        <v>112.34</v>
      </c>
      <c r="J715">
        <v>0</v>
      </c>
      <c r="K715">
        <v>0</v>
      </c>
      <c r="L715">
        <v>36.659999999999997</v>
      </c>
      <c r="M715">
        <v>36.729999999999997</v>
      </c>
      <c r="N715">
        <v>8.99</v>
      </c>
      <c r="O715">
        <v>3.56</v>
      </c>
      <c r="P715" s="2" t="s">
        <v>42</v>
      </c>
      <c r="Q715">
        <v>0</v>
      </c>
      <c r="R715">
        <v>112.34</v>
      </c>
      <c r="S715">
        <v>85.94</v>
      </c>
      <c r="T715">
        <v>26.4</v>
      </c>
      <c r="U715">
        <f t="shared" si="11"/>
        <v>1</v>
      </c>
    </row>
    <row r="716" spans="1:21" x14ac:dyDescent="0.25">
      <c r="A716" s="2" t="s">
        <v>1244</v>
      </c>
      <c r="B716" s="2" t="s">
        <v>98</v>
      </c>
      <c r="C716" s="1">
        <v>45734</v>
      </c>
      <c r="D716" s="2" t="s">
        <v>38</v>
      </c>
      <c r="E716" s="2" t="s">
        <v>46</v>
      </c>
      <c r="F716" s="2" t="s">
        <v>51</v>
      </c>
      <c r="G716">
        <v>2</v>
      </c>
      <c r="H716" s="2" t="s">
        <v>64</v>
      </c>
      <c r="I716">
        <v>56.39</v>
      </c>
      <c r="J716">
        <v>0</v>
      </c>
      <c r="K716">
        <v>0</v>
      </c>
      <c r="L716">
        <v>16.18</v>
      </c>
      <c r="M716">
        <v>18.84</v>
      </c>
      <c r="N716">
        <v>0</v>
      </c>
      <c r="O716">
        <v>1.94</v>
      </c>
      <c r="P716" s="2" t="s">
        <v>42</v>
      </c>
      <c r="Q716">
        <v>0</v>
      </c>
      <c r="R716">
        <v>56.39</v>
      </c>
      <c r="S716">
        <v>36.96</v>
      </c>
      <c r="T716">
        <v>19.43</v>
      </c>
      <c r="U716">
        <f t="shared" si="11"/>
        <v>0</v>
      </c>
    </row>
    <row r="717" spans="1:21" x14ac:dyDescent="0.25">
      <c r="A717" s="2" t="s">
        <v>1245</v>
      </c>
      <c r="B717" s="2" t="s">
        <v>127</v>
      </c>
      <c r="C717" s="1">
        <v>45890</v>
      </c>
      <c r="D717" s="2" t="s">
        <v>59</v>
      </c>
      <c r="E717" s="2" t="s">
        <v>55</v>
      </c>
      <c r="F717" s="2" t="s">
        <v>85</v>
      </c>
      <c r="G717">
        <v>1</v>
      </c>
      <c r="H717" s="2" t="s">
        <v>74</v>
      </c>
      <c r="I717">
        <v>230.18</v>
      </c>
      <c r="J717">
        <v>20</v>
      </c>
      <c r="K717">
        <v>46.04</v>
      </c>
      <c r="L717">
        <v>16.440000000000001</v>
      </c>
      <c r="M717">
        <v>67.900000000000006</v>
      </c>
      <c r="N717">
        <v>27.62</v>
      </c>
      <c r="O717">
        <v>5.64</v>
      </c>
      <c r="P717" s="2" t="s">
        <v>42</v>
      </c>
      <c r="Q717">
        <v>0</v>
      </c>
      <c r="R717">
        <v>184.14</v>
      </c>
      <c r="S717">
        <v>117.6</v>
      </c>
      <c r="T717">
        <v>66.540000000000006</v>
      </c>
      <c r="U717">
        <f t="shared" si="11"/>
        <v>0</v>
      </c>
    </row>
    <row r="718" spans="1:21" x14ac:dyDescent="0.25">
      <c r="A718" s="2" t="s">
        <v>1246</v>
      </c>
      <c r="B718" s="2" t="s">
        <v>1247</v>
      </c>
      <c r="C718" s="1">
        <v>45801</v>
      </c>
      <c r="D718" s="2" t="s">
        <v>45</v>
      </c>
      <c r="E718" s="2" t="s">
        <v>55</v>
      </c>
      <c r="F718" s="2" t="s">
        <v>94</v>
      </c>
      <c r="G718">
        <v>3</v>
      </c>
      <c r="H718" s="2" t="s">
        <v>56</v>
      </c>
      <c r="I718">
        <v>261.82</v>
      </c>
      <c r="J718">
        <v>15</v>
      </c>
      <c r="K718">
        <v>39.270000000000003</v>
      </c>
      <c r="L718">
        <v>30.8</v>
      </c>
      <c r="M718">
        <v>97.43</v>
      </c>
      <c r="N718">
        <v>0</v>
      </c>
      <c r="O718">
        <v>6.75</v>
      </c>
      <c r="P718" s="2" t="s">
        <v>42</v>
      </c>
      <c r="Q718">
        <v>0</v>
      </c>
      <c r="R718">
        <v>222.55</v>
      </c>
      <c r="S718">
        <v>134.97999999999999</v>
      </c>
      <c r="T718">
        <v>87.57</v>
      </c>
      <c r="U718">
        <f t="shared" si="11"/>
        <v>0</v>
      </c>
    </row>
    <row r="719" spans="1:21" x14ac:dyDescent="0.25">
      <c r="A719" s="2" t="s">
        <v>1248</v>
      </c>
      <c r="B719" s="2" t="s">
        <v>274</v>
      </c>
      <c r="C719" s="1">
        <v>45703</v>
      </c>
      <c r="D719" s="2" t="s">
        <v>38</v>
      </c>
      <c r="E719" s="2" t="s">
        <v>71</v>
      </c>
      <c r="F719" s="2" t="s">
        <v>85</v>
      </c>
      <c r="G719">
        <v>2</v>
      </c>
      <c r="H719" s="2" t="s">
        <v>64</v>
      </c>
      <c r="I719">
        <v>104.67</v>
      </c>
      <c r="J719">
        <v>15</v>
      </c>
      <c r="K719">
        <v>15.7</v>
      </c>
      <c r="L719">
        <v>20.92</v>
      </c>
      <c r="M719">
        <v>33.03</v>
      </c>
      <c r="N719">
        <v>0</v>
      </c>
      <c r="O719">
        <v>2.88</v>
      </c>
      <c r="P719" s="2" t="s">
        <v>42</v>
      </c>
      <c r="Q719">
        <v>0</v>
      </c>
      <c r="R719">
        <v>88.97</v>
      </c>
      <c r="S719">
        <v>56.83</v>
      </c>
      <c r="T719">
        <v>32.14</v>
      </c>
      <c r="U719">
        <f t="shared" si="11"/>
        <v>0</v>
      </c>
    </row>
    <row r="720" spans="1:21" x14ac:dyDescent="0.25">
      <c r="A720" s="2" t="s">
        <v>1249</v>
      </c>
      <c r="B720" s="2" t="s">
        <v>357</v>
      </c>
      <c r="C720" s="1">
        <v>45844</v>
      </c>
      <c r="D720" s="2" t="s">
        <v>45</v>
      </c>
      <c r="E720" s="2" t="s">
        <v>71</v>
      </c>
      <c r="F720" s="2" t="s">
        <v>40</v>
      </c>
      <c r="G720">
        <v>1</v>
      </c>
      <c r="H720" s="2" t="s">
        <v>64</v>
      </c>
      <c r="I720">
        <v>125.4</v>
      </c>
      <c r="J720">
        <v>10</v>
      </c>
      <c r="K720">
        <v>12.54</v>
      </c>
      <c r="L720">
        <v>15</v>
      </c>
      <c r="M720">
        <v>41.58</v>
      </c>
      <c r="N720">
        <v>0</v>
      </c>
      <c r="O720">
        <v>3.57</v>
      </c>
      <c r="P720" s="2" t="s">
        <v>42</v>
      </c>
      <c r="Q720">
        <v>0</v>
      </c>
      <c r="R720">
        <v>112.86</v>
      </c>
      <c r="S720">
        <v>60.15</v>
      </c>
      <c r="T720">
        <v>52.71</v>
      </c>
      <c r="U720">
        <f t="shared" si="11"/>
        <v>0</v>
      </c>
    </row>
    <row r="721" spans="1:21" x14ac:dyDescent="0.25">
      <c r="A721" s="2" t="s">
        <v>1250</v>
      </c>
      <c r="B721" s="2" t="s">
        <v>578</v>
      </c>
      <c r="C721" s="1">
        <v>45846</v>
      </c>
      <c r="D721" s="2" t="s">
        <v>38</v>
      </c>
      <c r="E721" s="2" t="s">
        <v>55</v>
      </c>
      <c r="F721" s="2" t="s">
        <v>51</v>
      </c>
      <c r="G721">
        <v>1</v>
      </c>
      <c r="H721" s="2" t="s">
        <v>111</v>
      </c>
      <c r="I721">
        <v>62.92</v>
      </c>
      <c r="J721">
        <v>15</v>
      </c>
      <c r="K721">
        <v>9.44</v>
      </c>
      <c r="L721">
        <v>10.38</v>
      </c>
      <c r="M721">
        <v>27.03</v>
      </c>
      <c r="N721">
        <v>0</v>
      </c>
      <c r="O721">
        <v>1.85</v>
      </c>
      <c r="P721" s="2" t="s">
        <v>42</v>
      </c>
      <c r="Q721">
        <v>0</v>
      </c>
      <c r="R721">
        <v>53.48</v>
      </c>
      <c r="S721">
        <v>39.26</v>
      </c>
      <c r="T721">
        <v>14.22</v>
      </c>
      <c r="U721">
        <f t="shared" si="11"/>
        <v>0</v>
      </c>
    </row>
    <row r="722" spans="1:21" x14ac:dyDescent="0.25">
      <c r="A722" s="2" t="s">
        <v>1251</v>
      </c>
      <c r="B722" s="2" t="s">
        <v>1247</v>
      </c>
      <c r="C722" s="1">
        <v>45568</v>
      </c>
      <c r="D722" s="2" t="s">
        <v>45</v>
      </c>
      <c r="E722" s="2" t="s">
        <v>46</v>
      </c>
      <c r="F722" s="2" t="s">
        <v>94</v>
      </c>
      <c r="G722">
        <v>2</v>
      </c>
      <c r="H722" s="2" t="s">
        <v>77</v>
      </c>
      <c r="I722">
        <v>35.58</v>
      </c>
      <c r="J722">
        <v>10</v>
      </c>
      <c r="K722">
        <v>3.56</v>
      </c>
      <c r="L722">
        <v>26.52</v>
      </c>
      <c r="M722">
        <v>14.19</v>
      </c>
      <c r="N722">
        <v>0</v>
      </c>
      <c r="O722">
        <v>1.23</v>
      </c>
      <c r="P722" s="2" t="s">
        <v>42</v>
      </c>
      <c r="Q722">
        <v>0</v>
      </c>
      <c r="R722">
        <v>32.020000000000003</v>
      </c>
      <c r="S722">
        <v>41.94</v>
      </c>
      <c r="T722">
        <v>-9.92</v>
      </c>
      <c r="U722">
        <f t="shared" si="11"/>
        <v>0</v>
      </c>
    </row>
    <row r="723" spans="1:21" x14ac:dyDescent="0.25">
      <c r="A723" s="2" t="s">
        <v>1252</v>
      </c>
      <c r="B723" s="2" t="s">
        <v>1253</v>
      </c>
      <c r="C723" s="1">
        <v>45842</v>
      </c>
      <c r="D723" s="2" t="s">
        <v>59</v>
      </c>
      <c r="E723" s="2" t="s">
        <v>46</v>
      </c>
      <c r="F723" s="2" t="s">
        <v>51</v>
      </c>
      <c r="G723">
        <v>2</v>
      </c>
      <c r="H723" s="2" t="s">
        <v>74</v>
      </c>
      <c r="I723">
        <v>88.66</v>
      </c>
      <c r="J723">
        <v>5</v>
      </c>
      <c r="K723">
        <v>4.43</v>
      </c>
      <c r="L723">
        <v>28.84</v>
      </c>
      <c r="M723">
        <v>30.63</v>
      </c>
      <c r="N723">
        <v>12.63</v>
      </c>
      <c r="O723">
        <v>2.74</v>
      </c>
      <c r="P723" s="2" t="s">
        <v>42</v>
      </c>
      <c r="Q723">
        <v>0</v>
      </c>
      <c r="R723">
        <v>84.23</v>
      </c>
      <c r="S723">
        <v>74.84</v>
      </c>
      <c r="T723">
        <v>9.39</v>
      </c>
      <c r="U723">
        <f t="shared" si="11"/>
        <v>0</v>
      </c>
    </row>
    <row r="724" spans="1:21" x14ac:dyDescent="0.25">
      <c r="A724" s="2" t="s">
        <v>1254</v>
      </c>
      <c r="B724" s="2" t="s">
        <v>431</v>
      </c>
      <c r="C724" s="1">
        <v>45469</v>
      </c>
      <c r="D724" s="2" t="s">
        <v>45</v>
      </c>
      <c r="E724" s="2" t="s">
        <v>39</v>
      </c>
      <c r="F724" s="2" t="s">
        <v>40</v>
      </c>
      <c r="G724">
        <v>1</v>
      </c>
      <c r="H724" s="2" t="s">
        <v>56</v>
      </c>
      <c r="I724">
        <v>36.01</v>
      </c>
      <c r="J724">
        <v>25</v>
      </c>
      <c r="K724">
        <v>9</v>
      </c>
      <c r="L724">
        <v>9.66</v>
      </c>
      <c r="M724">
        <v>11.64</v>
      </c>
      <c r="N724">
        <v>0</v>
      </c>
      <c r="O724">
        <v>1.08</v>
      </c>
      <c r="P724" s="2" t="s">
        <v>42</v>
      </c>
      <c r="Q724">
        <v>0</v>
      </c>
      <c r="R724">
        <v>27.01</v>
      </c>
      <c r="S724">
        <v>22.38</v>
      </c>
      <c r="T724">
        <v>4.63</v>
      </c>
      <c r="U724">
        <f t="shared" si="11"/>
        <v>0</v>
      </c>
    </row>
    <row r="725" spans="1:21" x14ac:dyDescent="0.25">
      <c r="A725" s="2" t="s">
        <v>1255</v>
      </c>
      <c r="B725" s="2" t="s">
        <v>1256</v>
      </c>
      <c r="C725" s="1">
        <v>45805</v>
      </c>
      <c r="D725" s="2" t="s">
        <v>38</v>
      </c>
      <c r="E725" s="2" t="s">
        <v>67</v>
      </c>
      <c r="F725" s="2" t="s">
        <v>85</v>
      </c>
      <c r="G725">
        <v>2</v>
      </c>
      <c r="H725" s="2" t="s">
        <v>111</v>
      </c>
      <c r="I725">
        <v>327.7</v>
      </c>
      <c r="J725">
        <v>0</v>
      </c>
      <c r="K725">
        <v>0</v>
      </c>
      <c r="L725">
        <v>27.88</v>
      </c>
      <c r="M725">
        <v>101.2</v>
      </c>
      <c r="N725">
        <v>0</v>
      </c>
      <c r="O725">
        <v>9.8000000000000007</v>
      </c>
      <c r="P725" s="2" t="s">
        <v>42</v>
      </c>
      <c r="Q725">
        <v>0</v>
      </c>
      <c r="R725">
        <v>327.7</v>
      </c>
      <c r="S725">
        <v>138.88</v>
      </c>
      <c r="T725">
        <v>188.82</v>
      </c>
      <c r="U725">
        <f t="shared" si="11"/>
        <v>0</v>
      </c>
    </row>
    <row r="726" spans="1:21" x14ac:dyDescent="0.25">
      <c r="A726" s="2" t="s">
        <v>1257</v>
      </c>
      <c r="B726" s="2" t="s">
        <v>574</v>
      </c>
      <c r="C726" s="1">
        <v>45686</v>
      </c>
      <c r="D726" s="2" t="s">
        <v>45</v>
      </c>
      <c r="E726" s="2" t="s">
        <v>46</v>
      </c>
      <c r="F726" s="2" t="s">
        <v>40</v>
      </c>
      <c r="G726">
        <v>1</v>
      </c>
      <c r="H726" s="2" t="s">
        <v>77</v>
      </c>
      <c r="I726">
        <v>10.62</v>
      </c>
      <c r="J726">
        <v>0</v>
      </c>
      <c r="K726">
        <v>0</v>
      </c>
      <c r="L726">
        <v>9.18</v>
      </c>
      <c r="M726">
        <v>5.38</v>
      </c>
      <c r="N726">
        <v>0</v>
      </c>
      <c r="O726">
        <v>0.61</v>
      </c>
      <c r="P726" s="2" t="s">
        <v>42</v>
      </c>
      <c r="Q726">
        <v>0</v>
      </c>
      <c r="R726">
        <v>10.62</v>
      </c>
      <c r="S726">
        <v>15.17</v>
      </c>
      <c r="T726">
        <v>-4.55</v>
      </c>
      <c r="U726">
        <f t="shared" si="11"/>
        <v>0</v>
      </c>
    </row>
    <row r="727" spans="1:21" x14ac:dyDescent="0.25">
      <c r="A727" s="2" t="s">
        <v>1258</v>
      </c>
      <c r="B727" s="2" t="s">
        <v>1259</v>
      </c>
      <c r="C727" s="1">
        <v>45833</v>
      </c>
      <c r="D727" s="2" t="s">
        <v>45</v>
      </c>
      <c r="E727" s="2" t="s">
        <v>46</v>
      </c>
      <c r="F727" s="2" t="s">
        <v>47</v>
      </c>
      <c r="G727">
        <v>3</v>
      </c>
      <c r="H727" s="2" t="s">
        <v>52</v>
      </c>
      <c r="I727">
        <v>207.51</v>
      </c>
      <c r="J727">
        <v>0</v>
      </c>
      <c r="K727">
        <v>0</v>
      </c>
      <c r="L727">
        <v>29.46</v>
      </c>
      <c r="M727">
        <v>74.11</v>
      </c>
      <c r="N727">
        <v>0</v>
      </c>
      <c r="O727">
        <v>6.32</v>
      </c>
      <c r="P727" s="2" t="s">
        <v>42</v>
      </c>
      <c r="Q727">
        <v>0</v>
      </c>
      <c r="R727">
        <v>207.51</v>
      </c>
      <c r="S727">
        <v>109.89</v>
      </c>
      <c r="T727">
        <v>97.62</v>
      </c>
      <c r="U727">
        <f t="shared" si="11"/>
        <v>0</v>
      </c>
    </row>
    <row r="728" spans="1:21" x14ac:dyDescent="0.25">
      <c r="A728" s="2" t="s">
        <v>1260</v>
      </c>
      <c r="B728" s="2" t="s">
        <v>326</v>
      </c>
      <c r="C728" s="1">
        <v>45889</v>
      </c>
      <c r="D728" s="2" t="s">
        <v>38</v>
      </c>
      <c r="E728" s="2" t="s">
        <v>55</v>
      </c>
      <c r="F728" s="2" t="s">
        <v>94</v>
      </c>
      <c r="G728">
        <v>1</v>
      </c>
      <c r="H728" s="2" t="s">
        <v>74</v>
      </c>
      <c r="I728">
        <v>52.69</v>
      </c>
      <c r="J728">
        <v>0</v>
      </c>
      <c r="K728">
        <v>0</v>
      </c>
      <c r="L728">
        <v>5.82</v>
      </c>
      <c r="M728">
        <v>23.14</v>
      </c>
      <c r="N728">
        <v>0</v>
      </c>
      <c r="O728">
        <v>1.83</v>
      </c>
      <c r="P728" s="2" t="s">
        <v>42</v>
      </c>
      <c r="Q728">
        <v>0</v>
      </c>
      <c r="R728">
        <v>52.69</v>
      </c>
      <c r="S728">
        <v>30.79</v>
      </c>
      <c r="T728">
        <v>21.9</v>
      </c>
      <c r="U728">
        <f t="shared" si="11"/>
        <v>0</v>
      </c>
    </row>
    <row r="729" spans="1:21" x14ac:dyDescent="0.25">
      <c r="A729" s="2" t="s">
        <v>1261</v>
      </c>
      <c r="B729" s="2" t="s">
        <v>528</v>
      </c>
      <c r="C729" s="1">
        <v>45511</v>
      </c>
      <c r="D729" s="2" t="s">
        <v>38</v>
      </c>
      <c r="E729" s="2" t="s">
        <v>71</v>
      </c>
      <c r="F729" s="2" t="s">
        <v>51</v>
      </c>
      <c r="G729">
        <v>5</v>
      </c>
      <c r="H729" s="2" t="s">
        <v>41</v>
      </c>
      <c r="I729">
        <v>302.41000000000003</v>
      </c>
      <c r="J729">
        <v>5</v>
      </c>
      <c r="K729">
        <v>15.12</v>
      </c>
      <c r="L729">
        <v>60.98</v>
      </c>
      <c r="M729">
        <v>118.5</v>
      </c>
      <c r="N729">
        <v>0</v>
      </c>
      <c r="O729">
        <v>8.6300000000000008</v>
      </c>
      <c r="P729" s="2" t="s">
        <v>42</v>
      </c>
      <c r="Q729">
        <v>0</v>
      </c>
      <c r="R729">
        <v>287.29000000000002</v>
      </c>
      <c r="S729">
        <v>188.11</v>
      </c>
      <c r="T729">
        <v>99.18</v>
      </c>
      <c r="U729">
        <f t="shared" si="11"/>
        <v>0</v>
      </c>
    </row>
    <row r="730" spans="1:21" x14ac:dyDescent="0.25">
      <c r="A730" s="2" t="s">
        <v>1262</v>
      </c>
      <c r="B730" s="2" t="s">
        <v>893</v>
      </c>
      <c r="C730" s="1">
        <v>45838</v>
      </c>
      <c r="D730" s="2" t="s">
        <v>45</v>
      </c>
      <c r="E730" s="2" t="s">
        <v>55</v>
      </c>
      <c r="F730" s="2" t="s">
        <v>94</v>
      </c>
      <c r="G730">
        <v>2</v>
      </c>
      <c r="H730" s="2" t="s">
        <v>64</v>
      </c>
      <c r="I730">
        <v>123.51</v>
      </c>
      <c r="J730">
        <v>0</v>
      </c>
      <c r="K730">
        <v>0</v>
      </c>
      <c r="L730">
        <v>19.32</v>
      </c>
      <c r="M730">
        <v>43.04</v>
      </c>
      <c r="N730">
        <v>0</v>
      </c>
      <c r="O730">
        <v>3.88</v>
      </c>
      <c r="P730" s="2" t="s">
        <v>42</v>
      </c>
      <c r="Q730">
        <v>0</v>
      </c>
      <c r="R730">
        <v>123.51</v>
      </c>
      <c r="S730">
        <v>66.239999999999995</v>
      </c>
      <c r="T730">
        <v>57.27</v>
      </c>
      <c r="U730">
        <f t="shared" si="11"/>
        <v>0</v>
      </c>
    </row>
    <row r="731" spans="1:21" x14ac:dyDescent="0.25">
      <c r="A731" s="2" t="s">
        <v>1263</v>
      </c>
      <c r="B731" s="2" t="s">
        <v>818</v>
      </c>
      <c r="C731" s="1">
        <v>45602</v>
      </c>
      <c r="D731" s="2" t="s">
        <v>80</v>
      </c>
      <c r="E731" s="2" t="s">
        <v>71</v>
      </c>
      <c r="F731" s="2" t="s">
        <v>85</v>
      </c>
      <c r="G731">
        <v>2</v>
      </c>
      <c r="H731" s="2" t="s">
        <v>74</v>
      </c>
      <c r="I731">
        <v>178.01</v>
      </c>
      <c r="J731">
        <v>5</v>
      </c>
      <c r="K731">
        <v>8.9</v>
      </c>
      <c r="L731">
        <v>19.72</v>
      </c>
      <c r="M731">
        <v>51.92</v>
      </c>
      <c r="N731">
        <v>13.53</v>
      </c>
      <c r="O731">
        <v>5.2</v>
      </c>
      <c r="P731" s="2" t="s">
        <v>42</v>
      </c>
      <c r="Q731">
        <v>0</v>
      </c>
      <c r="R731">
        <v>169.11</v>
      </c>
      <c r="S731">
        <v>90.37</v>
      </c>
      <c r="T731">
        <v>78.739999999999995</v>
      </c>
      <c r="U731">
        <f t="shared" si="11"/>
        <v>0</v>
      </c>
    </row>
    <row r="732" spans="1:21" x14ac:dyDescent="0.25">
      <c r="A732" s="2" t="s">
        <v>1264</v>
      </c>
      <c r="B732" s="2" t="s">
        <v>1265</v>
      </c>
      <c r="C732" s="1">
        <v>45766</v>
      </c>
      <c r="D732" s="2" t="s">
        <v>45</v>
      </c>
      <c r="E732" s="2" t="s">
        <v>39</v>
      </c>
      <c r="F732" s="2" t="s">
        <v>47</v>
      </c>
      <c r="G732">
        <v>1</v>
      </c>
      <c r="H732" s="2" t="s">
        <v>77</v>
      </c>
      <c r="I732">
        <v>26.5</v>
      </c>
      <c r="J732">
        <v>25</v>
      </c>
      <c r="K732">
        <v>6.62</v>
      </c>
      <c r="L732">
        <v>5.5</v>
      </c>
      <c r="M732">
        <v>8.06</v>
      </c>
      <c r="N732">
        <v>0</v>
      </c>
      <c r="O732">
        <v>0.88</v>
      </c>
      <c r="P732" s="2" t="s">
        <v>42</v>
      </c>
      <c r="Q732">
        <v>0</v>
      </c>
      <c r="R732">
        <v>19.88</v>
      </c>
      <c r="S732">
        <v>14.44</v>
      </c>
      <c r="T732">
        <v>5.44</v>
      </c>
      <c r="U732">
        <f t="shared" si="11"/>
        <v>0</v>
      </c>
    </row>
    <row r="733" spans="1:21" x14ac:dyDescent="0.25">
      <c r="A733" s="2" t="s">
        <v>1266</v>
      </c>
      <c r="B733" s="2" t="s">
        <v>530</v>
      </c>
      <c r="C733" s="1">
        <v>45452</v>
      </c>
      <c r="D733" s="2" t="s">
        <v>59</v>
      </c>
      <c r="E733" s="2" t="s">
        <v>46</v>
      </c>
      <c r="F733" s="2" t="s">
        <v>85</v>
      </c>
      <c r="G733">
        <v>2</v>
      </c>
      <c r="H733" s="2" t="s">
        <v>52</v>
      </c>
      <c r="I733">
        <v>170.72</v>
      </c>
      <c r="J733">
        <v>5</v>
      </c>
      <c r="K733">
        <v>8.5399999999999991</v>
      </c>
      <c r="L733">
        <v>30.42</v>
      </c>
      <c r="M733">
        <v>59.56</v>
      </c>
      <c r="N733">
        <v>24.33</v>
      </c>
      <c r="O733">
        <v>5</v>
      </c>
      <c r="P733" s="2" t="s">
        <v>42</v>
      </c>
      <c r="Q733">
        <v>0</v>
      </c>
      <c r="R733">
        <v>162.18</v>
      </c>
      <c r="S733">
        <v>119.31</v>
      </c>
      <c r="T733">
        <v>42.87</v>
      </c>
      <c r="U733">
        <f t="shared" si="11"/>
        <v>0</v>
      </c>
    </row>
    <row r="734" spans="1:21" x14ac:dyDescent="0.25">
      <c r="A734" s="2" t="s">
        <v>1267</v>
      </c>
      <c r="B734" s="2" t="s">
        <v>1268</v>
      </c>
      <c r="C734" s="1">
        <v>45790</v>
      </c>
      <c r="D734" s="2" t="s">
        <v>45</v>
      </c>
      <c r="E734" s="2" t="s">
        <v>46</v>
      </c>
      <c r="F734" s="2" t="s">
        <v>85</v>
      </c>
      <c r="G734">
        <v>1</v>
      </c>
      <c r="H734" s="2" t="s">
        <v>41</v>
      </c>
      <c r="I734">
        <v>20.67</v>
      </c>
      <c r="J734">
        <v>10</v>
      </c>
      <c r="K734">
        <v>2.0699999999999998</v>
      </c>
      <c r="L734">
        <v>4.3</v>
      </c>
      <c r="M734">
        <v>5.96</v>
      </c>
      <c r="N734">
        <v>0</v>
      </c>
      <c r="O734">
        <v>0.84</v>
      </c>
      <c r="P734" s="2" t="s">
        <v>42</v>
      </c>
      <c r="Q734">
        <v>0</v>
      </c>
      <c r="R734">
        <v>18.600000000000001</v>
      </c>
      <c r="S734">
        <v>11.1</v>
      </c>
      <c r="T734">
        <v>7.5</v>
      </c>
      <c r="U734">
        <f t="shared" si="11"/>
        <v>0</v>
      </c>
    </row>
    <row r="735" spans="1:21" x14ac:dyDescent="0.25">
      <c r="A735" s="2" t="s">
        <v>1269</v>
      </c>
      <c r="B735" s="2" t="s">
        <v>87</v>
      </c>
      <c r="C735" s="1">
        <v>45617</v>
      </c>
      <c r="D735" s="2" t="s">
        <v>45</v>
      </c>
      <c r="E735" s="2" t="s">
        <v>46</v>
      </c>
      <c r="F735" s="2" t="s">
        <v>40</v>
      </c>
      <c r="G735">
        <v>3</v>
      </c>
      <c r="H735" s="2" t="s">
        <v>64</v>
      </c>
      <c r="I735">
        <v>354.93</v>
      </c>
      <c r="J735">
        <v>10</v>
      </c>
      <c r="K735">
        <v>35.49</v>
      </c>
      <c r="L735">
        <v>31.26</v>
      </c>
      <c r="M735">
        <v>128.93</v>
      </c>
      <c r="N735">
        <v>0</v>
      </c>
      <c r="O735">
        <v>9.56</v>
      </c>
      <c r="P735" s="2" t="s">
        <v>68</v>
      </c>
      <c r="Q735">
        <v>319.44</v>
      </c>
      <c r="R735">
        <v>0</v>
      </c>
      <c r="S735">
        <v>169.75</v>
      </c>
      <c r="T735">
        <v>-169.75</v>
      </c>
      <c r="U735">
        <f t="shared" si="11"/>
        <v>0</v>
      </c>
    </row>
    <row r="736" spans="1:21" x14ac:dyDescent="0.25">
      <c r="A736" s="2" t="s">
        <v>1270</v>
      </c>
      <c r="B736" s="2" t="s">
        <v>1271</v>
      </c>
      <c r="C736" s="1">
        <v>45820</v>
      </c>
      <c r="D736" s="2" t="s">
        <v>59</v>
      </c>
      <c r="E736" s="2" t="s">
        <v>46</v>
      </c>
      <c r="F736" s="2" t="s">
        <v>94</v>
      </c>
      <c r="G736">
        <v>1</v>
      </c>
      <c r="H736" s="2" t="s">
        <v>74</v>
      </c>
      <c r="I736">
        <v>111.44</v>
      </c>
      <c r="J736">
        <v>0</v>
      </c>
      <c r="K736">
        <v>0</v>
      </c>
      <c r="L736">
        <v>9.02</v>
      </c>
      <c r="M736">
        <v>36.340000000000003</v>
      </c>
      <c r="N736">
        <v>16.72</v>
      </c>
      <c r="O736">
        <v>3.53</v>
      </c>
      <c r="P736" s="2" t="s">
        <v>42</v>
      </c>
      <c r="Q736">
        <v>0</v>
      </c>
      <c r="R736">
        <v>111.44</v>
      </c>
      <c r="S736">
        <v>65.61</v>
      </c>
      <c r="T736">
        <v>45.83</v>
      </c>
      <c r="U736">
        <f t="shared" si="11"/>
        <v>0</v>
      </c>
    </row>
    <row r="737" spans="1:21" x14ac:dyDescent="0.25">
      <c r="A737" s="2" t="s">
        <v>1272</v>
      </c>
      <c r="B737" s="2" t="s">
        <v>1098</v>
      </c>
      <c r="C737" s="1">
        <v>45739</v>
      </c>
      <c r="D737" s="2" t="s">
        <v>45</v>
      </c>
      <c r="E737" s="2" t="s">
        <v>39</v>
      </c>
      <c r="F737" s="2" t="s">
        <v>40</v>
      </c>
      <c r="G737">
        <v>2</v>
      </c>
      <c r="H737" s="2" t="s">
        <v>52</v>
      </c>
      <c r="I737">
        <v>345.5</v>
      </c>
      <c r="J737">
        <v>10</v>
      </c>
      <c r="K737">
        <v>34.549999999999997</v>
      </c>
      <c r="L737">
        <v>40.24</v>
      </c>
      <c r="M737">
        <v>117.42</v>
      </c>
      <c r="N737">
        <v>0</v>
      </c>
      <c r="O737">
        <v>9.32</v>
      </c>
      <c r="P737" s="2" t="s">
        <v>42</v>
      </c>
      <c r="Q737">
        <v>0</v>
      </c>
      <c r="R737">
        <v>310.95</v>
      </c>
      <c r="S737">
        <v>166.98</v>
      </c>
      <c r="T737">
        <v>143.97</v>
      </c>
      <c r="U737">
        <f t="shared" si="11"/>
        <v>1</v>
      </c>
    </row>
    <row r="738" spans="1:21" x14ac:dyDescent="0.25">
      <c r="A738" s="2" t="s">
        <v>1273</v>
      </c>
      <c r="B738" s="2" t="s">
        <v>852</v>
      </c>
      <c r="C738" s="1">
        <v>45680</v>
      </c>
      <c r="D738" s="2" t="s">
        <v>38</v>
      </c>
      <c r="E738" s="2" t="s">
        <v>46</v>
      </c>
      <c r="F738" s="2" t="s">
        <v>51</v>
      </c>
      <c r="G738">
        <v>4</v>
      </c>
      <c r="H738" s="2" t="s">
        <v>48</v>
      </c>
      <c r="I738">
        <v>199.62</v>
      </c>
      <c r="J738">
        <v>5</v>
      </c>
      <c r="K738">
        <v>9.98</v>
      </c>
      <c r="L738">
        <v>37.119999999999997</v>
      </c>
      <c r="M738">
        <v>88.42</v>
      </c>
      <c r="N738">
        <v>0</v>
      </c>
      <c r="O738">
        <v>5.8</v>
      </c>
      <c r="P738" s="2" t="s">
        <v>42</v>
      </c>
      <c r="Q738">
        <v>0</v>
      </c>
      <c r="R738">
        <v>189.64</v>
      </c>
      <c r="S738">
        <v>131.34</v>
      </c>
      <c r="T738">
        <v>58.3</v>
      </c>
      <c r="U738">
        <f t="shared" si="11"/>
        <v>0</v>
      </c>
    </row>
    <row r="739" spans="1:21" x14ac:dyDescent="0.25">
      <c r="A739" s="2" t="s">
        <v>1274</v>
      </c>
      <c r="B739" s="2" t="s">
        <v>253</v>
      </c>
      <c r="C739" s="1">
        <v>45841</v>
      </c>
      <c r="D739" s="2" t="s">
        <v>45</v>
      </c>
      <c r="E739" s="2" t="s">
        <v>71</v>
      </c>
      <c r="F739" s="2" t="s">
        <v>47</v>
      </c>
      <c r="G739">
        <v>2</v>
      </c>
      <c r="H739" s="2" t="s">
        <v>56</v>
      </c>
      <c r="I739">
        <v>224.27</v>
      </c>
      <c r="J739">
        <v>15</v>
      </c>
      <c r="K739">
        <v>33.64</v>
      </c>
      <c r="L739">
        <v>26.66</v>
      </c>
      <c r="M739">
        <v>113.17</v>
      </c>
      <c r="N739">
        <v>0</v>
      </c>
      <c r="O739">
        <v>5.83</v>
      </c>
      <c r="P739" s="2" t="s">
        <v>42</v>
      </c>
      <c r="Q739">
        <v>0</v>
      </c>
      <c r="R739">
        <v>190.63</v>
      </c>
      <c r="S739">
        <v>145.66</v>
      </c>
      <c r="T739">
        <v>44.97</v>
      </c>
      <c r="U739">
        <f t="shared" si="11"/>
        <v>0</v>
      </c>
    </row>
    <row r="740" spans="1:21" x14ac:dyDescent="0.25">
      <c r="A740" s="2" t="s">
        <v>1275</v>
      </c>
      <c r="B740" s="2" t="s">
        <v>658</v>
      </c>
      <c r="C740" s="1">
        <v>45475</v>
      </c>
      <c r="D740" s="2" t="s">
        <v>59</v>
      </c>
      <c r="E740" s="2" t="s">
        <v>46</v>
      </c>
      <c r="F740" s="2" t="s">
        <v>85</v>
      </c>
      <c r="G740">
        <v>2</v>
      </c>
      <c r="H740" s="2" t="s">
        <v>48</v>
      </c>
      <c r="I740">
        <v>65.989999999999995</v>
      </c>
      <c r="J740">
        <v>0</v>
      </c>
      <c r="K740">
        <v>0</v>
      </c>
      <c r="L740">
        <v>17.399999999999999</v>
      </c>
      <c r="M740">
        <v>22.99</v>
      </c>
      <c r="N740">
        <v>9.9</v>
      </c>
      <c r="O740">
        <v>2.21</v>
      </c>
      <c r="P740" s="2" t="s">
        <v>42</v>
      </c>
      <c r="Q740">
        <v>0</v>
      </c>
      <c r="R740">
        <v>65.989999999999995</v>
      </c>
      <c r="S740">
        <v>52.5</v>
      </c>
      <c r="T740">
        <v>13.49</v>
      </c>
      <c r="U740">
        <f t="shared" si="11"/>
        <v>0</v>
      </c>
    </row>
    <row r="741" spans="1:21" x14ac:dyDescent="0.25">
      <c r="A741" s="2" t="s">
        <v>1276</v>
      </c>
      <c r="B741" s="2" t="s">
        <v>924</v>
      </c>
      <c r="C741" s="1">
        <v>45639</v>
      </c>
      <c r="D741" s="2" t="s">
        <v>59</v>
      </c>
      <c r="E741" s="2" t="s">
        <v>46</v>
      </c>
      <c r="F741" s="2" t="s">
        <v>47</v>
      </c>
      <c r="G741">
        <v>2</v>
      </c>
      <c r="H741" s="2" t="s">
        <v>77</v>
      </c>
      <c r="I741">
        <v>98.84</v>
      </c>
      <c r="J741">
        <v>10</v>
      </c>
      <c r="K741">
        <v>9.8800000000000008</v>
      </c>
      <c r="L741">
        <v>29.92</v>
      </c>
      <c r="M741">
        <v>60.47</v>
      </c>
      <c r="N741">
        <v>13.34</v>
      </c>
      <c r="O741">
        <v>2.88</v>
      </c>
      <c r="P741" s="2" t="s">
        <v>68</v>
      </c>
      <c r="Q741">
        <v>88.96</v>
      </c>
      <c r="R741">
        <v>0</v>
      </c>
      <c r="S741">
        <v>106.61</v>
      </c>
      <c r="T741">
        <v>-106.61</v>
      </c>
      <c r="U741">
        <f t="shared" si="11"/>
        <v>0</v>
      </c>
    </row>
    <row r="742" spans="1:21" x14ac:dyDescent="0.25">
      <c r="A742" s="2" t="s">
        <v>1277</v>
      </c>
      <c r="B742" s="2" t="s">
        <v>1278</v>
      </c>
      <c r="C742" s="1">
        <v>45860</v>
      </c>
      <c r="D742" s="2" t="s">
        <v>45</v>
      </c>
      <c r="E742" s="2" t="s">
        <v>46</v>
      </c>
      <c r="F742" s="2" t="s">
        <v>40</v>
      </c>
      <c r="G742">
        <v>1</v>
      </c>
      <c r="H742" s="2" t="s">
        <v>111</v>
      </c>
      <c r="I742">
        <v>33.22</v>
      </c>
      <c r="J742">
        <v>0</v>
      </c>
      <c r="K742">
        <v>0</v>
      </c>
      <c r="L742">
        <v>8.94</v>
      </c>
      <c r="M742">
        <v>19.46</v>
      </c>
      <c r="N742">
        <v>0</v>
      </c>
      <c r="O742">
        <v>1.26</v>
      </c>
      <c r="P742" s="2" t="s">
        <v>42</v>
      </c>
      <c r="Q742">
        <v>0</v>
      </c>
      <c r="R742">
        <v>33.22</v>
      </c>
      <c r="S742">
        <v>29.66</v>
      </c>
      <c r="T742">
        <v>3.56</v>
      </c>
      <c r="U742">
        <f t="shared" si="11"/>
        <v>0</v>
      </c>
    </row>
    <row r="743" spans="1:21" x14ac:dyDescent="0.25">
      <c r="A743" s="2" t="s">
        <v>1279</v>
      </c>
      <c r="B743" s="2" t="s">
        <v>1280</v>
      </c>
      <c r="C743" s="1">
        <v>45877</v>
      </c>
      <c r="D743" s="2" t="s">
        <v>45</v>
      </c>
      <c r="E743" s="2" t="s">
        <v>39</v>
      </c>
      <c r="F743" s="2" t="s">
        <v>94</v>
      </c>
      <c r="G743">
        <v>1</v>
      </c>
      <c r="H743" s="2" t="s">
        <v>77</v>
      </c>
      <c r="I743">
        <v>17.64</v>
      </c>
      <c r="J743">
        <v>15</v>
      </c>
      <c r="K743">
        <v>2.65</v>
      </c>
      <c r="L743">
        <v>15.42</v>
      </c>
      <c r="M743">
        <v>10.55</v>
      </c>
      <c r="N743">
        <v>0</v>
      </c>
      <c r="O743">
        <v>0.73</v>
      </c>
      <c r="P743" s="2" t="s">
        <v>42</v>
      </c>
      <c r="Q743">
        <v>0</v>
      </c>
      <c r="R743">
        <v>14.99</v>
      </c>
      <c r="S743">
        <v>26.7</v>
      </c>
      <c r="T743">
        <v>-11.71</v>
      </c>
      <c r="U743">
        <f t="shared" si="11"/>
        <v>1</v>
      </c>
    </row>
    <row r="744" spans="1:21" x14ac:dyDescent="0.25">
      <c r="A744" s="2" t="s">
        <v>1281</v>
      </c>
      <c r="B744" s="2" t="s">
        <v>1282</v>
      </c>
      <c r="C744" s="1">
        <v>45934</v>
      </c>
      <c r="D744" s="2" t="s">
        <v>45</v>
      </c>
      <c r="E744" s="2" t="s">
        <v>71</v>
      </c>
      <c r="F744" s="2" t="s">
        <v>85</v>
      </c>
      <c r="G744">
        <v>2</v>
      </c>
      <c r="H744" s="2" t="s">
        <v>41</v>
      </c>
      <c r="I744">
        <v>83.18</v>
      </c>
      <c r="J744">
        <v>0</v>
      </c>
      <c r="K744">
        <v>0</v>
      </c>
      <c r="L744">
        <v>26.34</v>
      </c>
      <c r="M744">
        <v>39.01</v>
      </c>
      <c r="N744">
        <v>0</v>
      </c>
      <c r="O744">
        <v>2.71</v>
      </c>
      <c r="P744" s="2" t="s">
        <v>42</v>
      </c>
      <c r="Q744">
        <v>0</v>
      </c>
      <c r="R744">
        <v>83.18</v>
      </c>
      <c r="S744">
        <v>68.06</v>
      </c>
      <c r="T744">
        <v>15.12</v>
      </c>
      <c r="U744">
        <f t="shared" si="11"/>
        <v>0</v>
      </c>
    </row>
    <row r="745" spans="1:21" x14ac:dyDescent="0.25">
      <c r="A745" s="2" t="s">
        <v>1283</v>
      </c>
      <c r="B745" s="2" t="s">
        <v>490</v>
      </c>
      <c r="C745" s="1">
        <v>45519</v>
      </c>
      <c r="D745" s="2" t="s">
        <v>80</v>
      </c>
      <c r="E745" s="2" t="s">
        <v>46</v>
      </c>
      <c r="F745" s="2" t="s">
        <v>47</v>
      </c>
      <c r="G745">
        <v>2</v>
      </c>
      <c r="H745" s="2" t="s">
        <v>74</v>
      </c>
      <c r="I745">
        <v>119.9</v>
      </c>
      <c r="J745">
        <v>0</v>
      </c>
      <c r="K745">
        <v>0</v>
      </c>
      <c r="L745">
        <v>37.840000000000003</v>
      </c>
      <c r="M745">
        <v>35.14</v>
      </c>
      <c r="N745">
        <v>9.59</v>
      </c>
      <c r="O745">
        <v>3.78</v>
      </c>
      <c r="P745" s="2" t="s">
        <v>68</v>
      </c>
      <c r="Q745">
        <v>119.9</v>
      </c>
      <c r="R745">
        <v>0</v>
      </c>
      <c r="S745">
        <v>86.35</v>
      </c>
      <c r="T745">
        <v>-86.35</v>
      </c>
      <c r="U745">
        <f t="shared" si="11"/>
        <v>0</v>
      </c>
    </row>
    <row r="746" spans="1:21" x14ac:dyDescent="0.25">
      <c r="A746" s="2" t="s">
        <v>1284</v>
      </c>
      <c r="B746" s="2" t="s">
        <v>678</v>
      </c>
      <c r="C746" s="1">
        <v>45780</v>
      </c>
      <c r="D746" s="2" t="s">
        <v>38</v>
      </c>
      <c r="E746" s="2" t="s">
        <v>67</v>
      </c>
      <c r="F746" s="2" t="s">
        <v>40</v>
      </c>
      <c r="G746">
        <v>3</v>
      </c>
      <c r="H746" s="2" t="s">
        <v>64</v>
      </c>
      <c r="I746">
        <v>153.30000000000001</v>
      </c>
      <c r="J746">
        <v>0</v>
      </c>
      <c r="K746">
        <v>0</v>
      </c>
      <c r="L746">
        <v>21.94</v>
      </c>
      <c r="M746">
        <v>66.739999999999995</v>
      </c>
      <c r="N746">
        <v>0</v>
      </c>
      <c r="O746">
        <v>4.75</v>
      </c>
      <c r="P746" s="2" t="s">
        <v>68</v>
      </c>
      <c r="Q746">
        <v>153.30000000000001</v>
      </c>
      <c r="R746">
        <v>0</v>
      </c>
      <c r="S746">
        <v>93.43</v>
      </c>
      <c r="T746">
        <v>-93.43</v>
      </c>
      <c r="U746">
        <f t="shared" si="11"/>
        <v>0</v>
      </c>
    </row>
    <row r="747" spans="1:21" x14ac:dyDescent="0.25">
      <c r="A747" s="2" t="s">
        <v>1285</v>
      </c>
      <c r="B747" s="2" t="s">
        <v>1286</v>
      </c>
      <c r="C747" s="1">
        <v>45551</v>
      </c>
      <c r="D747" s="2" t="s">
        <v>38</v>
      </c>
      <c r="E747" s="2" t="s">
        <v>46</v>
      </c>
      <c r="F747" s="2" t="s">
        <v>51</v>
      </c>
      <c r="G747">
        <v>1</v>
      </c>
      <c r="H747" s="2" t="s">
        <v>74</v>
      </c>
      <c r="I747">
        <v>48.08</v>
      </c>
      <c r="J747">
        <v>5</v>
      </c>
      <c r="K747">
        <v>2.4</v>
      </c>
      <c r="L747">
        <v>15.26</v>
      </c>
      <c r="M747">
        <v>34.07</v>
      </c>
      <c r="N747">
        <v>0</v>
      </c>
      <c r="O747">
        <v>1.62</v>
      </c>
      <c r="P747" s="2" t="s">
        <v>42</v>
      </c>
      <c r="Q747">
        <v>0</v>
      </c>
      <c r="R747">
        <v>45.68</v>
      </c>
      <c r="S747">
        <v>50.95</v>
      </c>
      <c r="T747">
        <v>-5.27</v>
      </c>
      <c r="U747">
        <f t="shared" si="11"/>
        <v>1</v>
      </c>
    </row>
    <row r="748" spans="1:21" x14ac:dyDescent="0.25">
      <c r="A748" s="2" t="s">
        <v>1287</v>
      </c>
      <c r="B748" s="2" t="s">
        <v>1288</v>
      </c>
      <c r="C748" s="1">
        <v>45808</v>
      </c>
      <c r="D748" s="2" t="s">
        <v>45</v>
      </c>
      <c r="E748" s="2" t="s">
        <v>46</v>
      </c>
      <c r="F748" s="2" t="s">
        <v>94</v>
      </c>
      <c r="G748">
        <v>2</v>
      </c>
      <c r="H748" s="2" t="s">
        <v>56</v>
      </c>
      <c r="I748">
        <v>78.2</v>
      </c>
      <c r="J748">
        <v>25</v>
      </c>
      <c r="K748">
        <v>19.55</v>
      </c>
      <c r="L748">
        <v>41.92</v>
      </c>
      <c r="M748">
        <v>36.61</v>
      </c>
      <c r="N748">
        <v>0</v>
      </c>
      <c r="O748">
        <v>2</v>
      </c>
      <c r="P748" s="2" t="s">
        <v>42</v>
      </c>
      <c r="Q748">
        <v>0</v>
      </c>
      <c r="R748">
        <v>58.65</v>
      </c>
      <c r="S748">
        <v>80.53</v>
      </c>
      <c r="T748">
        <v>-21.88</v>
      </c>
      <c r="U748">
        <f t="shared" si="11"/>
        <v>1</v>
      </c>
    </row>
    <row r="749" spans="1:21" x14ac:dyDescent="0.25">
      <c r="A749" s="2" t="s">
        <v>1289</v>
      </c>
      <c r="B749" s="2" t="s">
        <v>1290</v>
      </c>
      <c r="C749" s="1">
        <v>45864</v>
      </c>
      <c r="D749" s="2" t="s">
        <v>38</v>
      </c>
      <c r="E749" s="2" t="s">
        <v>67</v>
      </c>
      <c r="F749" s="2" t="s">
        <v>85</v>
      </c>
      <c r="G749">
        <v>2</v>
      </c>
      <c r="H749" s="2" t="s">
        <v>52</v>
      </c>
      <c r="I749">
        <v>634.42999999999995</v>
      </c>
      <c r="J749">
        <v>15</v>
      </c>
      <c r="K749">
        <v>95.16</v>
      </c>
      <c r="L749">
        <v>43.36</v>
      </c>
      <c r="M749">
        <v>238.49</v>
      </c>
      <c r="N749">
        <v>0</v>
      </c>
      <c r="O749">
        <v>15.94</v>
      </c>
      <c r="P749" s="2" t="s">
        <v>68</v>
      </c>
      <c r="Q749">
        <v>539.27</v>
      </c>
      <c r="R749">
        <v>0</v>
      </c>
      <c r="S749">
        <v>297.79000000000002</v>
      </c>
      <c r="T749">
        <v>-297.79000000000002</v>
      </c>
      <c r="U749">
        <f t="shared" si="11"/>
        <v>0</v>
      </c>
    </row>
    <row r="750" spans="1:21" x14ac:dyDescent="0.25">
      <c r="A750" s="2" t="s">
        <v>1291</v>
      </c>
      <c r="B750" s="2" t="s">
        <v>511</v>
      </c>
      <c r="C750" s="1">
        <v>45697</v>
      </c>
      <c r="D750" s="2" t="s">
        <v>45</v>
      </c>
      <c r="E750" s="2" t="s">
        <v>71</v>
      </c>
      <c r="F750" s="2" t="s">
        <v>94</v>
      </c>
      <c r="G750">
        <v>3</v>
      </c>
      <c r="H750" s="2" t="s">
        <v>64</v>
      </c>
      <c r="I750">
        <v>403.66</v>
      </c>
      <c r="J750">
        <v>0</v>
      </c>
      <c r="K750">
        <v>0</v>
      </c>
      <c r="L750">
        <v>56.06</v>
      </c>
      <c r="M750">
        <v>155.36000000000001</v>
      </c>
      <c r="N750">
        <v>0</v>
      </c>
      <c r="O750">
        <v>12.01</v>
      </c>
      <c r="P750" s="2" t="s">
        <v>42</v>
      </c>
      <c r="Q750">
        <v>0</v>
      </c>
      <c r="R750">
        <v>403.66</v>
      </c>
      <c r="S750">
        <v>223.43</v>
      </c>
      <c r="T750">
        <v>180.23</v>
      </c>
      <c r="U750">
        <f t="shared" si="11"/>
        <v>0</v>
      </c>
    </row>
    <row r="751" spans="1:21" x14ac:dyDescent="0.25">
      <c r="A751" s="2" t="s">
        <v>1292</v>
      </c>
      <c r="B751" s="2" t="s">
        <v>1293</v>
      </c>
      <c r="C751" s="1">
        <v>45842</v>
      </c>
      <c r="D751" s="2" t="s">
        <v>59</v>
      </c>
      <c r="E751" s="2" t="s">
        <v>71</v>
      </c>
      <c r="F751" s="2" t="s">
        <v>40</v>
      </c>
      <c r="G751">
        <v>5</v>
      </c>
      <c r="H751" s="2" t="s">
        <v>111</v>
      </c>
      <c r="I751">
        <v>474.6</v>
      </c>
      <c r="J751">
        <v>10</v>
      </c>
      <c r="K751">
        <v>47.46</v>
      </c>
      <c r="L751">
        <v>43.38</v>
      </c>
      <c r="M751">
        <v>171.04</v>
      </c>
      <c r="N751">
        <v>64.069999999999993</v>
      </c>
      <c r="O751">
        <v>12.69</v>
      </c>
      <c r="P751" s="2" t="s">
        <v>42</v>
      </c>
      <c r="Q751">
        <v>0</v>
      </c>
      <c r="R751">
        <v>427.14</v>
      </c>
      <c r="S751">
        <v>291.18</v>
      </c>
      <c r="T751">
        <v>135.96</v>
      </c>
      <c r="U751">
        <f t="shared" si="11"/>
        <v>1</v>
      </c>
    </row>
    <row r="752" spans="1:21" x14ac:dyDescent="0.25">
      <c r="A752" s="2" t="s">
        <v>1294</v>
      </c>
      <c r="B752" s="2" t="s">
        <v>223</v>
      </c>
      <c r="C752" s="1">
        <v>45597</v>
      </c>
      <c r="D752" s="2" t="s">
        <v>59</v>
      </c>
      <c r="E752" s="2" t="s">
        <v>71</v>
      </c>
      <c r="F752" s="2" t="s">
        <v>40</v>
      </c>
      <c r="G752">
        <v>1</v>
      </c>
      <c r="H752" s="2" t="s">
        <v>41</v>
      </c>
      <c r="I752">
        <v>384.76</v>
      </c>
      <c r="J752">
        <v>0</v>
      </c>
      <c r="K752">
        <v>0</v>
      </c>
      <c r="L752">
        <v>20.12</v>
      </c>
      <c r="M752">
        <v>145.18</v>
      </c>
      <c r="N752">
        <v>57.71</v>
      </c>
      <c r="O752">
        <v>11.46</v>
      </c>
      <c r="P752" s="2" t="s">
        <v>42</v>
      </c>
      <c r="Q752">
        <v>0</v>
      </c>
      <c r="R752">
        <v>384.76</v>
      </c>
      <c r="S752">
        <v>234.47</v>
      </c>
      <c r="T752">
        <v>150.29</v>
      </c>
      <c r="U752">
        <f t="shared" si="11"/>
        <v>0</v>
      </c>
    </row>
    <row r="753" spans="1:21" x14ac:dyDescent="0.25">
      <c r="A753" s="2" t="s">
        <v>1295</v>
      </c>
      <c r="B753" s="2" t="s">
        <v>1296</v>
      </c>
      <c r="C753" s="1">
        <v>45510</v>
      </c>
      <c r="D753" s="2" t="s">
        <v>38</v>
      </c>
      <c r="E753" s="2" t="s">
        <v>71</v>
      </c>
      <c r="F753" s="2" t="s">
        <v>51</v>
      </c>
      <c r="G753">
        <v>4</v>
      </c>
      <c r="H753" s="2" t="s">
        <v>56</v>
      </c>
      <c r="I753">
        <v>110.6</v>
      </c>
      <c r="J753">
        <v>0</v>
      </c>
      <c r="K753">
        <v>0</v>
      </c>
      <c r="L753">
        <v>32.56</v>
      </c>
      <c r="M753">
        <v>51.22</v>
      </c>
      <c r="N753">
        <v>0</v>
      </c>
      <c r="O753">
        <v>3.51</v>
      </c>
      <c r="P753" s="2" t="s">
        <v>42</v>
      </c>
      <c r="Q753">
        <v>0</v>
      </c>
      <c r="R753">
        <v>110.6</v>
      </c>
      <c r="S753">
        <v>87.29</v>
      </c>
      <c r="T753">
        <v>23.31</v>
      </c>
      <c r="U753">
        <f t="shared" si="11"/>
        <v>0</v>
      </c>
    </row>
    <row r="754" spans="1:21" x14ac:dyDescent="0.25">
      <c r="A754" s="2" t="s">
        <v>1297</v>
      </c>
      <c r="B754" s="2" t="s">
        <v>262</v>
      </c>
      <c r="C754" s="1">
        <v>45826</v>
      </c>
      <c r="D754" s="2" t="s">
        <v>59</v>
      </c>
      <c r="E754" s="2" t="s">
        <v>46</v>
      </c>
      <c r="F754" s="2" t="s">
        <v>51</v>
      </c>
      <c r="G754">
        <v>2</v>
      </c>
      <c r="H754" s="2" t="s">
        <v>41</v>
      </c>
      <c r="I754">
        <v>138.72999999999999</v>
      </c>
      <c r="J754">
        <v>0</v>
      </c>
      <c r="K754">
        <v>0</v>
      </c>
      <c r="L754">
        <v>28.6</v>
      </c>
      <c r="M754">
        <v>56.07</v>
      </c>
      <c r="N754">
        <v>20.81</v>
      </c>
      <c r="O754">
        <v>4.32</v>
      </c>
      <c r="P754" s="2" t="s">
        <v>42</v>
      </c>
      <c r="Q754">
        <v>0</v>
      </c>
      <c r="R754">
        <v>138.72999999999999</v>
      </c>
      <c r="S754">
        <v>109.8</v>
      </c>
      <c r="T754">
        <v>28.93</v>
      </c>
      <c r="U754">
        <f t="shared" si="11"/>
        <v>0</v>
      </c>
    </row>
    <row r="755" spans="1:21" x14ac:dyDescent="0.25">
      <c r="A755" s="2" t="s">
        <v>1298</v>
      </c>
      <c r="B755" s="2" t="s">
        <v>749</v>
      </c>
      <c r="C755" s="1">
        <v>45630</v>
      </c>
      <c r="D755" s="2" t="s">
        <v>45</v>
      </c>
      <c r="E755" s="2" t="s">
        <v>71</v>
      </c>
      <c r="F755" s="2" t="s">
        <v>94</v>
      </c>
      <c r="G755">
        <v>1</v>
      </c>
      <c r="H755" s="2" t="s">
        <v>74</v>
      </c>
      <c r="I755">
        <v>191.88</v>
      </c>
      <c r="J755">
        <v>15</v>
      </c>
      <c r="K755">
        <v>28.78</v>
      </c>
      <c r="L755">
        <v>34.26</v>
      </c>
      <c r="M755">
        <v>111.84</v>
      </c>
      <c r="N755">
        <v>0</v>
      </c>
      <c r="O755">
        <v>5.03</v>
      </c>
      <c r="P755" s="2" t="s">
        <v>42</v>
      </c>
      <c r="Q755">
        <v>0</v>
      </c>
      <c r="R755">
        <v>163.1</v>
      </c>
      <c r="S755">
        <v>151.13</v>
      </c>
      <c r="T755">
        <v>11.97</v>
      </c>
      <c r="U755">
        <f t="shared" si="11"/>
        <v>0</v>
      </c>
    </row>
    <row r="756" spans="1:21" x14ac:dyDescent="0.25">
      <c r="A756" s="2" t="s">
        <v>1299</v>
      </c>
      <c r="B756" s="2" t="s">
        <v>1300</v>
      </c>
      <c r="C756" s="1">
        <v>45804</v>
      </c>
      <c r="D756" s="2" t="s">
        <v>59</v>
      </c>
      <c r="E756" s="2" t="s">
        <v>46</v>
      </c>
      <c r="F756" s="2" t="s">
        <v>94</v>
      </c>
      <c r="G756">
        <v>3</v>
      </c>
      <c r="H756" s="2" t="s">
        <v>41</v>
      </c>
      <c r="I756">
        <v>181.39</v>
      </c>
      <c r="J756">
        <v>20</v>
      </c>
      <c r="K756">
        <v>36.28</v>
      </c>
      <c r="L756">
        <v>38.020000000000003</v>
      </c>
      <c r="M756">
        <v>66.010000000000005</v>
      </c>
      <c r="N756">
        <v>21.77</v>
      </c>
      <c r="O756">
        <v>4.51</v>
      </c>
      <c r="P756" s="2" t="s">
        <v>42</v>
      </c>
      <c r="Q756">
        <v>0</v>
      </c>
      <c r="R756">
        <v>145.11000000000001</v>
      </c>
      <c r="S756">
        <v>130.31</v>
      </c>
      <c r="T756">
        <v>14.8</v>
      </c>
      <c r="U756">
        <f t="shared" si="11"/>
        <v>0</v>
      </c>
    </row>
    <row r="757" spans="1:21" x14ac:dyDescent="0.25">
      <c r="A757" s="2" t="s">
        <v>1301</v>
      </c>
      <c r="B757" s="2" t="s">
        <v>1302</v>
      </c>
      <c r="C757" s="1">
        <v>45789</v>
      </c>
      <c r="D757" s="2" t="s">
        <v>45</v>
      </c>
      <c r="E757" s="2" t="s">
        <v>55</v>
      </c>
      <c r="F757" s="2" t="s">
        <v>51</v>
      </c>
      <c r="G757">
        <v>2</v>
      </c>
      <c r="H757" s="2" t="s">
        <v>77</v>
      </c>
      <c r="I757">
        <v>210.19</v>
      </c>
      <c r="J757">
        <v>10</v>
      </c>
      <c r="K757">
        <v>21.02</v>
      </c>
      <c r="L757">
        <v>20.420000000000002</v>
      </c>
      <c r="M757">
        <v>64.069999999999993</v>
      </c>
      <c r="N757">
        <v>0</v>
      </c>
      <c r="O757">
        <v>5.79</v>
      </c>
      <c r="P757" s="2" t="s">
        <v>42</v>
      </c>
      <c r="Q757">
        <v>0</v>
      </c>
      <c r="R757">
        <v>189.17</v>
      </c>
      <c r="S757">
        <v>90.28</v>
      </c>
      <c r="T757">
        <v>98.89</v>
      </c>
      <c r="U757">
        <f t="shared" si="11"/>
        <v>0</v>
      </c>
    </row>
    <row r="758" spans="1:21" x14ac:dyDescent="0.25">
      <c r="A758" s="2" t="s">
        <v>1303</v>
      </c>
      <c r="B758" s="2" t="s">
        <v>1304</v>
      </c>
      <c r="C758" s="1">
        <v>45621</v>
      </c>
      <c r="D758" s="2" t="s">
        <v>45</v>
      </c>
      <c r="E758" s="2" t="s">
        <v>46</v>
      </c>
      <c r="F758" s="2" t="s">
        <v>51</v>
      </c>
      <c r="G758">
        <v>3</v>
      </c>
      <c r="H758" s="2" t="s">
        <v>56</v>
      </c>
      <c r="I758">
        <v>190.64</v>
      </c>
      <c r="J758">
        <v>0</v>
      </c>
      <c r="K758">
        <v>0</v>
      </c>
      <c r="L758">
        <v>27.78</v>
      </c>
      <c r="M758">
        <v>73.260000000000005</v>
      </c>
      <c r="N758">
        <v>0</v>
      </c>
      <c r="O758">
        <v>5.83</v>
      </c>
      <c r="P758" s="2" t="s">
        <v>42</v>
      </c>
      <c r="Q758">
        <v>0</v>
      </c>
      <c r="R758">
        <v>190.64</v>
      </c>
      <c r="S758">
        <v>106.87</v>
      </c>
      <c r="T758">
        <v>83.77</v>
      </c>
      <c r="U758">
        <f t="shared" si="11"/>
        <v>0</v>
      </c>
    </row>
    <row r="759" spans="1:21" x14ac:dyDescent="0.25">
      <c r="A759" s="2" t="s">
        <v>1305</v>
      </c>
      <c r="B759" s="2" t="s">
        <v>1306</v>
      </c>
      <c r="C759" s="1">
        <v>45789</v>
      </c>
      <c r="D759" s="2" t="s">
        <v>38</v>
      </c>
      <c r="E759" s="2" t="s">
        <v>46</v>
      </c>
      <c r="F759" s="2" t="s">
        <v>85</v>
      </c>
      <c r="G759">
        <v>4</v>
      </c>
      <c r="H759" s="2" t="s">
        <v>77</v>
      </c>
      <c r="I759">
        <v>131.94999999999999</v>
      </c>
      <c r="J759">
        <v>10</v>
      </c>
      <c r="K759">
        <v>13.2</v>
      </c>
      <c r="L759">
        <v>74.2</v>
      </c>
      <c r="M759">
        <v>63.17</v>
      </c>
      <c r="N759">
        <v>0</v>
      </c>
      <c r="O759">
        <v>3.74</v>
      </c>
      <c r="P759" s="2" t="s">
        <v>42</v>
      </c>
      <c r="Q759">
        <v>0</v>
      </c>
      <c r="R759">
        <v>118.75</v>
      </c>
      <c r="S759">
        <v>141.11000000000001</v>
      </c>
      <c r="T759">
        <v>-22.36</v>
      </c>
      <c r="U759">
        <f t="shared" si="11"/>
        <v>0</v>
      </c>
    </row>
    <row r="760" spans="1:21" x14ac:dyDescent="0.25">
      <c r="A760" s="2" t="s">
        <v>1307</v>
      </c>
      <c r="B760" s="2" t="s">
        <v>873</v>
      </c>
      <c r="C760" s="1">
        <v>45602</v>
      </c>
      <c r="D760" s="2" t="s">
        <v>38</v>
      </c>
      <c r="E760" s="2" t="s">
        <v>55</v>
      </c>
      <c r="F760" s="2" t="s">
        <v>85</v>
      </c>
      <c r="G760">
        <v>1</v>
      </c>
      <c r="H760" s="2" t="s">
        <v>56</v>
      </c>
      <c r="I760">
        <v>70.38</v>
      </c>
      <c r="J760">
        <v>20</v>
      </c>
      <c r="K760">
        <v>14.08</v>
      </c>
      <c r="L760">
        <v>10.039999999999999</v>
      </c>
      <c r="M760">
        <v>23.42</v>
      </c>
      <c r="N760">
        <v>0</v>
      </c>
      <c r="O760">
        <v>1.93</v>
      </c>
      <c r="P760" s="2" t="s">
        <v>42</v>
      </c>
      <c r="Q760">
        <v>0</v>
      </c>
      <c r="R760">
        <v>56.3</v>
      </c>
      <c r="S760">
        <v>35.39</v>
      </c>
      <c r="T760">
        <v>20.91</v>
      </c>
      <c r="U760">
        <f t="shared" si="11"/>
        <v>0</v>
      </c>
    </row>
    <row r="761" spans="1:21" x14ac:dyDescent="0.25">
      <c r="A761" s="2" t="s">
        <v>1308</v>
      </c>
      <c r="B761" s="2" t="s">
        <v>760</v>
      </c>
      <c r="C761" s="1">
        <v>45356</v>
      </c>
      <c r="D761" s="2" t="s">
        <v>45</v>
      </c>
      <c r="E761" s="2" t="s">
        <v>71</v>
      </c>
      <c r="F761" s="2" t="s">
        <v>47</v>
      </c>
      <c r="G761">
        <v>4</v>
      </c>
      <c r="H761" s="2" t="s">
        <v>52</v>
      </c>
      <c r="I761">
        <v>239.84</v>
      </c>
      <c r="J761">
        <v>0</v>
      </c>
      <c r="K761">
        <v>0</v>
      </c>
      <c r="L761">
        <v>63.72</v>
      </c>
      <c r="M761">
        <v>111.39</v>
      </c>
      <c r="N761">
        <v>0</v>
      </c>
      <c r="O761">
        <v>7.26</v>
      </c>
      <c r="P761" s="2" t="s">
        <v>42</v>
      </c>
      <c r="Q761">
        <v>0</v>
      </c>
      <c r="R761">
        <v>239.84</v>
      </c>
      <c r="S761">
        <v>182.37</v>
      </c>
      <c r="T761">
        <v>57.47</v>
      </c>
      <c r="U761">
        <f t="shared" si="11"/>
        <v>0</v>
      </c>
    </row>
    <row r="762" spans="1:21" x14ac:dyDescent="0.25">
      <c r="A762" s="2" t="s">
        <v>1309</v>
      </c>
      <c r="B762" s="2" t="s">
        <v>1044</v>
      </c>
      <c r="C762" s="1">
        <v>45875</v>
      </c>
      <c r="D762" s="2" t="s">
        <v>59</v>
      </c>
      <c r="E762" s="2" t="s">
        <v>46</v>
      </c>
      <c r="F762" s="2" t="s">
        <v>94</v>
      </c>
      <c r="G762">
        <v>2</v>
      </c>
      <c r="H762" s="2" t="s">
        <v>77</v>
      </c>
      <c r="I762">
        <v>48.33</v>
      </c>
      <c r="J762">
        <v>10</v>
      </c>
      <c r="K762">
        <v>4.83</v>
      </c>
      <c r="L762">
        <v>40.159999999999997</v>
      </c>
      <c r="M762">
        <v>33.35</v>
      </c>
      <c r="N762">
        <v>6.52</v>
      </c>
      <c r="O762">
        <v>1.56</v>
      </c>
      <c r="P762" s="2" t="s">
        <v>42</v>
      </c>
      <c r="Q762">
        <v>0</v>
      </c>
      <c r="R762">
        <v>43.5</v>
      </c>
      <c r="S762">
        <v>81.59</v>
      </c>
      <c r="T762">
        <v>-38.090000000000003</v>
      </c>
      <c r="U762">
        <f t="shared" si="11"/>
        <v>0</v>
      </c>
    </row>
    <row r="763" spans="1:21" x14ac:dyDescent="0.25">
      <c r="A763" s="2" t="s">
        <v>1310</v>
      </c>
      <c r="B763" s="2" t="s">
        <v>1311</v>
      </c>
      <c r="C763" s="1">
        <v>45511</v>
      </c>
      <c r="D763" s="2" t="s">
        <v>45</v>
      </c>
      <c r="E763" s="2" t="s">
        <v>55</v>
      </c>
      <c r="F763" s="2" t="s">
        <v>40</v>
      </c>
      <c r="G763">
        <v>1</v>
      </c>
      <c r="H763" s="2" t="s">
        <v>52</v>
      </c>
      <c r="I763">
        <v>72.56</v>
      </c>
      <c r="J763">
        <v>15</v>
      </c>
      <c r="K763">
        <v>10.88</v>
      </c>
      <c r="L763">
        <v>8.6999999999999993</v>
      </c>
      <c r="M763">
        <v>35.81</v>
      </c>
      <c r="N763">
        <v>0</v>
      </c>
      <c r="O763">
        <v>2.09</v>
      </c>
      <c r="P763" s="2" t="s">
        <v>42</v>
      </c>
      <c r="Q763">
        <v>0</v>
      </c>
      <c r="R763">
        <v>61.68</v>
      </c>
      <c r="S763">
        <v>46.6</v>
      </c>
      <c r="T763">
        <v>15.08</v>
      </c>
      <c r="U763">
        <f t="shared" si="11"/>
        <v>0</v>
      </c>
    </row>
    <row r="764" spans="1:21" x14ac:dyDescent="0.25">
      <c r="A764" s="2" t="s">
        <v>1312</v>
      </c>
      <c r="B764" s="2" t="s">
        <v>1313</v>
      </c>
      <c r="C764" s="1">
        <v>45943</v>
      </c>
      <c r="D764" s="2" t="s">
        <v>38</v>
      </c>
      <c r="E764" s="2" t="s">
        <v>46</v>
      </c>
      <c r="F764" s="2" t="s">
        <v>47</v>
      </c>
      <c r="G764">
        <v>1</v>
      </c>
      <c r="H764" s="2" t="s">
        <v>41</v>
      </c>
      <c r="I764">
        <v>43.34</v>
      </c>
      <c r="J764">
        <v>5</v>
      </c>
      <c r="K764">
        <v>2.17</v>
      </c>
      <c r="L764">
        <v>9.58</v>
      </c>
      <c r="M764">
        <v>15.91</v>
      </c>
      <c r="N764">
        <v>0</v>
      </c>
      <c r="O764">
        <v>1.49</v>
      </c>
      <c r="P764" s="2" t="s">
        <v>42</v>
      </c>
      <c r="Q764">
        <v>0</v>
      </c>
      <c r="R764">
        <v>41.17</v>
      </c>
      <c r="S764">
        <v>26.98</v>
      </c>
      <c r="T764">
        <v>14.19</v>
      </c>
      <c r="U764">
        <f t="shared" si="11"/>
        <v>0</v>
      </c>
    </row>
    <row r="765" spans="1:21" x14ac:dyDescent="0.25">
      <c r="A765" s="2" t="s">
        <v>1314</v>
      </c>
      <c r="B765" s="2" t="s">
        <v>117</v>
      </c>
      <c r="C765" s="1">
        <v>45919</v>
      </c>
      <c r="D765" s="2" t="s">
        <v>38</v>
      </c>
      <c r="E765" s="2" t="s">
        <v>67</v>
      </c>
      <c r="F765" s="2" t="s">
        <v>51</v>
      </c>
      <c r="G765">
        <v>4</v>
      </c>
      <c r="H765" s="2" t="s">
        <v>77</v>
      </c>
      <c r="I765">
        <v>268.14999999999998</v>
      </c>
      <c r="J765">
        <v>15</v>
      </c>
      <c r="K765">
        <v>40.22</v>
      </c>
      <c r="L765">
        <v>52.84</v>
      </c>
      <c r="M765">
        <v>131.22</v>
      </c>
      <c r="N765">
        <v>0</v>
      </c>
      <c r="O765">
        <v>6.91</v>
      </c>
      <c r="P765" s="2" t="s">
        <v>42</v>
      </c>
      <c r="Q765">
        <v>0</v>
      </c>
      <c r="R765">
        <v>227.93</v>
      </c>
      <c r="S765">
        <v>190.97</v>
      </c>
      <c r="T765">
        <v>36.96</v>
      </c>
      <c r="U765">
        <f t="shared" si="11"/>
        <v>0</v>
      </c>
    </row>
    <row r="766" spans="1:21" x14ac:dyDescent="0.25">
      <c r="A766" s="2" t="s">
        <v>1315</v>
      </c>
      <c r="B766" s="2" t="s">
        <v>1316</v>
      </c>
      <c r="C766" s="1">
        <v>45409</v>
      </c>
      <c r="D766" s="2" t="s">
        <v>45</v>
      </c>
      <c r="E766" s="2" t="s">
        <v>46</v>
      </c>
      <c r="F766" s="2" t="s">
        <v>85</v>
      </c>
      <c r="G766">
        <v>2</v>
      </c>
      <c r="H766" s="2" t="s">
        <v>41</v>
      </c>
      <c r="I766">
        <v>105.99</v>
      </c>
      <c r="J766">
        <v>0</v>
      </c>
      <c r="K766">
        <v>0</v>
      </c>
      <c r="L766">
        <v>25.06</v>
      </c>
      <c r="M766">
        <v>38.049999999999997</v>
      </c>
      <c r="N766">
        <v>0</v>
      </c>
      <c r="O766">
        <v>3.37</v>
      </c>
      <c r="P766" s="2" t="s">
        <v>42</v>
      </c>
      <c r="Q766">
        <v>0</v>
      </c>
      <c r="R766">
        <v>105.99</v>
      </c>
      <c r="S766">
        <v>66.48</v>
      </c>
      <c r="T766">
        <v>39.51</v>
      </c>
      <c r="U766">
        <f t="shared" si="11"/>
        <v>0</v>
      </c>
    </row>
    <row r="767" spans="1:21" x14ac:dyDescent="0.25">
      <c r="A767" s="2" t="s">
        <v>1317</v>
      </c>
      <c r="B767" s="2" t="s">
        <v>1026</v>
      </c>
      <c r="C767" s="1">
        <v>45454</v>
      </c>
      <c r="D767" s="2" t="s">
        <v>45</v>
      </c>
      <c r="E767" s="2" t="s">
        <v>46</v>
      </c>
      <c r="F767" s="2" t="s">
        <v>94</v>
      </c>
      <c r="G767">
        <v>1</v>
      </c>
      <c r="H767" s="2" t="s">
        <v>41</v>
      </c>
      <c r="I767">
        <v>365.2</v>
      </c>
      <c r="J767">
        <v>0</v>
      </c>
      <c r="K767">
        <v>0</v>
      </c>
      <c r="L767">
        <v>17.559999999999999</v>
      </c>
      <c r="M767">
        <v>121.88</v>
      </c>
      <c r="N767">
        <v>0</v>
      </c>
      <c r="O767">
        <v>10.89</v>
      </c>
      <c r="P767" s="2" t="s">
        <v>42</v>
      </c>
      <c r="Q767">
        <v>0</v>
      </c>
      <c r="R767">
        <v>365.2</v>
      </c>
      <c r="S767">
        <v>150.33000000000001</v>
      </c>
      <c r="T767">
        <v>214.87</v>
      </c>
      <c r="U767">
        <f t="shared" si="11"/>
        <v>0</v>
      </c>
    </row>
    <row r="768" spans="1:21" x14ac:dyDescent="0.25">
      <c r="A768" s="2" t="s">
        <v>1318</v>
      </c>
      <c r="B768" s="2" t="s">
        <v>538</v>
      </c>
      <c r="C768" s="1">
        <v>45682</v>
      </c>
      <c r="D768" s="2" t="s">
        <v>45</v>
      </c>
      <c r="E768" s="2" t="s">
        <v>46</v>
      </c>
      <c r="F768" s="2" t="s">
        <v>85</v>
      </c>
      <c r="G768">
        <v>2</v>
      </c>
      <c r="H768" s="2" t="s">
        <v>56</v>
      </c>
      <c r="I768">
        <v>110.5</v>
      </c>
      <c r="J768">
        <v>0</v>
      </c>
      <c r="K768">
        <v>0</v>
      </c>
      <c r="L768">
        <v>17.16</v>
      </c>
      <c r="M768">
        <v>57.11</v>
      </c>
      <c r="N768">
        <v>0</v>
      </c>
      <c r="O768">
        <v>3.5</v>
      </c>
      <c r="P768" s="2" t="s">
        <v>42</v>
      </c>
      <c r="Q768">
        <v>0</v>
      </c>
      <c r="R768">
        <v>110.5</v>
      </c>
      <c r="S768">
        <v>77.77</v>
      </c>
      <c r="T768">
        <v>32.729999999999997</v>
      </c>
      <c r="U768">
        <f t="shared" si="11"/>
        <v>0</v>
      </c>
    </row>
    <row r="769" spans="1:21" x14ac:dyDescent="0.25">
      <c r="A769" s="2" t="s">
        <v>1319</v>
      </c>
      <c r="B769" s="2" t="s">
        <v>117</v>
      </c>
      <c r="C769" s="1">
        <v>45674</v>
      </c>
      <c r="D769" s="2" t="s">
        <v>38</v>
      </c>
      <c r="E769" s="2" t="s">
        <v>46</v>
      </c>
      <c r="F769" s="2" t="s">
        <v>51</v>
      </c>
      <c r="G769">
        <v>2</v>
      </c>
      <c r="H769" s="2" t="s">
        <v>41</v>
      </c>
      <c r="I769">
        <v>209.58</v>
      </c>
      <c r="J769">
        <v>0</v>
      </c>
      <c r="K769">
        <v>0</v>
      </c>
      <c r="L769">
        <v>54</v>
      </c>
      <c r="M769">
        <v>74.05</v>
      </c>
      <c r="N769">
        <v>0</v>
      </c>
      <c r="O769">
        <v>6.38</v>
      </c>
      <c r="P769" s="2" t="s">
        <v>42</v>
      </c>
      <c r="Q769">
        <v>0</v>
      </c>
      <c r="R769">
        <v>209.58</v>
      </c>
      <c r="S769">
        <v>134.43</v>
      </c>
      <c r="T769">
        <v>75.150000000000006</v>
      </c>
      <c r="U769">
        <f t="shared" si="11"/>
        <v>0</v>
      </c>
    </row>
    <row r="770" spans="1:21" x14ac:dyDescent="0.25">
      <c r="A770" s="2" t="s">
        <v>1320</v>
      </c>
      <c r="B770" s="2" t="s">
        <v>799</v>
      </c>
      <c r="C770" s="1">
        <v>45889</v>
      </c>
      <c r="D770" s="2" t="s">
        <v>59</v>
      </c>
      <c r="E770" s="2" t="s">
        <v>46</v>
      </c>
      <c r="F770" s="2" t="s">
        <v>94</v>
      </c>
      <c r="G770">
        <v>2</v>
      </c>
      <c r="H770" s="2" t="s">
        <v>52</v>
      </c>
      <c r="I770">
        <v>73.569999999999993</v>
      </c>
      <c r="J770">
        <v>0</v>
      </c>
      <c r="K770">
        <v>0</v>
      </c>
      <c r="L770">
        <v>22.76</v>
      </c>
      <c r="M770">
        <v>40.340000000000003</v>
      </c>
      <c r="N770">
        <v>11.04</v>
      </c>
      <c r="O770">
        <v>2.4300000000000002</v>
      </c>
      <c r="P770" s="2" t="s">
        <v>42</v>
      </c>
      <c r="Q770">
        <v>0</v>
      </c>
      <c r="R770">
        <v>73.569999999999993</v>
      </c>
      <c r="S770">
        <v>76.569999999999993</v>
      </c>
      <c r="T770">
        <v>-3</v>
      </c>
      <c r="U770">
        <f t="shared" si="11"/>
        <v>0</v>
      </c>
    </row>
    <row r="771" spans="1:21" x14ac:dyDescent="0.25">
      <c r="A771" s="2" t="s">
        <v>1321</v>
      </c>
      <c r="B771" s="2" t="s">
        <v>203</v>
      </c>
      <c r="C771" s="1">
        <v>45800</v>
      </c>
      <c r="D771" s="2" t="s">
        <v>59</v>
      </c>
      <c r="E771" s="2" t="s">
        <v>46</v>
      </c>
      <c r="F771" s="2" t="s">
        <v>85</v>
      </c>
      <c r="G771">
        <v>1</v>
      </c>
      <c r="H771" s="2" t="s">
        <v>52</v>
      </c>
      <c r="I771">
        <v>117.94</v>
      </c>
      <c r="J771">
        <v>20</v>
      </c>
      <c r="K771">
        <v>23.59</v>
      </c>
      <c r="L771">
        <v>12.44</v>
      </c>
      <c r="M771">
        <v>47.02</v>
      </c>
      <c r="N771">
        <v>14.15</v>
      </c>
      <c r="O771">
        <v>3.04</v>
      </c>
      <c r="P771" s="2" t="s">
        <v>42</v>
      </c>
      <c r="Q771">
        <v>0</v>
      </c>
      <c r="R771">
        <v>94.35</v>
      </c>
      <c r="S771">
        <v>76.650000000000006</v>
      </c>
      <c r="T771">
        <v>17.7</v>
      </c>
      <c r="U771">
        <f t="shared" si="11"/>
        <v>0</v>
      </c>
    </row>
    <row r="772" spans="1:21" x14ac:dyDescent="0.25">
      <c r="A772" s="2" t="s">
        <v>1322</v>
      </c>
      <c r="B772" s="2" t="s">
        <v>102</v>
      </c>
      <c r="C772" s="1">
        <v>45543</v>
      </c>
      <c r="D772" s="2" t="s">
        <v>45</v>
      </c>
      <c r="E772" s="2" t="s">
        <v>55</v>
      </c>
      <c r="F772" s="2" t="s">
        <v>40</v>
      </c>
      <c r="G772">
        <v>4</v>
      </c>
      <c r="H772" s="2" t="s">
        <v>48</v>
      </c>
      <c r="I772">
        <v>290.26</v>
      </c>
      <c r="J772">
        <v>0</v>
      </c>
      <c r="K772">
        <v>0</v>
      </c>
      <c r="L772">
        <v>65.540000000000006</v>
      </c>
      <c r="M772">
        <v>133.02000000000001</v>
      </c>
      <c r="N772">
        <v>0</v>
      </c>
      <c r="O772">
        <v>8.7200000000000006</v>
      </c>
      <c r="P772" s="2" t="s">
        <v>42</v>
      </c>
      <c r="Q772">
        <v>0</v>
      </c>
      <c r="R772">
        <v>290.26</v>
      </c>
      <c r="S772">
        <v>207.28</v>
      </c>
      <c r="T772">
        <v>82.98</v>
      </c>
      <c r="U772">
        <f t="shared" si="11"/>
        <v>0</v>
      </c>
    </row>
    <row r="773" spans="1:21" x14ac:dyDescent="0.25">
      <c r="A773" s="2" t="s">
        <v>1323</v>
      </c>
      <c r="B773" s="2" t="s">
        <v>287</v>
      </c>
      <c r="C773" s="1">
        <v>45533</v>
      </c>
      <c r="D773" s="2" t="s">
        <v>59</v>
      </c>
      <c r="E773" s="2" t="s">
        <v>46</v>
      </c>
      <c r="F773" s="2" t="s">
        <v>85</v>
      </c>
      <c r="G773">
        <v>3</v>
      </c>
      <c r="H773" s="2" t="s">
        <v>52</v>
      </c>
      <c r="I773">
        <v>160.21</v>
      </c>
      <c r="J773">
        <v>15</v>
      </c>
      <c r="K773">
        <v>24.03</v>
      </c>
      <c r="L773">
        <v>28.58</v>
      </c>
      <c r="M773">
        <v>59.77</v>
      </c>
      <c r="N773">
        <v>20.43</v>
      </c>
      <c r="O773">
        <v>4.25</v>
      </c>
      <c r="P773" s="2" t="s">
        <v>42</v>
      </c>
      <c r="Q773">
        <v>0</v>
      </c>
      <c r="R773">
        <v>136.18</v>
      </c>
      <c r="S773">
        <v>113.03</v>
      </c>
      <c r="T773">
        <v>23.15</v>
      </c>
      <c r="U773">
        <f t="shared" ref="U773:U836" si="12">IF(P771="Yes", 1, 0)</f>
        <v>0</v>
      </c>
    </row>
    <row r="774" spans="1:21" x14ac:dyDescent="0.25">
      <c r="A774" s="2" t="s">
        <v>1324</v>
      </c>
      <c r="B774" s="2" t="s">
        <v>1149</v>
      </c>
      <c r="C774" s="1">
        <v>45639</v>
      </c>
      <c r="D774" s="2" t="s">
        <v>45</v>
      </c>
      <c r="E774" s="2" t="s">
        <v>71</v>
      </c>
      <c r="F774" s="2" t="s">
        <v>47</v>
      </c>
      <c r="G774">
        <v>2</v>
      </c>
      <c r="H774" s="2" t="s">
        <v>48</v>
      </c>
      <c r="I774">
        <v>318.08999999999997</v>
      </c>
      <c r="J774">
        <v>25</v>
      </c>
      <c r="K774">
        <v>79.52</v>
      </c>
      <c r="L774">
        <v>36.159999999999997</v>
      </c>
      <c r="M774">
        <v>135.79</v>
      </c>
      <c r="N774">
        <v>0</v>
      </c>
      <c r="O774">
        <v>7.22</v>
      </c>
      <c r="P774" s="2" t="s">
        <v>42</v>
      </c>
      <c r="Q774">
        <v>0</v>
      </c>
      <c r="R774">
        <v>238.57</v>
      </c>
      <c r="S774">
        <v>179.17</v>
      </c>
      <c r="T774">
        <v>59.4</v>
      </c>
      <c r="U774">
        <f t="shared" si="12"/>
        <v>0</v>
      </c>
    </row>
    <row r="775" spans="1:21" x14ac:dyDescent="0.25">
      <c r="A775" s="2" t="s">
        <v>1325</v>
      </c>
      <c r="B775" s="2" t="s">
        <v>860</v>
      </c>
      <c r="C775" s="1">
        <v>45414</v>
      </c>
      <c r="D775" s="2" t="s">
        <v>45</v>
      </c>
      <c r="E775" s="2" t="s">
        <v>67</v>
      </c>
      <c r="F775" s="2" t="s">
        <v>85</v>
      </c>
      <c r="G775">
        <v>1</v>
      </c>
      <c r="H775" s="2" t="s">
        <v>111</v>
      </c>
      <c r="I775">
        <v>57.08</v>
      </c>
      <c r="J775">
        <v>15</v>
      </c>
      <c r="K775">
        <v>8.56</v>
      </c>
      <c r="L775">
        <v>11.26</v>
      </c>
      <c r="M775">
        <v>26.65</v>
      </c>
      <c r="N775">
        <v>0</v>
      </c>
      <c r="O775">
        <v>1.71</v>
      </c>
      <c r="P775" s="2" t="s">
        <v>42</v>
      </c>
      <c r="Q775">
        <v>0</v>
      </c>
      <c r="R775">
        <v>48.52</v>
      </c>
      <c r="S775">
        <v>39.619999999999997</v>
      </c>
      <c r="T775">
        <v>8.9</v>
      </c>
      <c r="U775">
        <f t="shared" si="12"/>
        <v>0</v>
      </c>
    </row>
    <row r="776" spans="1:21" x14ac:dyDescent="0.25">
      <c r="A776" s="2" t="s">
        <v>1326</v>
      </c>
      <c r="B776" s="2" t="s">
        <v>583</v>
      </c>
      <c r="C776" s="1">
        <v>45761</v>
      </c>
      <c r="D776" s="2" t="s">
        <v>45</v>
      </c>
      <c r="E776" s="2" t="s">
        <v>39</v>
      </c>
      <c r="F776" s="2" t="s">
        <v>94</v>
      </c>
      <c r="G776">
        <v>5</v>
      </c>
      <c r="H776" s="2" t="s">
        <v>56</v>
      </c>
      <c r="I776">
        <v>365.74</v>
      </c>
      <c r="J776">
        <v>0</v>
      </c>
      <c r="K776">
        <v>0</v>
      </c>
      <c r="L776">
        <v>78.900000000000006</v>
      </c>
      <c r="M776">
        <v>160.12</v>
      </c>
      <c r="N776">
        <v>0</v>
      </c>
      <c r="O776">
        <v>10.91</v>
      </c>
      <c r="P776" s="2" t="s">
        <v>42</v>
      </c>
      <c r="Q776">
        <v>0</v>
      </c>
      <c r="R776">
        <v>365.74</v>
      </c>
      <c r="S776">
        <v>249.93</v>
      </c>
      <c r="T776">
        <v>115.81</v>
      </c>
      <c r="U776">
        <f t="shared" si="12"/>
        <v>0</v>
      </c>
    </row>
    <row r="777" spans="1:21" x14ac:dyDescent="0.25">
      <c r="A777" s="2" t="s">
        <v>1327</v>
      </c>
      <c r="B777" s="2" t="s">
        <v>747</v>
      </c>
      <c r="C777" s="1">
        <v>45801</v>
      </c>
      <c r="D777" s="2" t="s">
        <v>80</v>
      </c>
      <c r="E777" s="2" t="s">
        <v>71</v>
      </c>
      <c r="F777" s="2" t="s">
        <v>51</v>
      </c>
      <c r="G777">
        <v>1</v>
      </c>
      <c r="H777" s="2" t="s">
        <v>111</v>
      </c>
      <c r="I777">
        <v>31.38</v>
      </c>
      <c r="J777">
        <v>20</v>
      </c>
      <c r="K777">
        <v>6.28</v>
      </c>
      <c r="L777">
        <v>18.68</v>
      </c>
      <c r="M777">
        <v>9.34</v>
      </c>
      <c r="N777">
        <v>2.0099999999999998</v>
      </c>
      <c r="O777">
        <v>1.03</v>
      </c>
      <c r="P777" s="2" t="s">
        <v>42</v>
      </c>
      <c r="Q777">
        <v>0</v>
      </c>
      <c r="R777">
        <v>25.1</v>
      </c>
      <c r="S777">
        <v>31.06</v>
      </c>
      <c r="T777">
        <v>-5.96</v>
      </c>
      <c r="U777">
        <f t="shared" si="12"/>
        <v>0</v>
      </c>
    </row>
    <row r="778" spans="1:21" x14ac:dyDescent="0.25">
      <c r="A778" s="2" t="s">
        <v>1328</v>
      </c>
      <c r="B778" s="2" t="s">
        <v>1329</v>
      </c>
      <c r="C778" s="1">
        <v>45664</v>
      </c>
      <c r="D778" s="2" t="s">
        <v>45</v>
      </c>
      <c r="E778" s="2" t="s">
        <v>46</v>
      </c>
      <c r="F778" s="2" t="s">
        <v>85</v>
      </c>
      <c r="G778">
        <v>5</v>
      </c>
      <c r="H778" s="2" t="s">
        <v>64</v>
      </c>
      <c r="I778">
        <v>357.46</v>
      </c>
      <c r="J778">
        <v>15</v>
      </c>
      <c r="K778">
        <v>53.62</v>
      </c>
      <c r="L778">
        <v>98.54</v>
      </c>
      <c r="M778">
        <v>223.94</v>
      </c>
      <c r="N778">
        <v>0</v>
      </c>
      <c r="O778">
        <v>9.11</v>
      </c>
      <c r="P778" s="2" t="s">
        <v>42</v>
      </c>
      <c r="Q778">
        <v>0</v>
      </c>
      <c r="R778">
        <v>303.83999999999997</v>
      </c>
      <c r="S778">
        <v>331.59</v>
      </c>
      <c r="T778">
        <v>-27.75</v>
      </c>
      <c r="U778">
        <f t="shared" si="12"/>
        <v>0</v>
      </c>
    </row>
    <row r="779" spans="1:21" x14ac:dyDescent="0.25">
      <c r="A779" s="2" t="s">
        <v>1330</v>
      </c>
      <c r="B779" s="2" t="s">
        <v>1331</v>
      </c>
      <c r="C779" s="1">
        <v>45610</v>
      </c>
      <c r="D779" s="2" t="s">
        <v>45</v>
      </c>
      <c r="E779" s="2" t="s">
        <v>67</v>
      </c>
      <c r="F779" s="2" t="s">
        <v>51</v>
      </c>
      <c r="G779">
        <v>1</v>
      </c>
      <c r="H779" s="2" t="s">
        <v>77</v>
      </c>
      <c r="I779">
        <v>20</v>
      </c>
      <c r="J779">
        <v>20</v>
      </c>
      <c r="K779">
        <v>4</v>
      </c>
      <c r="L779">
        <v>12.28</v>
      </c>
      <c r="M779">
        <v>6.7</v>
      </c>
      <c r="N779">
        <v>0</v>
      </c>
      <c r="O779">
        <v>0.76</v>
      </c>
      <c r="P779" s="2" t="s">
        <v>68</v>
      </c>
      <c r="Q779">
        <v>16</v>
      </c>
      <c r="R779">
        <v>0</v>
      </c>
      <c r="S779">
        <v>19.739999999999998</v>
      </c>
      <c r="T779">
        <v>-19.739999999999998</v>
      </c>
      <c r="U779">
        <f t="shared" si="12"/>
        <v>0</v>
      </c>
    </row>
    <row r="780" spans="1:21" x14ac:dyDescent="0.25">
      <c r="A780" s="2" t="s">
        <v>1332</v>
      </c>
      <c r="B780" s="2" t="s">
        <v>1333</v>
      </c>
      <c r="C780" s="1">
        <v>45772</v>
      </c>
      <c r="D780" s="2" t="s">
        <v>45</v>
      </c>
      <c r="E780" s="2" t="s">
        <v>46</v>
      </c>
      <c r="F780" s="2" t="s">
        <v>85</v>
      </c>
      <c r="G780">
        <v>1</v>
      </c>
      <c r="H780" s="2" t="s">
        <v>56</v>
      </c>
      <c r="I780">
        <v>125.88</v>
      </c>
      <c r="J780">
        <v>15</v>
      </c>
      <c r="K780">
        <v>18.88</v>
      </c>
      <c r="L780">
        <v>13.24</v>
      </c>
      <c r="M780">
        <v>52.96</v>
      </c>
      <c r="N780">
        <v>0</v>
      </c>
      <c r="O780">
        <v>3.4</v>
      </c>
      <c r="P780" s="2" t="s">
        <v>68</v>
      </c>
      <c r="Q780">
        <v>107</v>
      </c>
      <c r="R780">
        <v>0</v>
      </c>
      <c r="S780">
        <v>69.599999999999994</v>
      </c>
      <c r="T780">
        <v>-69.599999999999994</v>
      </c>
      <c r="U780">
        <f t="shared" si="12"/>
        <v>0</v>
      </c>
    </row>
    <row r="781" spans="1:21" x14ac:dyDescent="0.25">
      <c r="A781" s="2" t="s">
        <v>1334</v>
      </c>
      <c r="B781" s="2" t="s">
        <v>1335</v>
      </c>
      <c r="C781" s="1">
        <v>45811</v>
      </c>
      <c r="D781" s="2" t="s">
        <v>38</v>
      </c>
      <c r="E781" s="2" t="s">
        <v>39</v>
      </c>
      <c r="F781" s="2" t="s">
        <v>85</v>
      </c>
      <c r="G781">
        <v>4</v>
      </c>
      <c r="H781" s="2" t="s">
        <v>48</v>
      </c>
      <c r="I781">
        <v>166.17</v>
      </c>
      <c r="J781">
        <v>0</v>
      </c>
      <c r="K781">
        <v>0</v>
      </c>
      <c r="L781">
        <v>34.64</v>
      </c>
      <c r="M781">
        <v>69.459999999999994</v>
      </c>
      <c r="N781">
        <v>0</v>
      </c>
      <c r="O781">
        <v>5.12</v>
      </c>
      <c r="P781" s="2" t="s">
        <v>42</v>
      </c>
      <c r="Q781">
        <v>0</v>
      </c>
      <c r="R781">
        <v>166.17</v>
      </c>
      <c r="S781">
        <v>109.22</v>
      </c>
      <c r="T781">
        <v>56.95</v>
      </c>
      <c r="U781">
        <f t="shared" si="12"/>
        <v>1</v>
      </c>
    </row>
    <row r="782" spans="1:21" x14ac:dyDescent="0.25">
      <c r="A782" s="2" t="s">
        <v>1336</v>
      </c>
      <c r="B782" s="2" t="s">
        <v>515</v>
      </c>
      <c r="C782" s="1">
        <v>45723</v>
      </c>
      <c r="D782" s="2" t="s">
        <v>59</v>
      </c>
      <c r="E782" s="2" t="s">
        <v>55</v>
      </c>
      <c r="F782" s="2" t="s">
        <v>85</v>
      </c>
      <c r="G782">
        <v>3</v>
      </c>
      <c r="H782" s="2" t="s">
        <v>48</v>
      </c>
      <c r="I782">
        <v>295.87</v>
      </c>
      <c r="J782">
        <v>25</v>
      </c>
      <c r="K782">
        <v>73.97</v>
      </c>
      <c r="L782">
        <v>47.42</v>
      </c>
      <c r="M782">
        <v>117.84</v>
      </c>
      <c r="N782">
        <v>33.28</v>
      </c>
      <c r="O782">
        <v>6.74</v>
      </c>
      <c r="P782" s="2" t="s">
        <v>42</v>
      </c>
      <c r="Q782">
        <v>0</v>
      </c>
      <c r="R782">
        <v>221.9</v>
      </c>
      <c r="S782">
        <v>205.28</v>
      </c>
      <c r="T782">
        <v>16.62</v>
      </c>
      <c r="U782">
        <f t="shared" si="12"/>
        <v>1</v>
      </c>
    </row>
    <row r="783" spans="1:21" x14ac:dyDescent="0.25">
      <c r="A783" s="2" t="s">
        <v>1337</v>
      </c>
      <c r="B783" s="2" t="s">
        <v>1338</v>
      </c>
      <c r="C783" s="1">
        <v>45741</v>
      </c>
      <c r="D783" s="2" t="s">
        <v>45</v>
      </c>
      <c r="E783" s="2" t="s">
        <v>71</v>
      </c>
      <c r="F783" s="2" t="s">
        <v>94</v>
      </c>
      <c r="G783">
        <v>2</v>
      </c>
      <c r="H783" s="2" t="s">
        <v>52</v>
      </c>
      <c r="I783">
        <v>331.21</v>
      </c>
      <c r="J783">
        <v>20</v>
      </c>
      <c r="K783">
        <v>66.239999999999995</v>
      </c>
      <c r="L783">
        <v>16.02</v>
      </c>
      <c r="M783">
        <v>100.43</v>
      </c>
      <c r="N783">
        <v>0</v>
      </c>
      <c r="O783">
        <v>7.98</v>
      </c>
      <c r="P783" s="2" t="s">
        <v>42</v>
      </c>
      <c r="Q783">
        <v>0</v>
      </c>
      <c r="R783">
        <v>264.97000000000003</v>
      </c>
      <c r="S783">
        <v>124.43</v>
      </c>
      <c r="T783">
        <v>140.54</v>
      </c>
      <c r="U783">
        <f t="shared" si="12"/>
        <v>0</v>
      </c>
    </row>
    <row r="784" spans="1:21" x14ac:dyDescent="0.25">
      <c r="A784" s="2" t="s">
        <v>1339</v>
      </c>
      <c r="B784" s="2" t="s">
        <v>1013</v>
      </c>
      <c r="C784" s="1">
        <v>45671</v>
      </c>
      <c r="D784" s="2" t="s">
        <v>38</v>
      </c>
      <c r="E784" s="2" t="s">
        <v>46</v>
      </c>
      <c r="F784" s="2" t="s">
        <v>51</v>
      </c>
      <c r="G784">
        <v>4</v>
      </c>
      <c r="H784" s="2" t="s">
        <v>41</v>
      </c>
      <c r="I784">
        <v>275.06</v>
      </c>
      <c r="J784">
        <v>10</v>
      </c>
      <c r="K784">
        <v>27.51</v>
      </c>
      <c r="L784">
        <v>56.52</v>
      </c>
      <c r="M784">
        <v>101.38</v>
      </c>
      <c r="N784">
        <v>0</v>
      </c>
      <c r="O784">
        <v>7.48</v>
      </c>
      <c r="P784" s="2" t="s">
        <v>42</v>
      </c>
      <c r="Q784">
        <v>0</v>
      </c>
      <c r="R784">
        <v>247.55</v>
      </c>
      <c r="S784">
        <v>165.38</v>
      </c>
      <c r="T784">
        <v>82.17</v>
      </c>
      <c r="U784">
        <f t="shared" si="12"/>
        <v>0</v>
      </c>
    </row>
    <row r="785" spans="1:21" x14ac:dyDescent="0.25">
      <c r="A785" s="2" t="s">
        <v>1340</v>
      </c>
      <c r="B785" s="2" t="s">
        <v>808</v>
      </c>
      <c r="C785" s="1">
        <v>45515</v>
      </c>
      <c r="D785" s="2" t="s">
        <v>45</v>
      </c>
      <c r="E785" s="2" t="s">
        <v>55</v>
      </c>
      <c r="F785" s="2" t="s">
        <v>51</v>
      </c>
      <c r="G785">
        <v>2</v>
      </c>
      <c r="H785" s="2" t="s">
        <v>74</v>
      </c>
      <c r="I785">
        <v>48.37</v>
      </c>
      <c r="J785">
        <v>15</v>
      </c>
      <c r="K785">
        <v>7.26</v>
      </c>
      <c r="L785">
        <v>25.88</v>
      </c>
      <c r="M785">
        <v>30.68</v>
      </c>
      <c r="N785">
        <v>0</v>
      </c>
      <c r="O785">
        <v>1.49</v>
      </c>
      <c r="P785" s="2" t="s">
        <v>42</v>
      </c>
      <c r="Q785">
        <v>0</v>
      </c>
      <c r="R785">
        <v>41.11</v>
      </c>
      <c r="S785">
        <v>58.05</v>
      </c>
      <c r="T785">
        <v>-16.940000000000001</v>
      </c>
      <c r="U785">
        <f t="shared" si="12"/>
        <v>0</v>
      </c>
    </row>
    <row r="786" spans="1:21" x14ac:dyDescent="0.25">
      <c r="A786" s="2" t="s">
        <v>1341</v>
      </c>
      <c r="B786" s="2" t="s">
        <v>936</v>
      </c>
      <c r="C786" s="1">
        <v>45506</v>
      </c>
      <c r="D786" s="2" t="s">
        <v>59</v>
      </c>
      <c r="E786" s="2" t="s">
        <v>55</v>
      </c>
      <c r="F786" s="2" t="s">
        <v>47</v>
      </c>
      <c r="G786">
        <v>1</v>
      </c>
      <c r="H786" s="2" t="s">
        <v>48</v>
      </c>
      <c r="I786">
        <v>77.53</v>
      </c>
      <c r="J786">
        <v>10</v>
      </c>
      <c r="K786">
        <v>7.75</v>
      </c>
      <c r="L786">
        <v>4.78</v>
      </c>
      <c r="M786">
        <v>24.83</v>
      </c>
      <c r="N786">
        <v>10.47</v>
      </c>
      <c r="O786">
        <v>2.3199999999999998</v>
      </c>
      <c r="P786" s="2" t="s">
        <v>42</v>
      </c>
      <c r="Q786">
        <v>0</v>
      </c>
      <c r="R786">
        <v>69.78</v>
      </c>
      <c r="S786">
        <v>42.4</v>
      </c>
      <c r="T786">
        <v>27.38</v>
      </c>
      <c r="U786">
        <f t="shared" si="12"/>
        <v>0</v>
      </c>
    </row>
    <row r="787" spans="1:21" x14ac:dyDescent="0.25">
      <c r="A787" s="2" t="s">
        <v>1342</v>
      </c>
      <c r="B787" s="2" t="s">
        <v>1343</v>
      </c>
      <c r="C787" s="1">
        <v>45901</v>
      </c>
      <c r="D787" s="2" t="s">
        <v>45</v>
      </c>
      <c r="E787" s="2" t="s">
        <v>67</v>
      </c>
      <c r="F787" s="2" t="s">
        <v>94</v>
      </c>
      <c r="G787">
        <v>2</v>
      </c>
      <c r="H787" s="2" t="s">
        <v>111</v>
      </c>
      <c r="I787">
        <v>122.59</v>
      </c>
      <c r="J787">
        <v>0</v>
      </c>
      <c r="K787">
        <v>0</v>
      </c>
      <c r="L787">
        <v>25.64</v>
      </c>
      <c r="M787">
        <v>41.77</v>
      </c>
      <c r="N787">
        <v>0</v>
      </c>
      <c r="O787">
        <v>3.86</v>
      </c>
      <c r="P787" s="2" t="s">
        <v>42</v>
      </c>
      <c r="Q787">
        <v>0</v>
      </c>
      <c r="R787">
        <v>122.59</v>
      </c>
      <c r="S787">
        <v>71.27</v>
      </c>
      <c r="T787">
        <v>51.32</v>
      </c>
      <c r="U787">
        <f t="shared" si="12"/>
        <v>0</v>
      </c>
    </row>
    <row r="788" spans="1:21" x14ac:dyDescent="0.25">
      <c r="A788" s="2" t="s">
        <v>1344</v>
      </c>
      <c r="B788" s="2" t="s">
        <v>180</v>
      </c>
      <c r="C788" s="1">
        <v>45720</v>
      </c>
      <c r="D788" s="2" t="s">
        <v>38</v>
      </c>
      <c r="E788" s="2" t="s">
        <v>55</v>
      </c>
      <c r="F788" s="2" t="s">
        <v>85</v>
      </c>
      <c r="G788">
        <v>1</v>
      </c>
      <c r="H788" s="2" t="s">
        <v>111</v>
      </c>
      <c r="I788">
        <v>104.73</v>
      </c>
      <c r="J788">
        <v>10</v>
      </c>
      <c r="K788">
        <v>10.47</v>
      </c>
      <c r="L788">
        <v>14.94</v>
      </c>
      <c r="M788">
        <v>34.15</v>
      </c>
      <c r="N788">
        <v>0</v>
      </c>
      <c r="O788">
        <v>3.03</v>
      </c>
      <c r="P788" s="2" t="s">
        <v>42</v>
      </c>
      <c r="Q788">
        <v>0</v>
      </c>
      <c r="R788">
        <v>94.26</v>
      </c>
      <c r="S788">
        <v>52.12</v>
      </c>
      <c r="T788">
        <v>42.14</v>
      </c>
      <c r="U788">
        <f t="shared" si="12"/>
        <v>0</v>
      </c>
    </row>
    <row r="789" spans="1:21" x14ac:dyDescent="0.25">
      <c r="A789" s="2" t="s">
        <v>1345</v>
      </c>
      <c r="B789" s="2" t="s">
        <v>461</v>
      </c>
      <c r="C789" s="1">
        <v>45434</v>
      </c>
      <c r="D789" s="2" t="s">
        <v>38</v>
      </c>
      <c r="E789" s="2" t="s">
        <v>46</v>
      </c>
      <c r="F789" s="2" t="s">
        <v>94</v>
      </c>
      <c r="G789">
        <v>2</v>
      </c>
      <c r="H789" s="2" t="s">
        <v>48</v>
      </c>
      <c r="I789">
        <v>110.98</v>
      </c>
      <c r="J789">
        <v>5</v>
      </c>
      <c r="K789">
        <v>5.55</v>
      </c>
      <c r="L789">
        <v>32.26</v>
      </c>
      <c r="M789">
        <v>39.99</v>
      </c>
      <c r="N789">
        <v>0</v>
      </c>
      <c r="O789">
        <v>3.36</v>
      </c>
      <c r="P789" s="2" t="s">
        <v>42</v>
      </c>
      <c r="Q789">
        <v>0</v>
      </c>
      <c r="R789">
        <v>105.43</v>
      </c>
      <c r="S789">
        <v>75.61</v>
      </c>
      <c r="T789">
        <v>29.82</v>
      </c>
      <c r="U789">
        <f t="shared" si="12"/>
        <v>0</v>
      </c>
    </row>
    <row r="790" spans="1:21" x14ac:dyDescent="0.25">
      <c r="A790" s="2" t="s">
        <v>1346</v>
      </c>
      <c r="B790" s="2" t="s">
        <v>598</v>
      </c>
      <c r="C790" s="1">
        <v>45833</v>
      </c>
      <c r="D790" s="2" t="s">
        <v>59</v>
      </c>
      <c r="E790" s="2" t="s">
        <v>46</v>
      </c>
      <c r="F790" s="2" t="s">
        <v>47</v>
      </c>
      <c r="G790">
        <v>1</v>
      </c>
      <c r="H790" s="2" t="s">
        <v>77</v>
      </c>
      <c r="I790">
        <v>11.04</v>
      </c>
      <c r="J790">
        <v>10</v>
      </c>
      <c r="K790">
        <v>1.1000000000000001</v>
      </c>
      <c r="L790">
        <v>15.64</v>
      </c>
      <c r="M790">
        <v>6.76</v>
      </c>
      <c r="N790">
        <v>1.49</v>
      </c>
      <c r="O790">
        <v>0.59</v>
      </c>
      <c r="P790" s="2" t="s">
        <v>42</v>
      </c>
      <c r="Q790">
        <v>0</v>
      </c>
      <c r="R790">
        <v>9.94</v>
      </c>
      <c r="S790">
        <v>24.48</v>
      </c>
      <c r="T790">
        <v>-14.54</v>
      </c>
      <c r="U790">
        <f t="shared" si="12"/>
        <v>0</v>
      </c>
    </row>
    <row r="791" spans="1:21" x14ac:dyDescent="0.25">
      <c r="A791" s="2" t="s">
        <v>1347</v>
      </c>
      <c r="B791" s="2" t="s">
        <v>1003</v>
      </c>
      <c r="C791" s="1">
        <v>45580</v>
      </c>
      <c r="D791" s="2" t="s">
        <v>45</v>
      </c>
      <c r="E791" s="2" t="s">
        <v>55</v>
      </c>
      <c r="F791" s="2" t="s">
        <v>51</v>
      </c>
      <c r="G791">
        <v>1</v>
      </c>
      <c r="H791" s="2" t="s">
        <v>48</v>
      </c>
      <c r="I791">
        <v>65.790000000000006</v>
      </c>
      <c r="J791">
        <v>25</v>
      </c>
      <c r="K791">
        <v>16.45</v>
      </c>
      <c r="L791">
        <v>42.18</v>
      </c>
      <c r="M791">
        <v>46.08</v>
      </c>
      <c r="N791">
        <v>0</v>
      </c>
      <c r="O791">
        <v>1.73</v>
      </c>
      <c r="P791" s="2" t="s">
        <v>42</v>
      </c>
      <c r="Q791">
        <v>0</v>
      </c>
      <c r="R791">
        <v>49.34</v>
      </c>
      <c r="S791">
        <v>89.99</v>
      </c>
      <c r="T791">
        <v>-40.65</v>
      </c>
      <c r="U791">
        <f t="shared" si="12"/>
        <v>0</v>
      </c>
    </row>
    <row r="792" spans="1:21" x14ac:dyDescent="0.25">
      <c r="A792" s="2" t="s">
        <v>1348</v>
      </c>
      <c r="B792" s="2" t="s">
        <v>110</v>
      </c>
      <c r="C792" s="1">
        <v>45657</v>
      </c>
      <c r="D792" s="2" t="s">
        <v>45</v>
      </c>
      <c r="E792" s="2" t="s">
        <v>71</v>
      </c>
      <c r="F792" s="2" t="s">
        <v>40</v>
      </c>
      <c r="G792">
        <v>2</v>
      </c>
      <c r="H792" s="2" t="s">
        <v>74</v>
      </c>
      <c r="I792">
        <v>270.07</v>
      </c>
      <c r="J792">
        <v>15</v>
      </c>
      <c r="K792">
        <v>40.51</v>
      </c>
      <c r="L792">
        <v>18.579999999999998</v>
      </c>
      <c r="M792">
        <v>102.47</v>
      </c>
      <c r="N792">
        <v>0</v>
      </c>
      <c r="O792">
        <v>6.96</v>
      </c>
      <c r="P792" s="2" t="s">
        <v>42</v>
      </c>
      <c r="Q792">
        <v>0</v>
      </c>
      <c r="R792">
        <v>229.56</v>
      </c>
      <c r="S792">
        <v>128.01</v>
      </c>
      <c r="T792">
        <v>101.55</v>
      </c>
      <c r="U792">
        <f t="shared" si="12"/>
        <v>0</v>
      </c>
    </row>
    <row r="793" spans="1:21" x14ac:dyDescent="0.25">
      <c r="A793" s="2" t="s">
        <v>1349</v>
      </c>
      <c r="B793" s="2" t="s">
        <v>121</v>
      </c>
      <c r="C793" s="1">
        <v>45541</v>
      </c>
      <c r="D793" s="2" t="s">
        <v>38</v>
      </c>
      <c r="E793" s="2" t="s">
        <v>71</v>
      </c>
      <c r="F793" s="2" t="s">
        <v>47</v>
      </c>
      <c r="G793">
        <v>3</v>
      </c>
      <c r="H793" s="2" t="s">
        <v>52</v>
      </c>
      <c r="I793">
        <v>286.08999999999997</v>
      </c>
      <c r="J793">
        <v>0</v>
      </c>
      <c r="K793">
        <v>0</v>
      </c>
      <c r="L793">
        <v>55.42</v>
      </c>
      <c r="M793">
        <v>151.88999999999999</v>
      </c>
      <c r="N793">
        <v>0</v>
      </c>
      <c r="O793">
        <v>8.6</v>
      </c>
      <c r="P793" s="2" t="s">
        <v>42</v>
      </c>
      <c r="Q793">
        <v>0</v>
      </c>
      <c r="R793">
        <v>286.08999999999997</v>
      </c>
      <c r="S793">
        <v>215.91</v>
      </c>
      <c r="T793">
        <v>70.180000000000007</v>
      </c>
      <c r="U793">
        <f t="shared" si="12"/>
        <v>0</v>
      </c>
    </row>
    <row r="794" spans="1:21" x14ac:dyDescent="0.25">
      <c r="A794" s="2" t="s">
        <v>1350</v>
      </c>
      <c r="B794" s="2" t="s">
        <v>1329</v>
      </c>
      <c r="C794" s="1">
        <v>45603</v>
      </c>
      <c r="D794" s="2" t="s">
        <v>38</v>
      </c>
      <c r="E794" s="2" t="s">
        <v>67</v>
      </c>
      <c r="F794" s="2" t="s">
        <v>51</v>
      </c>
      <c r="G794">
        <v>2</v>
      </c>
      <c r="H794" s="2" t="s">
        <v>111</v>
      </c>
      <c r="I794">
        <v>182.93</v>
      </c>
      <c r="J794">
        <v>10</v>
      </c>
      <c r="K794">
        <v>18.29</v>
      </c>
      <c r="L794">
        <v>34.479999999999997</v>
      </c>
      <c r="M794">
        <v>68.38</v>
      </c>
      <c r="N794">
        <v>0</v>
      </c>
      <c r="O794">
        <v>5.07</v>
      </c>
      <c r="P794" s="2" t="s">
        <v>42</v>
      </c>
      <c r="Q794">
        <v>0</v>
      </c>
      <c r="R794">
        <v>164.64</v>
      </c>
      <c r="S794">
        <v>107.93</v>
      </c>
      <c r="T794">
        <v>56.71</v>
      </c>
      <c r="U794">
        <f t="shared" si="12"/>
        <v>0</v>
      </c>
    </row>
    <row r="795" spans="1:21" x14ac:dyDescent="0.25">
      <c r="A795" s="2" t="s">
        <v>1351</v>
      </c>
      <c r="B795" s="2" t="s">
        <v>213</v>
      </c>
      <c r="C795" s="1">
        <v>45787</v>
      </c>
      <c r="D795" s="2" t="s">
        <v>80</v>
      </c>
      <c r="E795" s="2" t="s">
        <v>39</v>
      </c>
      <c r="F795" s="2" t="s">
        <v>51</v>
      </c>
      <c r="G795">
        <v>2</v>
      </c>
      <c r="H795" s="2" t="s">
        <v>52</v>
      </c>
      <c r="I795">
        <v>90.63</v>
      </c>
      <c r="J795">
        <v>10</v>
      </c>
      <c r="K795">
        <v>9.06</v>
      </c>
      <c r="L795">
        <v>25</v>
      </c>
      <c r="M795">
        <v>37.07</v>
      </c>
      <c r="N795">
        <v>6.53</v>
      </c>
      <c r="O795">
        <v>2.67</v>
      </c>
      <c r="P795" s="2" t="s">
        <v>42</v>
      </c>
      <c r="Q795">
        <v>0</v>
      </c>
      <c r="R795">
        <v>81.569999999999993</v>
      </c>
      <c r="S795">
        <v>71.27</v>
      </c>
      <c r="T795">
        <v>10.3</v>
      </c>
      <c r="U795">
        <f t="shared" si="12"/>
        <v>0</v>
      </c>
    </row>
    <row r="796" spans="1:21" x14ac:dyDescent="0.25">
      <c r="A796" s="2" t="s">
        <v>1352</v>
      </c>
      <c r="B796" s="2" t="s">
        <v>153</v>
      </c>
      <c r="C796" s="1">
        <v>45531</v>
      </c>
      <c r="D796" s="2" t="s">
        <v>45</v>
      </c>
      <c r="E796" s="2" t="s">
        <v>46</v>
      </c>
      <c r="F796" s="2" t="s">
        <v>85</v>
      </c>
      <c r="G796">
        <v>1</v>
      </c>
      <c r="H796" s="2" t="s">
        <v>64</v>
      </c>
      <c r="I796">
        <v>112</v>
      </c>
      <c r="J796">
        <v>0</v>
      </c>
      <c r="K796">
        <v>0</v>
      </c>
      <c r="L796">
        <v>25.72</v>
      </c>
      <c r="M796">
        <v>39.64</v>
      </c>
      <c r="N796">
        <v>0</v>
      </c>
      <c r="O796">
        <v>3.55</v>
      </c>
      <c r="P796" s="2" t="s">
        <v>42</v>
      </c>
      <c r="Q796">
        <v>0</v>
      </c>
      <c r="R796">
        <v>112</v>
      </c>
      <c r="S796">
        <v>68.91</v>
      </c>
      <c r="T796">
        <v>43.09</v>
      </c>
      <c r="U796">
        <f t="shared" si="12"/>
        <v>0</v>
      </c>
    </row>
    <row r="797" spans="1:21" x14ac:dyDescent="0.25">
      <c r="A797" s="2" t="s">
        <v>1353</v>
      </c>
      <c r="B797" s="2" t="s">
        <v>1158</v>
      </c>
      <c r="C797" s="1">
        <v>45860</v>
      </c>
      <c r="D797" s="2" t="s">
        <v>38</v>
      </c>
      <c r="E797" s="2" t="s">
        <v>46</v>
      </c>
      <c r="F797" s="2" t="s">
        <v>85</v>
      </c>
      <c r="G797">
        <v>1</v>
      </c>
      <c r="H797" s="2" t="s">
        <v>64</v>
      </c>
      <c r="I797">
        <v>6.07</v>
      </c>
      <c r="J797">
        <v>10</v>
      </c>
      <c r="K797">
        <v>0.61</v>
      </c>
      <c r="L797">
        <v>12.94</v>
      </c>
      <c r="M797">
        <v>4.1399999999999997</v>
      </c>
      <c r="N797">
        <v>0</v>
      </c>
      <c r="O797">
        <v>0.46</v>
      </c>
      <c r="P797" s="2" t="s">
        <v>42</v>
      </c>
      <c r="Q797">
        <v>0</v>
      </c>
      <c r="R797">
        <v>5.46</v>
      </c>
      <c r="S797">
        <v>17.54</v>
      </c>
      <c r="T797">
        <v>-12.08</v>
      </c>
      <c r="U797">
        <f t="shared" si="12"/>
        <v>0</v>
      </c>
    </row>
    <row r="798" spans="1:21" x14ac:dyDescent="0.25">
      <c r="A798" s="2" t="s">
        <v>1354</v>
      </c>
      <c r="B798" s="2" t="s">
        <v>1355</v>
      </c>
      <c r="C798" s="1">
        <v>45617</v>
      </c>
      <c r="D798" s="2" t="s">
        <v>59</v>
      </c>
      <c r="E798" s="2" t="s">
        <v>46</v>
      </c>
      <c r="F798" s="2" t="s">
        <v>40</v>
      </c>
      <c r="G798">
        <v>5</v>
      </c>
      <c r="H798" s="2" t="s">
        <v>41</v>
      </c>
      <c r="I798">
        <v>273.64999999999998</v>
      </c>
      <c r="J798">
        <v>20</v>
      </c>
      <c r="K798">
        <v>54.73</v>
      </c>
      <c r="L798">
        <v>42.46</v>
      </c>
      <c r="M798">
        <v>92.93</v>
      </c>
      <c r="N798">
        <v>32.840000000000003</v>
      </c>
      <c r="O798">
        <v>6.65</v>
      </c>
      <c r="P798" s="2" t="s">
        <v>42</v>
      </c>
      <c r="Q798">
        <v>0</v>
      </c>
      <c r="R798">
        <v>218.92</v>
      </c>
      <c r="S798">
        <v>174.88</v>
      </c>
      <c r="T798">
        <v>44.04</v>
      </c>
      <c r="U798">
        <f t="shared" si="12"/>
        <v>0</v>
      </c>
    </row>
    <row r="799" spans="1:21" x14ac:dyDescent="0.25">
      <c r="A799" s="2" t="s">
        <v>1356</v>
      </c>
      <c r="B799" s="2" t="s">
        <v>225</v>
      </c>
      <c r="C799" s="1">
        <v>45830</v>
      </c>
      <c r="D799" s="2" t="s">
        <v>59</v>
      </c>
      <c r="E799" s="2" t="s">
        <v>71</v>
      </c>
      <c r="F799" s="2" t="s">
        <v>40</v>
      </c>
      <c r="G799">
        <v>1</v>
      </c>
      <c r="H799" s="2" t="s">
        <v>111</v>
      </c>
      <c r="I799">
        <v>149.66</v>
      </c>
      <c r="J799">
        <v>20</v>
      </c>
      <c r="K799">
        <v>29.93</v>
      </c>
      <c r="L799">
        <v>9.56</v>
      </c>
      <c r="M799">
        <v>52.3</v>
      </c>
      <c r="N799">
        <v>17.96</v>
      </c>
      <c r="O799">
        <v>3.77</v>
      </c>
      <c r="P799" s="2" t="s">
        <v>42</v>
      </c>
      <c r="Q799">
        <v>0</v>
      </c>
      <c r="R799">
        <v>119.73</v>
      </c>
      <c r="S799">
        <v>83.59</v>
      </c>
      <c r="T799">
        <v>36.14</v>
      </c>
      <c r="U799">
        <f t="shared" si="12"/>
        <v>0</v>
      </c>
    </row>
    <row r="800" spans="1:21" x14ac:dyDescent="0.25">
      <c r="A800" s="2" t="s">
        <v>1357</v>
      </c>
      <c r="B800" s="2" t="s">
        <v>975</v>
      </c>
      <c r="C800" s="1">
        <v>45803</v>
      </c>
      <c r="D800" s="2" t="s">
        <v>59</v>
      </c>
      <c r="E800" s="2" t="s">
        <v>67</v>
      </c>
      <c r="F800" s="2" t="s">
        <v>85</v>
      </c>
      <c r="G800">
        <v>1</v>
      </c>
      <c r="H800" s="2" t="s">
        <v>52</v>
      </c>
      <c r="I800">
        <v>45.16</v>
      </c>
      <c r="J800">
        <v>0</v>
      </c>
      <c r="K800">
        <v>0</v>
      </c>
      <c r="L800">
        <v>9.9</v>
      </c>
      <c r="M800">
        <v>21.86</v>
      </c>
      <c r="N800">
        <v>6.77</v>
      </c>
      <c r="O800">
        <v>1.61</v>
      </c>
      <c r="P800" s="2" t="s">
        <v>42</v>
      </c>
      <c r="Q800">
        <v>0</v>
      </c>
      <c r="R800">
        <v>45.16</v>
      </c>
      <c r="S800">
        <v>40.14</v>
      </c>
      <c r="T800">
        <v>5.0199999999999996</v>
      </c>
      <c r="U800">
        <f t="shared" si="12"/>
        <v>0</v>
      </c>
    </row>
    <row r="801" spans="1:21" x14ac:dyDescent="0.25">
      <c r="A801" s="2" t="s">
        <v>1358</v>
      </c>
      <c r="B801" s="2" t="s">
        <v>705</v>
      </c>
      <c r="C801" s="1">
        <v>45618</v>
      </c>
      <c r="D801" s="2" t="s">
        <v>45</v>
      </c>
      <c r="E801" s="2" t="s">
        <v>67</v>
      </c>
      <c r="F801" s="2" t="s">
        <v>47</v>
      </c>
      <c r="G801">
        <v>3</v>
      </c>
      <c r="H801" s="2" t="s">
        <v>64</v>
      </c>
      <c r="I801">
        <v>175.83</v>
      </c>
      <c r="J801">
        <v>15</v>
      </c>
      <c r="K801">
        <v>26.37</v>
      </c>
      <c r="L801">
        <v>44.96</v>
      </c>
      <c r="M801">
        <v>63.23</v>
      </c>
      <c r="N801">
        <v>0</v>
      </c>
      <c r="O801">
        <v>4.63</v>
      </c>
      <c r="P801" s="2" t="s">
        <v>42</v>
      </c>
      <c r="Q801">
        <v>0</v>
      </c>
      <c r="R801">
        <v>149.46</v>
      </c>
      <c r="S801">
        <v>112.82</v>
      </c>
      <c r="T801">
        <v>36.64</v>
      </c>
      <c r="U801">
        <f t="shared" si="12"/>
        <v>0</v>
      </c>
    </row>
    <row r="802" spans="1:21" x14ac:dyDescent="0.25">
      <c r="A802" s="2" t="s">
        <v>1359</v>
      </c>
      <c r="B802" s="2" t="s">
        <v>502</v>
      </c>
      <c r="C802" s="1">
        <v>45757</v>
      </c>
      <c r="D802" s="2" t="s">
        <v>38</v>
      </c>
      <c r="E802" s="2" t="s">
        <v>46</v>
      </c>
      <c r="F802" s="2" t="s">
        <v>94</v>
      </c>
      <c r="G802">
        <v>1</v>
      </c>
      <c r="H802" s="2" t="s">
        <v>77</v>
      </c>
      <c r="I802">
        <v>8.92</v>
      </c>
      <c r="J802">
        <v>0</v>
      </c>
      <c r="K802">
        <v>0</v>
      </c>
      <c r="L802">
        <v>10.220000000000001</v>
      </c>
      <c r="M802">
        <v>5.33</v>
      </c>
      <c r="N802">
        <v>0</v>
      </c>
      <c r="O802">
        <v>0.56000000000000005</v>
      </c>
      <c r="P802" s="2" t="s">
        <v>42</v>
      </c>
      <c r="Q802">
        <v>0</v>
      </c>
      <c r="R802">
        <v>8.92</v>
      </c>
      <c r="S802">
        <v>16.11</v>
      </c>
      <c r="T802">
        <v>-7.19</v>
      </c>
      <c r="U802">
        <f t="shared" si="12"/>
        <v>0</v>
      </c>
    </row>
    <row r="803" spans="1:21" x14ac:dyDescent="0.25">
      <c r="A803" s="2" t="s">
        <v>1360</v>
      </c>
      <c r="B803" s="2" t="s">
        <v>1361</v>
      </c>
      <c r="C803" s="1">
        <v>45481</v>
      </c>
      <c r="D803" s="2" t="s">
        <v>38</v>
      </c>
      <c r="E803" s="2" t="s">
        <v>46</v>
      </c>
      <c r="F803" s="2" t="s">
        <v>85</v>
      </c>
      <c r="G803">
        <v>2</v>
      </c>
      <c r="H803" s="2" t="s">
        <v>52</v>
      </c>
      <c r="I803">
        <v>106.71</v>
      </c>
      <c r="J803">
        <v>15</v>
      </c>
      <c r="K803">
        <v>16.010000000000002</v>
      </c>
      <c r="L803">
        <v>36.74</v>
      </c>
      <c r="M803">
        <v>43</v>
      </c>
      <c r="N803">
        <v>0</v>
      </c>
      <c r="O803">
        <v>2.93</v>
      </c>
      <c r="P803" s="2" t="s">
        <v>42</v>
      </c>
      <c r="Q803">
        <v>0</v>
      </c>
      <c r="R803">
        <v>90.7</v>
      </c>
      <c r="S803">
        <v>82.67</v>
      </c>
      <c r="T803">
        <v>8.0299999999999994</v>
      </c>
      <c r="U803">
        <f t="shared" si="12"/>
        <v>0</v>
      </c>
    </row>
    <row r="804" spans="1:21" x14ac:dyDescent="0.25">
      <c r="A804" s="2" t="s">
        <v>1362</v>
      </c>
      <c r="B804" s="2" t="s">
        <v>1363</v>
      </c>
      <c r="C804" s="1">
        <v>45726</v>
      </c>
      <c r="D804" s="2" t="s">
        <v>45</v>
      </c>
      <c r="E804" s="2" t="s">
        <v>46</v>
      </c>
      <c r="F804" s="2" t="s">
        <v>40</v>
      </c>
      <c r="G804">
        <v>1</v>
      </c>
      <c r="H804" s="2" t="s">
        <v>64</v>
      </c>
      <c r="I804">
        <v>100.26</v>
      </c>
      <c r="J804">
        <v>5</v>
      </c>
      <c r="K804">
        <v>5.01</v>
      </c>
      <c r="L804">
        <v>8.44</v>
      </c>
      <c r="M804">
        <v>63.28</v>
      </c>
      <c r="N804">
        <v>0</v>
      </c>
      <c r="O804">
        <v>3.06</v>
      </c>
      <c r="P804" s="2" t="s">
        <v>42</v>
      </c>
      <c r="Q804">
        <v>0</v>
      </c>
      <c r="R804">
        <v>95.25</v>
      </c>
      <c r="S804">
        <v>74.78</v>
      </c>
      <c r="T804">
        <v>20.47</v>
      </c>
      <c r="U804">
        <f t="shared" si="12"/>
        <v>0</v>
      </c>
    </row>
    <row r="805" spans="1:21" x14ac:dyDescent="0.25">
      <c r="A805" s="2" t="s">
        <v>1364</v>
      </c>
      <c r="B805" s="2" t="s">
        <v>1365</v>
      </c>
      <c r="C805" s="1">
        <v>45628</v>
      </c>
      <c r="D805" s="2" t="s">
        <v>38</v>
      </c>
      <c r="E805" s="2" t="s">
        <v>67</v>
      </c>
      <c r="F805" s="2" t="s">
        <v>94</v>
      </c>
      <c r="G805">
        <v>1</v>
      </c>
      <c r="H805" s="2" t="s">
        <v>64</v>
      </c>
      <c r="I805">
        <v>63.51</v>
      </c>
      <c r="J805">
        <v>0</v>
      </c>
      <c r="K805">
        <v>0</v>
      </c>
      <c r="L805">
        <v>7.9</v>
      </c>
      <c r="M805">
        <v>31.27</v>
      </c>
      <c r="N805">
        <v>0</v>
      </c>
      <c r="O805">
        <v>2.14</v>
      </c>
      <c r="P805" s="2" t="s">
        <v>42</v>
      </c>
      <c r="Q805">
        <v>0</v>
      </c>
      <c r="R805">
        <v>63.51</v>
      </c>
      <c r="S805">
        <v>41.31</v>
      </c>
      <c r="T805">
        <v>22.2</v>
      </c>
      <c r="U805">
        <f t="shared" si="12"/>
        <v>0</v>
      </c>
    </row>
    <row r="806" spans="1:21" x14ac:dyDescent="0.25">
      <c r="A806" s="2" t="s">
        <v>1366</v>
      </c>
      <c r="B806" s="2" t="s">
        <v>718</v>
      </c>
      <c r="C806" s="1">
        <v>45761</v>
      </c>
      <c r="D806" s="2" t="s">
        <v>45</v>
      </c>
      <c r="E806" s="2" t="s">
        <v>46</v>
      </c>
      <c r="F806" s="2" t="s">
        <v>51</v>
      </c>
      <c r="G806">
        <v>1</v>
      </c>
      <c r="H806" s="2" t="s">
        <v>56</v>
      </c>
      <c r="I806">
        <v>27.71</v>
      </c>
      <c r="J806">
        <v>0</v>
      </c>
      <c r="K806">
        <v>0</v>
      </c>
      <c r="L806">
        <v>12.94</v>
      </c>
      <c r="M806">
        <v>11.44</v>
      </c>
      <c r="N806">
        <v>0</v>
      </c>
      <c r="O806">
        <v>1.1000000000000001</v>
      </c>
      <c r="P806" s="2" t="s">
        <v>42</v>
      </c>
      <c r="Q806">
        <v>0</v>
      </c>
      <c r="R806">
        <v>27.71</v>
      </c>
      <c r="S806">
        <v>25.48</v>
      </c>
      <c r="T806">
        <v>2.23</v>
      </c>
      <c r="U806">
        <f t="shared" si="12"/>
        <v>0</v>
      </c>
    </row>
    <row r="807" spans="1:21" x14ac:dyDescent="0.25">
      <c r="A807" s="2" t="s">
        <v>1367</v>
      </c>
      <c r="B807" s="2" t="s">
        <v>1368</v>
      </c>
      <c r="C807" s="1">
        <v>45859</v>
      </c>
      <c r="D807" s="2" t="s">
        <v>38</v>
      </c>
      <c r="E807" s="2" t="s">
        <v>46</v>
      </c>
      <c r="F807" s="2" t="s">
        <v>94</v>
      </c>
      <c r="G807">
        <v>1</v>
      </c>
      <c r="H807" s="2" t="s">
        <v>56</v>
      </c>
      <c r="I807">
        <v>47.22</v>
      </c>
      <c r="J807">
        <v>0</v>
      </c>
      <c r="K807">
        <v>0</v>
      </c>
      <c r="L807">
        <v>5.9</v>
      </c>
      <c r="M807">
        <v>20.9</v>
      </c>
      <c r="N807">
        <v>0</v>
      </c>
      <c r="O807">
        <v>1.67</v>
      </c>
      <c r="P807" s="2" t="s">
        <v>42</v>
      </c>
      <c r="Q807">
        <v>0</v>
      </c>
      <c r="R807">
        <v>47.22</v>
      </c>
      <c r="S807">
        <v>28.47</v>
      </c>
      <c r="T807">
        <v>18.75</v>
      </c>
      <c r="U807">
        <f t="shared" si="12"/>
        <v>0</v>
      </c>
    </row>
    <row r="808" spans="1:21" x14ac:dyDescent="0.25">
      <c r="A808" s="2" t="s">
        <v>1369</v>
      </c>
      <c r="B808" s="2" t="s">
        <v>1370</v>
      </c>
      <c r="C808" s="1">
        <v>45923</v>
      </c>
      <c r="D808" s="2" t="s">
        <v>38</v>
      </c>
      <c r="E808" s="2" t="s">
        <v>71</v>
      </c>
      <c r="F808" s="2" t="s">
        <v>94</v>
      </c>
      <c r="G808">
        <v>3</v>
      </c>
      <c r="H808" s="2" t="s">
        <v>52</v>
      </c>
      <c r="I808">
        <v>614.1</v>
      </c>
      <c r="J808">
        <v>0</v>
      </c>
      <c r="K808">
        <v>0</v>
      </c>
      <c r="L808">
        <v>56.84</v>
      </c>
      <c r="M808">
        <v>190.85</v>
      </c>
      <c r="N808">
        <v>0</v>
      </c>
      <c r="O808">
        <v>18.11</v>
      </c>
      <c r="P808" s="2" t="s">
        <v>42</v>
      </c>
      <c r="Q808">
        <v>0</v>
      </c>
      <c r="R808">
        <v>614.1</v>
      </c>
      <c r="S808">
        <v>265.8</v>
      </c>
      <c r="T808">
        <v>348.3</v>
      </c>
      <c r="U808">
        <f t="shared" si="12"/>
        <v>0</v>
      </c>
    </row>
    <row r="809" spans="1:21" x14ac:dyDescent="0.25">
      <c r="A809" s="2" t="s">
        <v>1371</v>
      </c>
      <c r="B809" s="2" t="s">
        <v>1372</v>
      </c>
      <c r="C809" s="1">
        <v>45511</v>
      </c>
      <c r="D809" s="2" t="s">
        <v>38</v>
      </c>
      <c r="E809" s="2" t="s">
        <v>71</v>
      </c>
      <c r="F809" s="2" t="s">
        <v>51</v>
      </c>
      <c r="G809">
        <v>2</v>
      </c>
      <c r="H809" s="2" t="s">
        <v>111</v>
      </c>
      <c r="I809">
        <v>121.44</v>
      </c>
      <c r="J809">
        <v>5</v>
      </c>
      <c r="K809">
        <v>6.07</v>
      </c>
      <c r="L809">
        <v>34.020000000000003</v>
      </c>
      <c r="M809">
        <v>47.3</v>
      </c>
      <c r="N809">
        <v>0</v>
      </c>
      <c r="O809">
        <v>3.65</v>
      </c>
      <c r="P809" s="2" t="s">
        <v>42</v>
      </c>
      <c r="Q809">
        <v>0</v>
      </c>
      <c r="R809">
        <v>115.37</v>
      </c>
      <c r="S809">
        <v>84.97</v>
      </c>
      <c r="T809">
        <v>30.4</v>
      </c>
      <c r="U809">
        <f t="shared" si="12"/>
        <v>0</v>
      </c>
    </row>
    <row r="810" spans="1:21" x14ac:dyDescent="0.25">
      <c r="A810" s="2" t="s">
        <v>1373</v>
      </c>
      <c r="B810" s="2" t="s">
        <v>1072</v>
      </c>
      <c r="C810" s="1">
        <v>45884</v>
      </c>
      <c r="D810" s="2" t="s">
        <v>45</v>
      </c>
      <c r="E810" s="2" t="s">
        <v>71</v>
      </c>
      <c r="F810" s="2" t="s">
        <v>85</v>
      </c>
      <c r="G810">
        <v>1</v>
      </c>
      <c r="H810" s="2" t="s">
        <v>56</v>
      </c>
      <c r="I810">
        <v>19.260000000000002</v>
      </c>
      <c r="J810">
        <v>0</v>
      </c>
      <c r="K810">
        <v>0</v>
      </c>
      <c r="L810">
        <v>5.26</v>
      </c>
      <c r="M810">
        <v>7.33</v>
      </c>
      <c r="N810">
        <v>0</v>
      </c>
      <c r="O810">
        <v>0.86</v>
      </c>
      <c r="P810" s="2" t="s">
        <v>42</v>
      </c>
      <c r="Q810">
        <v>0</v>
      </c>
      <c r="R810">
        <v>19.260000000000002</v>
      </c>
      <c r="S810">
        <v>13.45</v>
      </c>
      <c r="T810">
        <v>5.81</v>
      </c>
      <c r="U810">
        <f t="shared" si="12"/>
        <v>0</v>
      </c>
    </row>
    <row r="811" spans="1:21" x14ac:dyDescent="0.25">
      <c r="A811" s="2" t="s">
        <v>1374</v>
      </c>
      <c r="B811" s="2" t="s">
        <v>1375</v>
      </c>
      <c r="C811" s="1">
        <v>45436</v>
      </c>
      <c r="D811" s="2" t="s">
        <v>45</v>
      </c>
      <c r="E811" s="2" t="s">
        <v>46</v>
      </c>
      <c r="F811" s="2" t="s">
        <v>85</v>
      </c>
      <c r="G811">
        <v>2</v>
      </c>
      <c r="H811" s="2" t="s">
        <v>52</v>
      </c>
      <c r="I811">
        <v>131.97999999999999</v>
      </c>
      <c r="J811">
        <v>5</v>
      </c>
      <c r="K811">
        <v>6.6</v>
      </c>
      <c r="L811">
        <v>22.44</v>
      </c>
      <c r="M811">
        <v>49.09</v>
      </c>
      <c r="N811">
        <v>0</v>
      </c>
      <c r="O811">
        <v>3.94</v>
      </c>
      <c r="P811" s="2" t="s">
        <v>42</v>
      </c>
      <c r="Q811">
        <v>0</v>
      </c>
      <c r="R811">
        <v>125.38</v>
      </c>
      <c r="S811">
        <v>75.47</v>
      </c>
      <c r="T811">
        <v>49.91</v>
      </c>
      <c r="U811">
        <f t="shared" si="12"/>
        <v>0</v>
      </c>
    </row>
    <row r="812" spans="1:21" x14ac:dyDescent="0.25">
      <c r="A812" s="2" t="s">
        <v>1376</v>
      </c>
      <c r="B812" s="2" t="s">
        <v>1377</v>
      </c>
      <c r="C812" s="1">
        <v>45949</v>
      </c>
      <c r="D812" s="2" t="s">
        <v>45</v>
      </c>
      <c r="E812" s="2" t="s">
        <v>67</v>
      </c>
      <c r="F812" s="2" t="s">
        <v>85</v>
      </c>
      <c r="G812">
        <v>1</v>
      </c>
      <c r="H812" s="2" t="s">
        <v>52</v>
      </c>
      <c r="I812">
        <v>11.84</v>
      </c>
      <c r="J812">
        <v>10</v>
      </c>
      <c r="K812">
        <v>1.18</v>
      </c>
      <c r="L812">
        <v>11.5</v>
      </c>
      <c r="M812">
        <v>5.71</v>
      </c>
      <c r="N812">
        <v>0</v>
      </c>
      <c r="O812">
        <v>0.61</v>
      </c>
      <c r="P812" s="2" t="s">
        <v>42</v>
      </c>
      <c r="Q812">
        <v>0</v>
      </c>
      <c r="R812">
        <v>10.66</v>
      </c>
      <c r="S812">
        <v>17.82</v>
      </c>
      <c r="T812">
        <v>-7.16</v>
      </c>
      <c r="U812">
        <f t="shared" si="12"/>
        <v>0</v>
      </c>
    </row>
    <row r="813" spans="1:21" x14ac:dyDescent="0.25">
      <c r="A813" s="2" t="s">
        <v>1378</v>
      </c>
      <c r="B813" s="2" t="s">
        <v>617</v>
      </c>
      <c r="C813" s="1">
        <v>45681</v>
      </c>
      <c r="D813" s="2" t="s">
        <v>80</v>
      </c>
      <c r="E813" s="2" t="s">
        <v>46</v>
      </c>
      <c r="F813" s="2" t="s">
        <v>40</v>
      </c>
      <c r="G813">
        <v>1</v>
      </c>
      <c r="H813" s="2" t="s">
        <v>56</v>
      </c>
      <c r="I813">
        <v>103.35</v>
      </c>
      <c r="J813">
        <v>10</v>
      </c>
      <c r="K813">
        <v>10.34</v>
      </c>
      <c r="L813">
        <v>5.0199999999999996</v>
      </c>
      <c r="M813">
        <v>30.95</v>
      </c>
      <c r="N813">
        <v>7.44</v>
      </c>
      <c r="O813">
        <v>3</v>
      </c>
      <c r="P813" s="2" t="s">
        <v>42</v>
      </c>
      <c r="Q813">
        <v>0</v>
      </c>
      <c r="R813">
        <v>93.01</v>
      </c>
      <c r="S813">
        <v>46.41</v>
      </c>
      <c r="T813">
        <v>46.6</v>
      </c>
      <c r="U813">
        <f t="shared" si="12"/>
        <v>0</v>
      </c>
    </row>
    <row r="814" spans="1:21" x14ac:dyDescent="0.25">
      <c r="A814" s="2" t="s">
        <v>1379</v>
      </c>
      <c r="B814" s="2" t="s">
        <v>658</v>
      </c>
      <c r="C814" s="1">
        <v>45666</v>
      </c>
      <c r="D814" s="2" t="s">
        <v>59</v>
      </c>
      <c r="E814" s="2" t="s">
        <v>46</v>
      </c>
      <c r="F814" s="2" t="s">
        <v>51</v>
      </c>
      <c r="G814">
        <v>1</v>
      </c>
      <c r="H814" s="2" t="s">
        <v>74</v>
      </c>
      <c r="I814">
        <v>50.95</v>
      </c>
      <c r="J814">
        <v>15</v>
      </c>
      <c r="K814">
        <v>7.64</v>
      </c>
      <c r="L814">
        <v>14.38</v>
      </c>
      <c r="M814">
        <v>18.739999999999998</v>
      </c>
      <c r="N814">
        <v>6.5</v>
      </c>
      <c r="O814">
        <v>1.56</v>
      </c>
      <c r="P814" s="2" t="s">
        <v>42</v>
      </c>
      <c r="Q814">
        <v>0</v>
      </c>
      <c r="R814">
        <v>43.31</v>
      </c>
      <c r="S814">
        <v>41.18</v>
      </c>
      <c r="T814">
        <v>2.13</v>
      </c>
      <c r="U814">
        <f t="shared" si="12"/>
        <v>0</v>
      </c>
    </row>
    <row r="815" spans="1:21" x14ac:dyDescent="0.25">
      <c r="A815" s="2" t="s">
        <v>1380</v>
      </c>
      <c r="B815" s="2" t="s">
        <v>605</v>
      </c>
      <c r="C815" s="1">
        <v>45735</v>
      </c>
      <c r="D815" s="2" t="s">
        <v>45</v>
      </c>
      <c r="E815" s="2" t="s">
        <v>55</v>
      </c>
      <c r="F815" s="2" t="s">
        <v>85</v>
      </c>
      <c r="G815">
        <v>1</v>
      </c>
      <c r="H815" s="2" t="s">
        <v>56</v>
      </c>
      <c r="I815">
        <v>45.69</v>
      </c>
      <c r="J815">
        <v>15</v>
      </c>
      <c r="K815">
        <v>6.85</v>
      </c>
      <c r="L815">
        <v>11.58</v>
      </c>
      <c r="M815">
        <v>28.21</v>
      </c>
      <c r="N815">
        <v>0</v>
      </c>
      <c r="O815">
        <v>1.43</v>
      </c>
      <c r="P815" s="2" t="s">
        <v>42</v>
      </c>
      <c r="Q815">
        <v>0</v>
      </c>
      <c r="R815">
        <v>38.840000000000003</v>
      </c>
      <c r="S815">
        <v>41.22</v>
      </c>
      <c r="T815">
        <v>-2.38</v>
      </c>
      <c r="U815">
        <f t="shared" si="12"/>
        <v>0</v>
      </c>
    </row>
    <row r="816" spans="1:21" x14ac:dyDescent="0.25">
      <c r="A816" s="2" t="s">
        <v>1381</v>
      </c>
      <c r="B816" s="2" t="s">
        <v>753</v>
      </c>
      <c r="C816" s="1">
        <v>45848</v>
      </c>
      <c r="D816" s="2" t="s">
        <v>45</v>
      </c>
      <c r="E816" s="2" t="s">
        <v>46</v>
      </c>
      <c r="F816" s="2" t="s">
        <v>94</v>
      </c>
      <c r="G816">
        <v>2</v>
      </c>
      <c r="H816" s="2" t="s">
        <v>77</v>
      </c>
      <c r="I816">
        <v>47.49</v>
      </c>
      <c r="J816">
        <v>0</v>
      </c>
      <c r="K816">
        <v>0</v>
      </c>
      <c r="L816">
        <v>15</v>
      </c>
      <c r="M816">
        <v>16.68</v>
      </c>
      <c r="N816">
        <v>0</v>
      </c>
      <c r="O816">
        <v>1.68</v>
      </c>
      <c r="P816" s="2" t="s">
        <v>42</v>
      </c>
      <c r="Q816">
        <v>0</v>
      </c>
      <c r="R816">
        <v>47.49</v>
      </c>
      <c r="S816">
        <v>33.36</v>
      </c>
      <c r="T816">
        <v>14.13</v>
      </c>
      <c r="U816">
        <f t="shared" si="12"/>
        <v>0</v>
      </c>
    </row>
    <row r="817" spans="1:21" x14ac:dyDescent="0.25">
      <c r="A817" s="2" t="s">
        <v>1382</v>
      </c>
      <c r="B817" s="2" t="s">
        <v>271</v>
      </c>
      <c r="C817" s="1">
        <v>45692</v>
      </c>
      <c r="D817" s="2" t="s">
        <v>38</v>
      </c>
      <c r="E817" s="2" t="s">
        <v>39</v>
      </c>
      <c r="F817" s="2" t="s">
        <v>47</v>
      </c>
      <c r="G817">
        <v>1</v>
      </c>
      <c r="H817" s="2" t="s">
        <v>77</v>
      </c>
      <c r="I817">
        <v>35.979999999999997</v>
      </c>
      <c r="J817">
        <v>10</v>
      </c>
      <c r="K817">
        <v>3.6</v>
      </c>
      <c r="L817">
        <v>23.48</v>
      </c>
      <c r="M817">
        <v>15.76</v>
      </c>
      <c r="N817">
        <v>0</v>
      </c>
      <c r="O817">
        <v>1.24</v>
      </c>
      <c r="P817" s="2" t="s">
        <v>42</v>
      </c>
      <c r="Q817">
        <v>0</v>
      </c>
      <c r="R817">
        <v>32.380000000000003</v>
      </c>
      <c r="S817">
        <v>40.479999999999997</v>
      </c>
      <c r="T817">
        <v>-8.1</v>
      </c>
      <c r="U817">
        <f t="shared" si="12"/>
        <v>0</v>
      </c>
    </row>
    <row r="818" spans="1:21" x14ac:dyDescent="0.25">
      <c r="A818" s="2" t="s">
        <v>1383</v>
      </c>
      <c r="B818" s="2" t="s">
        <v>1384</v>
      </c>
      <c r="C818" s="1">
        <v>45710</v>
      </c>
      <c r="D818" s="2" t="s">
        <v>38</v>
      </c>
      <c r="E818" s="2" t="s">
        <v>46</v>
      </c>
      <c r="F818" s="2" t="s">
        <v>85</v>
      </c>
      <c r="G818">
        <v>1</v>
      </c>
      <c r="H818" s="2" t="s">
        <v>41</v>
      </c>
      <c r="I818">
        <v>135.82</v>
      </c>
      <c r="J818">
        <v>15</v>
      </c>
      <c r="K818">
        <v>20.37</v>
      </c>
      <c r="L818">
        <v>5.82</v>
      </c>
      <c r="M818">
        <v>43.05</v>
      </c>
      <c r="N818">
        <v>0</v>
      </c>
      <c r="O818">
        <v>3.65</v>
      </c>
      <c r="P818" s="2" t="s">
        <v>42</v>
      </c>
      <c r="Q818">
        <v>0</v>
      </c>
      <c r="R818">
        <v>115.45</v>
      </c>
      <c r="S818">
        <v>52.52</v>
      </c>
      <c r="T818">
        <v>62.93</v>
      </c>
      <c r="U818">
        <f t="shared" si="12"/>
        <v>0</v>
      </c>
    </row>
    <row r="819" spans="1:21" x14ac:dyDescent="0.25">
      <c r="A819" s="2" t="s">
        <v>1385</v>
      </c>
      <c r="B819" s="2" t="s">
        <v>153</v>
      </c>
      <c r="C819" s="1">
        <v>45820</v>
      </c>
      <c r="D819" s="2" t="s">
        <v>80</v>
      </c>
      <c r="E819" s="2" t="s">
        <v>46</v>
      </c>
      <c r="F819" s="2" t="s">
        <v>85</v>
      </c>
      <c r="G819">
        <v>2</v>
      </c>
      <c r="H819" s="2" t="s">
        <v>74</v>
      </c>
      <c r="I819">
        <v>78</v>
      </c>
      <c r="J819">
        <v>0</v>
      </c>
      <c r="K819">
        <v>0</v>
      </c>
      <c r="L819">
        <v>22.52</v>
      </c>
      <c r="M819">
        <v>32.19</v>
      </c>
      <c r="N819">
        <v>6.24</v>
      </c>
      <c r="O819">
        <v>2.56</v>
      </c>
      <c r="P819" s="2" t="s">
        <v>42</v>
      </c>
      <c r="Q819">
        <v>0</v>
      </c>
      <c r="R819">
        <v>78</v>
      </c>
      <c r="S819">
        <v>63.51</v>
      </c>
      <c r="T819">
        <v>14.49</v>
      </c>
      <c r="U819">
        <f t="shared" si="12"/>
        <v>0</v>
      </c>
    </row>
    <row r="820" spans="1:21" x14ac:dyDescent="0.25">
      <c r="A820" s="2" t="s">
        <v>1386</v>
      </c>
      <c r="B820" s="2" t="s">
        <v>451</v>
      </c>
      <c r="C820" s="1">
        <v>45861</v>
      </c>
      <c r="D820" s="2" t="s">
        <v>59</v>
      </c>
      <c r="E820" s="2" t="s">
        <v>46</v>
      </c>
      <c r="F820" s="2" t="s">
        <v>40</v>
      </c>
      <c r="G820">
        <v>1</v>
      </c>
      <c r="H820" s="2" t="s">
        <v>52</v>
      </c>
      <c r="I820">
        <v>73.680000000000007</v>
      </c>
      <c r="J820">
        <v>0</v>
      </c>
      <c r="K820">
        <v>0</v>
      </c>
      <c r="L820">
        <v>8.86</v>
      </c>
      <c r="M820">
        <v>22.41</v>
      </c>
      <c r="N820">
        <v>11.05</v>
      </c>
      <c r="O820">
        <v>2.44</v>
      </c>
      <c r="P820" s="2" t="s">
        <v>68</v>
      </c>
      <c r="Q820">
        <v>73.680000000000007</v>
      </c>
      <c r="R820">
        <v>0</v>
      </c>
      <c r="S820">
        <v>44.76</v>
      </c>
      <c r="T820">
        <v>-44.76</v>
      </c>
      <c r="U820">
        <f t="shared" si="12"/>
        <v>0</v>
      </c>
    </row>
    <row r="821" spans="1:21" x14ac:dyDescent="0.25">
      <c r="A821" s="2" t="s">
        <v>1387</v>
      </c>
      <c r="B821" s="2" t="s">
        <v>1388</v>
      </c>
      <c r="C821" s="1">
        <v>45954</v>
      </c>
      <c r="D821" s="2" t="s">
        <v>45</v>
      </c>
      <c r="E821" s="2" t="s">
        <v>46</v>
      </c>
      <c r="F821" s="2" t="s">
        <v>85</v>
      </c>
      <c r="G821">
        <v>1</v>
      </c>
      <c r="H821" s="2" t="s">
        <v>48</v>
      </c>
      <c r="I821">
        <v>20.45</v>
      </c>
      <c r="J821">
        <v>0</v>
      </c>
      <c r="K821">
        <v>0</v>
      </c>
      <c r="L821">
        <v>10.220000000000001</v>
      </c>
      <c r="M821">
        <v>7.45</v>
      </c>
      <c r="N821">
        <v>0</v>
      </c>
      <c r="O821">
        <v>0.89</v>
      </c>
      <c r="P821" s="2" t="s">
        <v>42</v>
      </c>
      <c r="Q821">
        <v>0</v>
      </c>
      <c r="R821">
        <v>20.45</v>
      </c>
      <c r="S821">
        <v>18.559999999999999</v>
      </c>
      <c r="T821">
        <v>1.89</v>
      </c>
      <c r="U821">
        <f t="shared" si="12"/>
        <v>0</v>
      </c>
    </row>
    <row r="822" spans="1:21" x14ac:dyDescent="0.25">
      <c r="A822" s="2" t="s">
        <v>1389</v>
      </c>
      <c r="B822" s="2" t="s">
        <v>869</v>
      </c>
      <c r="C822" s="1">
        <v>45501</v>
      </c>
      <c r="D822" s="2" t="s">
        <v>45</v>
      </c>
      <c r="E822" s="2" t="s">
        <v>46</v>
      </c>
      <c r="F822" s="2" t="s">
        <v>85</v>
      </c>
      <c r="G822">
        <v>1</v>
      </c>
      <c r="H822" s="2" t="s">
        <v>52</v>
      </c>
      <c r="I822">
        <v>10.050000000000001</v>
      </c>
      <c r="J822">
        <v>20</v>
      </c>
      <c r="K822">
        <v>2.0099999999999998</v>
      </c>
      <c r="L822">
        <v>9.18</v>
      </c>
      <c r="M822">
        <v>6.91</v>
      </c>
      <c r="N822">
        <v>0</v>
      </c>
      <c r="O822">
        <v>0.53</v>
      </c>
      <c r="P822" s="2" t="s">
        <v>42</v>
      </c>
      <c r="Q822">
        <v>0</v>
      </c>
      <c r="R822">
        <v>8.0399999999999991</v>
      </c>
      <c r="S822">
        <v>16.62</v>
      </c>
      <c r="T822">
        <v>-8.58</v>
      </c>
      <c r="U822">
        <f t="shared" si="12"/>
        <v>1</v>
      </c>
    </row>
    <row r="823" spans="1:21" x14ac:dyDescent="0.25">
      <c r="A823" s="2" t="s">
        <v>1390</v>
      </c>
      <c r="B823" s="2" t="s">
        <v>1368</v>
      </c>
      <c r="C823" s="1">
        <v>45707</v>
      </c>
      <c r="D823" s="2" t="s">
        <v>45</v>
      </c>
      <c r="E823" s="2" t="s">
        <v>67</v>
      </c>
      <c r="F823" s="2" t="s">
        <v>40</v>
      </c>
      <c r="G823">
        <v>2</v>
      </c>
      <c r="H823" s="2" t="s">
        <v>41</v>
      </c>
      <c r="I823">
        <v>276.41000000000003</v>
      </c>
      <c r="J823">
        <v>0</v>
      </c>
      <c r="K823">
        <v>0</v>
      </c>
      <c r="L823">
        <v>28.58</v>
      </c>
      <c r="M823">
        <v>123.11</v>
      </c>
      <c r="N823">
        <v>0</v>
      </c>
      <c r="O823">
        <v>8.32</v>
      </c>
      <c r="P823" s="2" t="s">
        <v>42</v>
      </c>
      <c r="Q823">
        <v>0</v>
      </c>
      <c r="R823">
        <v>276.41000000000003</v>
      </c>
      <c r="S823">
        <v>160.01</v>
      </c>
      <c r="T823">
        <v>116.4</v>
      </c>
      <c r="U823">
        <f t="shared" si="12"/>
        <v>0</v>
      </c>
    </row>
    <row r="824" spans="1:21" x14ac:dyDescent="0.25">
      <c r="A824" s="2" t="s">
        <v>1391</v>
      </c>
      <c r="B824" s="2" t="s">
        <v>1223</v>
      </c>
      <c r="C824" s="1">
        <v>45990</v>
      </c>
      <c r="D824" s="2" t="s">
        <v>45</v>
      </c>
      <c r="E824" s="2" t="s">
        <v>46</v>
      </c>
      <c r="F824" s="2" t="s">
        <v>51</v>
      </c>
      <c r="G824">
        <v>4</v>
      </c>
      <c r="H824" s="2" t="s">
        <v>77</v>
      </c>
      <c r="I824">
        <v>266.52999999999997</v>
      </c>
      <c r="J824">
        <v>10</v>
      </c>
      <c r="K824">
        <v>26.65</v>
      </c>
      <c r="L824">
        <v>40</v>
      </c>
      <c r="M824">
        <v>99.48</v>
      </c>
      <c r="N824">
        <v>0</v>
      </c>
      <c r="O824">
        <v>7.26</v>
      </c>
      <c r="P824" s="2" t="s">
        <v>68</v>
      </c>
      <c r="Q824">
        <v>239.88</v>
      </c>
      <c r="R824">
        <v>0</v>
      </c>
      <c r="S824">
        <v>146.74</v>
      </c>
      <c r="T824">
        <v>-146.74</v>
      </c>
      <c r="U824">
        <f t="shared" si="12"/>
        <v>0</v>
      </c>
    </row>
    <row r="825" spans="1:21" x14ac:dyDescent="0.25">
      <c r="A825" s="2" t="s">
        <v>1392</v>
      </c>
      <c r="B825" s="2" t="s">
        <v>1302</v>
      </c>
      <c r="C825" s="1">
        <v>45686</v>
      </c>
      <c r="D825" s="2" t="s">
        <v>45</v>
      </c>
      <c r="E825" s="2" t="s">
        <v>55</v>
      </c>
      <c r="F825" s="2" t="s">
        <v>94</v>
      </c>
      <c r="G825">
        <v>1</v>
      </c>
      <c r="H825" s="2" t="s">
        <v>64</v>
      </c>
      <c r="I825">
        <v>13.66</v>
      </c>
      <c r="J825">
        <v>5</v>
      </c>
      <c r="K825">
        <v>0.68</v>
      </c>
      <c r="L825">
        <v>10.62</v>
      </c>
      <c r="M825">
        <v>4.6900000000000004</v>
      </c>
      <c r="N825">
        <v>0</v>
      </c>
      <c r="O825">
        <v>0.68</v>
      </c>
      <c r="P825" s="2" t="s">
        <v>42</v>
      </c>
      <c r="Q825">
        <v>0</v>
      </c>
      <c r="R825">
        <v>12.98</v>
      </c>
      <c r="S825">
        <v>15.99</v>
      </c>
      <c r="T825">
        <v>-3.01</v>
      </c>
      <c r="U825">
        <f t="shared" si="12"/>
        <v>0</v>
      </c>
    </row>
    <row r="826" spans="1:21" x14ac:dyDescent="0.25">
      <c r="A826" s="2" t="s">
        <v>1393</v>
      </c>
      <c r="B826" s="2" t="s">
        <v>322</v>
      </c>
      <c r="C826" s="1">
        <v>45964</v>
      </c>
      <c r="D826" s="2" t="s">
        <v>38</v>
      </c>
      <c r="E826" s="2" t="s">
        <v>55</v>
      </c>
      <c r="F826" s="2" t="s">
        <v>40</v>
      </c>
      <c r="G826">
        <v>4</v>
      </c>
      <c r="H826" s="2" t="s">
        <v>52</v>
      </c>
      <c r="I826">
        <v>244.09</v>
      </c>
      <c r="J826">
        <v>15</v>
      </c>
      <c r="K826">
        <v>36.61</v>
      </c>
      <c r="L826">
        <v>29.18</v>
      </c>
      <c r="M826">
        <v>120</v>
      </c>
      <c r="N826">
        <v>0</v>
      </c>
      <c r="O826">
        <v>6.32</v>
      </c>
      <c r="P826" s="2" t="s">
        <v>42</v>
      </c>
      <c r="Q826">
        <v>0</v>
      </c>
      <c r="R826">
        <v>207.48</v>
      </c>
      <c r="S826">
        <v>155.5</v>
      </c>
      <c r="T826">
        <v>51.98</v>
      </c>
      <c r="U826">
        <f t="shared" si="12"/>
        <v>1</v>
      </c>
    </row>
    <row r="827" spans="1:21" x14ac:dyDescent="0.25">
      <c r="A827" s="2" t="s">
        <v>1394</v>
      </c>
      <c r="B827" s="2" t="s">
        <v>1395</v>
      </c>
      <c r="C827" s="1">
        <v>45563</v>
      </c>
      <c r="D827" s="2" t="s">
        <v>45</v>
      </c>
      <c r="E827" s="2" t="s">
        <v>46</v>
      </c>
      <c r="F827" s="2" t="s">
        <v>47</v>
      </c>
      <c r="G827">
        <v>2</v>
      </c>
      <c r="H827" s="2" t="s">
        <v>111</v>
      </c>
      <c r="I827">
        <v>41.94</v>
      </c>
      <c r="J827">
        <v>10</v>
      </c>
      <c r="K827">
        <v>4.1900000000000004</v>
      </c>
      <c r="L827">
        <v>16.52</v>
      </c>
      <c r="M827">
        <v>15.45</v>
      </c>
      <c r="N827">
        <v>0</v>
      </c>
      <c r="O827">
        <v>1.39</v>
      </c>
      <c r="P827" s="2" t="s">
        <v>42</v>
      </c>
      <c r="Q827">
        <v>0</v>
      </c>
      <c r="R827">
        <v>37.75</v>
      </c>
      <c r="S827">
        <v>33.36</v>
      </c>
      <c r="T827">
        <v>4.3899999999999997</v>
      </c>
      <c r="U827">
        <f t="shared" si="12"/>
        <v>0</v>
      </c>
    </row>
    <row r="828" spans="1:21" x14ac:dyDescent="0.25">
      <c r="A828" s="2" t="s">
        <v>1396</v>
      </c>
      <c r="B828" s="2" t="s">
        <v>562</v>
      </c>
      <c r="C828" s="1">
        <v>45775</v>
      </c>
      <c r="D828" s="2" t="s">
        <v>59</v>
      </c>
      <c r="E828" s="2" t="s">
        <v>39</v>
      </c>
      <c r="F828" s="2" t="s">
        <v>40</v>
      </c>
      <c r="G828">
        <v>1</v>
      </c>
      <c r="H828" s="2" t="s">
        <v>64</v>
      </c>
      <c r="I828">
        <v>127.88</v>
      </c>
      <c r="J828">
        <v>0</v>
      </c>
      <c r="K828">
        <v>0</v>
      </c>
      <c r="L828">
        <v>16.920000000000002</v>
      </c>
      <c r="M828">
        <v>41.02</v>
      </c>
      <c r="N828">
        <v>19.18</v>
      </c>
      <c r="O828">
        <v>4.01</v>
      </c>
      <c r="P828" s="2" t="s">
        <v>42</v>
      </c>
      <c r="Q828">
        <v>0</v>
      </c>
      <c r="R828">
        <v>127.88</v>
      </c>
      <c r="S828">
        <v>81.13</v>
      </c>
      <c r="T828">
        <v>46.75</v>
      </c>
      <c r="U828">
        <f t="shared" si="12"/>
        <v>0</v>
      </c>
    </row>
    <row r="829" spans="1:21" x14ac:dyDescent="0.25">
      <c r="A829" s="2" t="s">
        <v>1397</v>
      </c>
      <c r="B829" s="2" t="s">
        <v>280</v>
      </c>
      <c r="C829" s="1">
        <v>45860</v>
      </c>
      <c r="D829" s="2" t="s">
        <v>38</v>
      </c>
      <c r="E829" s="2" t="s">
        <v>46</v>
      </c>
      <c r="F829" s="2" t="s">
        <v>51</v>
      </c>
      <c r="G829">
        <v>3</v>
      </c>
      <c r="H829" s="2" t="s">
        <v>52</v>
      </c>
      <c r="I829">
        <v>70.94</v>
      </c>
      <c r="J829">
        <v>10</v>
      </c>
      <c r="K829">
        <v>7.09</v>
      </c>
      <c r="L829">
        <v>51.98</v>
      </c>
      <c r="M829">
        <v>30.7</v>
      </c>
      <c r="N829">
        <v>0</v>
      </c>
      <c r="O829">
        <v>2.15</v>
      </c>
      <c r="P829" s="2" t="s">
        <v>42</v>
      </c>
      <c r="Q829">
        <v>0</v>
      </c>
      <c r="R829">
        <v>63.85</v>
      </c>
      <c r="S829">
        <v>84.83</v>
      </c>
      <c r="T829">
        <v>-20.98</v>
      </c>
      <c r="U829">
        <f t="shared" si="12"/>
        <v>0</v>
      </c>
    </row>
    <row r="830" spans="1:21" x14ac:dyDescent="0.25">
      <c r="A830" s="2" t="s">
        <v>1398</v>
      </c>
      <c r="B830" s="2" t="s">
        <v>826</v>
      </c>
      <c r="C830" s="1">
        <v>45589</v>
      </c>
      <c r="D830" s="2" t="s">
        <v>38</v>
      </c>
      <c r="E830" s="2" t="s">
        <v>71</v>
      </c>
      <c r="F830" s="2" t="s">
        <v>94</v>
      </c>
      <c r="G830">
        <v>1</v>
      </c>
      <c r="H830" s="2" t="s">
        <v>111</v>
      </c>
      <c r="I830">
        <v>15.69</v>
      </c>
      <c r="J830">
        <v>0</v>
      </c>
      <c r="K830">
        <v>0</v>
      </c>
      <c r="L830">
        <v>9.34</v>
      </c>
      <c r="M830">
        <v>4.67</v>
      </c>
      <c r="N830">
        <v>0</v>
      </c>
      <c r="O830">
        <v>0.76</v>
      </c>
      <c r="P830" s="2" t="s">
        <v>42</v>
      </c>
      <c r="Q830">
        <v>0</v>
      </c>
      <c r="R830">
        <v>15.69</v>
      </c>
      <c r="S830">
        <v>14.77</v>
      </c>
      <c r="T830">
        <v>0.92</v>
      </c>
      <c r="U830">
        <f t="shared" si="12"/>
        <v>0</v>
      </c>
    </row>
    <row r="831" spans="1:21" x14ac:dyDescent="0.25">
      <c r="A831" s="2" t="s">
        <v>1399</v>
      </c>
      <c r="B831" s="2" t="s">
        <v>1400</v>
      </c>
      <c r="C831" s="1">
        <v>45899</v>
      </c>
      <c r="D831" s="2" t="s">
        <v>38</v>
      </c>
      <c r="E831" s="2" t="s">
        <v>67</v>
      </c>
      <c r="F831" s="2" t="s">
        <v>51</v>
      </c>
      <c r="G831">
        <v>2</v>
      </c>
      <c r="H831" s="2" t="s">
        <v>48</v>
      </c>
      <c r="I831">
        <v>112.76</v>
      </c>
      <c r="J831">
        <v>0</v>
      </c>
      <c r="K831">
        <v>0</v>
      </c>
      <c r="L831">
        <v>29.48</v>
      </c>
      <c r="M831">
        <v>42.04</v>
      </c>
      <c r="N831">
        <v>0</v>
      </c>
      <c r="O831">
        <v>3.57</v>
      </c>
      <c r="P831" s="2" t="s">
        <v>42</v>
      </c>
      <c r="Q831">
        <v>0</v>
      </c>
      <c r="R831">
        <v>112.76</v>
      </c>
      <c r="S831">
        <v>75.09</v>
      </c>
      <c r="T831">
        <v>37.67</v>
      </c>
      <c r="U831">
        <f t="shared" si="12"/>
        <v>0</v>
      </c>
    </row>
    <row r="832" spans="1:21" x14ac:dyDescent="0.25">
      <c r="A832" s="2" t="s">
        <v>1401</v>
      </c>
      <c r="B832" s="2" t="s">
        <v>353</v>
      </c>
      <c r="C832" s="1">
        <v>45846</v>
      </c>
      <c r="D832" s="2" t="s">
        <v>38</v>
      </c>
      <c r="E832" s="2" t="s">
        <v>55</v>
      </c>
      <c r="F832" s="2" t="s">
        <v>85</v>
      </c>
      <c r="G832">
        <v>2</v>
      </c>
      <c r="H832" s="2" t="s">
        <v>74</v>
      </c>
      <c r="I832">
        <v>59.53</v>
      </c>
      <c r="J832">
        <v>15</v>
      </c>
      <c r="K832">
        <v>8.93</v>
      </c>
      <c r="L832">
        <v>27.54</v>
      </c>
      <c r="M832">
        <v>22.62</v>
      </c>
      <c r="N832">
        <v>0</v>
      </c>
      <c r="O832">
        <v>1.77</v>
      </c>
      <c r="P832" s="2" t="s">
        <v>42</v>
      </c>
      <c r="Q832">
        <v>0</v>
      </c>
      <c r="R832">
        <v>50.6</v>
      </c>
      <c r="S832">
        <v>51.93</v>
      </c>
      <c r="T832">
        <v>-1.33</v>
      </c>
      <c r="U832">
        <f t="shared" si="12"/>
        <v>0</v>
      </c>
    </row>
    <row r="833" spans="1:21" x14ac:dyDescent="0.25">
      <c r="A833" s="2" t="s">
        <v>1402</v>
      </c>
      <c r="B833" s="2" t="s">
        <v>936</v>
      </c>
      <c r="C833" s="1">
        <v>45957</v>
      </c>
      <c r="D833" s="2" t="s">
        <v>38</v>
      </c>
      <c r="E833" s="2" t="s">
        <v>67</v>
      </c>
      <c r="F833" s="2" t="s">
        <v>47</v>
      </c>
      <c r="G833">
        <v>2</v>
      </c>
      <c r="H833" s="2" t="s">
        <v>64</v>
      </c>
      <c r="I833">
        <v>229.14</v>
      </c>
      <c r="J833">
        <v>15</v>
      </c>
      <c r="K833">
        <v>34.369999999999997</v>
      </c>
      <c r="L833">
        <v>30.9</v>
      </c>
      <c r="M833">
        <v>107.97</v>
      </c>
      <c r="N833">
        <v>0</v>
      </c>
      <c r="O833">
        <v>5.95</v>
      </c>
      <c r="P833" s="2" t="s">
        <v>42</v>
      </c>
      <c r="Q833">
        <v>0</v>
      </c>
      <c r="R833">
        <v>194.77</v>
      </c>
      <c r="S833">
        <v>144.82</v>
      </c>
      <c r="T833">
        <v>49.95</v>
      </c>
      <c r="U833">
        <f t="shared" si="12"/>
        <v>0</v>
      </c>
    </row>
    <row r="834" spans="1:21" x14ac:dyDescent="0.25">
      <c r="A834" s="2" t="s">
        <v>1403</v>
      </c>
      <c r="B834" s="2" t="s">
        <v>372</v>
      </c>
      <c r="C834" s="1">
        <v>45827</v>
      </c>
      <c r="D834" s="2" t="s">
        <v>45</v>
      </c>
      <c r="E834" s="2" t="s">
        <v>67</v>
      </c>
      <c r="F834" s="2" t="s">
        <v>47</v>
      </c>
      <c r="G834">
        <v>1</v>
      </c>
      <c r="H834" s="2" t="s">
        <v>41</v>
      </c>
      <c r="I834">
        <v>70.06</v>
      </c>
      <c r="J834">
        <v>5</v>
      </c>
      <c r="K834">
        <v>3.5</v>
      </c>
      <c r="L834">
        <v>19.96</v>
      </c>
      <c r="M834">
        <v>23.08</v>
      </c>
      <c r="N834">
        <v>0</v>
      </c>
      <c r="O834">
        <v>2.23</v>
      </c>
      <c r="P834" s="2" t="s">
        <v>42</v>
      </c>
      <c r="Q834">
        <v>0</v>
      </c>
      <c r="R834">
        <v>66.56</v>
      </c>
      <c r="S834">
        <v>45.27</v>
      </c>
      <c r="T834">
        <v>21.29</v>
      </c>
      <c r="U834">
        <f t="shared" si="12"/>
        <v>0</v>
      </c>
    </row>
    <row r="835" spans="1:21" x14ac:dyDescent="0.25">
      <c r="A835" s="2" t="s">
        <v>1404</v>
      </c>
      <c r="B835" s="2" t="s">
        <v>326</v>
      </c>
      <c r="C835" s="1">
        <v>45809</v>
      </c>
      <c r="D835" s="2" t="s">
        <v>45</v>
      </c>
      <c r="E835" s="2" t="s">
        <v>67</v>
      </c>
      <c r="F835" s="2" t="s">
        <v>40</v>
      </c>
      <c r="G835">
        <v>2</v>
      </c>
      <c r="H835" s="2" t="s">
        <v>41</v>
      </c>
      <c r="I835">
        <v>113.41</v>
      </c>
      <c r="J835">
        <v>5</v>
      </c>
      <c r="K835">
        <v>5.67</v>
      </c>
      <c r="L835">
        <v>19.48</v>
      </c>
      <c r="M835">
        <v>46.28</v>
      </c>
      <c r="N835">
        <v>0</v>
      </c>
      <c r="O835">
        <v>3.42</v>
      </c>
      <c r="P835" s="2" t="s">
        <v>42</v>
      </c>
      <c r="Q835">
        <v>0</v>
      </c>
      <c r="R835">
        <v>107.74</v>
      </c>
      <c r="S835">
        <v>69.180000000000007</v>
      </c>
      <c r="T835">
        <v>38.56</v>
      </c>
      <c r="U835">
        <f t="shared" si="12"/>
        <v>0</v>
      </c>
    </row>
    <row r="836" spans="1:21" x14ac:dyDescent="0.25">
      <c r="A836" s="2" t="s">
        <v>1405</v>
      </c>
      <c r="B836" s="2" t="s">
        <v>1406</v>
      </c>
      <c r="C836" s="1">
        <v>45504</v>
      </c>
      <c r="D836" s="2" t="s">
        <v>38</v>
      </c>
      <c r="E836" s="2" t="s">
        <v>71</v>
      </c>
      <c r="F836" s="2" t="s">
        <v>47</v>
      </c>
      <c r="G836">
        <v>1</v>
      </c>
      <c r="H836" s="2" t="s">
        <v>56</v>
      </c>
      <c r="I836">
        <v>13.96</v>
      </c>
      <c r="J836">
        <v>20</v>
      </c>
      <c r="K836">
        <v>2.79</v>
      </c>
      <c r="L836">
        <v>5.18</v>
      </c>
      <c r="M836">
        <v>7.06</v>
      </c>
      <c r="N836">
        <v>0</v>
      </c>
      <c r="O836">
        <v>0.62</v>
      </c>
      <c r="P836" s="2" t="s">
        <v>42</v>
      </c>
      <c r="Q836">
        <v>0</v>
      </c>
      <c r="R836">
        <v>11.17</v>
      </c>
      <c r="S836">
        <v>12.86</v>
      </c>
      <c r="T836">
        <v>-1.69</v>
      </c>
      <c r="U836">
        <f t="shared" si="12"/>
        <v>0</v>
      </c>
    </row>
    <row r="837" spans="1:21" x14ac:dyDescent="0.25">
      <c r="A837" s="2" t="s">
        <v>1407</v>
      </c>
      <c r="B837" s="2" t="s">
        <v>318</v>
      </c>
      <c r="C837" s="1">
        <v>45929</v>
      </c>
      <c r="D837" s="2" t="s">
        <v>59</v>
      </c>
      <c r="E837" s="2" t="s">
        <v>46</v>
      </c>
      <c r="F837" s="2" t="s">
        <v>85</v>
      </c>
      <c r="G837">
        <v>3</v>
      </c>
      <c r="H837" s="2" t="s">
        <v>111</v>
      </c>
      <c r="I837">
        <v>94.03</v>
      </c>
      <c r="J837">
        <v>10</v>
      </c>
      <c r="K837">
        <v>9.4</v>
      </c>
      <c r="L837">
        <v>36</v>
      </c>
      <c r="M837">
        <v>42.7</v>
      </c>
      <c r="N837">
        <v>12.69</v>
      </c>
      <c r="O837">
        <v>2.75</v>
      </c>
      <c r="P837" s="2" t="s">
        <v>42</v>
      </c>
      <c r="Q837">
        <v>0</v>
      </c>
      <c r="R837">
        <v>84.63</v>
      </c>
      <c r="S837">
        <v>94.14</v>
      </c>
      <c r="T837">
        <v>-9.51</v>
      </c>
      <c r="U837">
        <f t="shared" ref="U837:U900" si="13">IF(P835="Yes", 1, 0)</f>
        <v>0</v>
      </c>
    </row>
    <row r="838" spans="1:21" x14ac:dyDescent="0.25">
      <c r="A838" s="2" t="s">
        <v>1408</v>
      </c>
      <c r="B838" s="2" t="s">
        <v>271</v>
      </c>
      <c r="C838" s="1">
        <v>45525</v>
      </c>
      <c r="D838" s="2" t="s">
        <v>59</v>
      </c>
      <c r="E838" s="2" t="s">
        <v>55</v>
      </c>
      <c r="F838" s="2" t="s">
        <v>85</v>
      </c>
      <c r="G838">
        <v>2</v>
      </c>
      <c r="H838" s="2" t="s">
        <v>41</v>
      </c>
      <c r="I838">
        <v>60.58</v>
      </c>
      <c r="J838">
        <v>0</v>
      </c>
      <c r="K838">
        <v>0</v>
      </c>
      <c r="L838">
        <v>39.700000000000003</v>
      </c>
      <c r="M838">
        <v>38.19</v>
      </c>
      <c r="N838">
        <v>9.09</v>
      </c>
      <c r="O838">
        <v>2.06</v>
      </c>
      <c r="P838" s="2" t="s">
        <v>42</v>
      </c>
      <c r="Q838">
        <v>0</v>
      </c>
      <c r="R838">
        <v>60.58</v>
      </c>
      <c r="S838">
        <v>89.04</v>
      </c>
      <c r="T838">
        <v>-28.46</v>
      </c>
      <c r="U838">
        <f t="shared" si="13"/>
        <v>0</v>
      </c>
    </row>
    <row r="839" spans="1:21" x14ac:dyDescent="0.25">
      <c r="A839" s="2" t="s">
        <v>1409</v>
      </c>
      <c r="B839" s="2" t="s">
        <v>858</v>
      </c>
      <c r="C839" s="1">
        <v>45893</v>
      </c>
      <c r="D839" s="2" t="s">
        <v>59</v>
      </c>
      <c r="E839" s="2" t="s">
        <v>46</v>
      </c>
      <c r="F839" s="2" t="s">
        <v>40</v>
      </c>
      <c r="G839">
        <v>1</v>
      </c>
      <c r="H839" s="2" t="s">
        <v>74</v>
      </c>
      <c r="I839">
        <v>59.14</v>
      </c>
      <c r="J839">
        <v>15</v>
      </c>
      <c r="K839">
        <v>8.8699999999999992</v>
      </c>
      <c r="L839">
        <v>24.28</v>
      </c>
      <c r="M839">
        <v>41.32</v>
      </c>
      <c r="N839">
        <v>7.54</v>
      </c>
      <c r="O839">
        <v>1.76</v>
      </c>
      <c r="P839" s="2" t="s">
        <v>42</v>
      </c>
      <c r="Q839">
        <v>0</v>
      </c>
      <c r="R839">
        <v>50.27</v>
      </c>
      <c r="S839">
        <v>74.900000000000006</v>
      </c>
      <c r="T839">
        <v>-24.63</v>
      </c>
      <c r="U839">
        <f t="shared" si="13"/>
        <v>0</v>
      </c>
    </row>
    <row r="840" spans="1:21" x14ac:dyDescent="0.25">
      <c r="A840" s="2" t="s">
        <v>1410</v>
      </c>
      <c r="B840" s="2" t="s">
        <v>554</v>
      </c>
      <c r="C840" s="1">
        <v>45693</v>
      </c>
      <c r="D840" s="2" t="s">
        <v>45</v>
      </c>
      <c r="E840" s="2" t="s">
        <v>55</v>
      </c>
      <c r="F840" s="2" t="s">
        <v>51</v>
      </c>
      <c r="G840">
        <v>4</v>
      </c>
      <c r="H840" s="2" t="s">
        <v>41</v>
      </c>
      <c r="I840">
        <v>341.7</v>
      </c>
      <c r="J840">
        <v>15</v>
      </c>
      <c r="K840">
        <v>51.26</v>
      </c>
      <c r="L840">
        <v>31.96</v>
      </c>
      <c r="M840">
        <v>139.18</v>
      </c>
      <c r="N840">
        <v>0</v>
      </c>
      <c r="O840">
        <v>8.7200000000000006</v>
      </c>
      <c r="P840" s="2" t="s">
        <v>42</v>
      </c>
      <c r="Q840">
        <v>0</v>
      </c>
      <c r="R840">
        <v>290.44</v>
      </c>
      <c r="S840">
        <v>179.86</v>
      </c>
      <c r="T840">
        <v>110.58</v>
      </c>
      <c r="U840">
        <f t="shared" si="13"/>
        <v>0</v>
      </c>
    </row>
    <row r="841" spans="1:21" x14ac:dyDescent="0.25">
      <c r="A841" s="2" t="s">
        <v>1411</v>
      </c>
      <c r="B841" s="2" t="s">
        <v>1412</v>
      </c>
      <c r="C841" s="1">
        <v>45783</v>
      </c>
      <c r="D841" s="2" t="s">
        <v>45</v>
      </c>
      <c r="E841" s="2" t="s">
        <v>46</v>
      </c>
      <c r="F841" s="2" t="s">
        <v>85</v>
      </c>
      <c r="G841">
        <v>1</v>
      </c>
      <c r="H841" s="2" t="s">
        <v>64</v>
      </c>
      <c r="I841">
        <v>37.86</v>
      </c>
      <c r="J841">
        <v>0</v>
      </c>
      <c r="K841">
        <v>0</v>
      </c>
      <c r="L841">
        <v>9.02</v>
      </c>
      <c r="M841">
        <v>26.84</v>
      </c>
      <c r="N841">
        <v>0</v>
      </c>
      <c r="O841">
        <v>1.4</v>
      </c>
      <c r="P841" s="2" t="s">
        <v>42</v>
      </c>
      <c r="Q841">
        <v>0</v>
      </c>
      <c r="R841">
        <v>37.86</v>
      </c>
      <c r="S841">
        <v>37.26</v>
      </c>
      <c r="T841">
        <v>0.6</v>
      </c>
      <c r="U841">
        <f t="shared" si="13"/>
        <v>0</v>
      </c>
    </row>
    <row r="842" spans="1:21" x14ac:dyDescent="0.25">
      <c r="A842" s="2" t="s">
        <v>1413</v>
      </c>
      <c r="B842" s="2" t="s">
        <v>564</v>
      </c>
      <c r="C842" s="1">
        <v>45963</v>
      </c>
      <c r="D842" s="2" t="s">
        <v>59</v>
      </c>
      <c r="E842" s="2" t="s">
        <v>67</v>
      </c>
      <c r="F842" s="2" t="s">
        <v>51</v>
      </c>
      <c r="G842">
        <v>1</v>
      </c>
      <c r="H842" s="2" t="s">
        <v>74</v>
      </c>
      <c r="I842">
        <v>41.34</v>
      </c>
      <c r="J842">
        <v>0</v>
      </c>
      <c r="K842">
        <v>0</v>
      </c>
      <c r="L842">
        <v>11.18</v>
      </c>
      <c r="M842">
        <v>21.84</v>
      </c>
      <c r="N842">
        <v>6.2</v>
      </c>
      <c r="O842">
        <v>1.5</v>
      </c>
      <c r="P842" s="2" t="s">
        <v>42</v>
      </c>
      <c r="Q842">
        <v>0</v>
      </c>
      <c r="R842">
        <v>41.34</v>
      </c>
      <c r="S842">
        <v>40.72</v>
      </c>
      <c r="T842">
        <v>0.62</v>
      </c>
      <c r="U842">
        <f t="shared" si="13"/>
        <v>0</v>
      </c>
    </row>
    <row r="843" spans="1:21" x14ac:dyDescent="0.25">
      <c r="A843" s="2" t="s">
        <v>1414</v>
      </c>
      <c r="B843" s="2" t="s">
        <v>1214</v>
      </c>
      <c r="C843" s="1">
        <v>45516</v>
      </c>
      <c r="D843" s="2" t="s">
        <v>59</v>
      </c>
      <c r="E843" s="2" t="s">
        <v>55</v>
      </c>
      <c r="F843" s="2" t="s">
        <v>85</v>
      </c>
      <c r="G843">
        <v>4</v>
      </c>
      <c r="H843" s="2" t="s">
        <v>74</v>
      </c>
      <c r="I843">
        <v>188.26</v>
      </c>
      <c r="J843">
        <v>5</v>
      </c>
      <c r="K843">
        <v>9.41</v>
      </c>
      <c r="L843">
        <v>57.46</v>
      </c>
      <c r="M843">
        <v>71.14</v>
      </c>
      <c r="N843">
        <v>26.83</v>
      </c>
      <c r="O843">
        <v>5.49</v>
      </c>
      <c r="P843" s="2" t="s">
        <v>42</v>
      </c>
      <c r="Q843">
        <v>0</v>
      </c>
      <c r="R843">
        <v>178.85</v>
      </c>
      <c r="S843">
        <v>160.91999999999999</v>
      </c>
      <c r="T843">
        <v>17.93</v>
      </c>
      <c r="U843">
        <f t="shared" si="13"/>
        <v>0</v>
      </c>
    </row>
    <row r="844" spans="1:21" x14ac:dyDescent="0.25">
      <c r="A844" s="2" t="s">
        <v>1415</v>
      </c>
      <c r="B844" s="2" t="s">
        <v>1416</v>
      </c>
      <c r="C844" s="1">
        <v>45724</v>
      </c>
      <c r="D844" s="2" t="s">
        <v>45</v>
      </c>
      <c r="E844" s="2" t="s">
        <v>46</v>
      </c>
      <c r="F844" s="2" t="s">
        <v>85</v>
      </c>
      <c r="G844">
        <v>2</v>
      </c>
      <c r="H844" s="2" t="s">
        <v>77</v>
      </c>
      <c r="I844">
        <v>142.25</v>
      </c>
      <c r="J844">
        <v>0</v>
      </c>
      <c r="K844">
        <v>0</v>
      </c>
      <c r="L844">
        <v>38.979999999999997</v>
      </c>
      <c r="M844">
        <v>56.23</v>
      </c>
      <c r="N844">
        <v>0</v>
      </c>
      <c r="O844">
        <v>4.43</v>
      </c>
      <c r="P844" s="2" t="s">
        <v>42</v>
      </c>
      <c r="Q844">
        <v>0</v>
      </c>
      <c r="R844">
        <v>142.25</v>
      </c>
      <c r="S844">
        <v>99.64</v>
      </c>
      <c r="T844">
        <v>42.61</v>
      </c>
      <c r="U844">
        <f t="shared" si="13"/>
        <v>0</v>
      </c>
    </row>
    <row r="845" spans="1:21" x14ac:dyDescent="0.25">
      <c r="A845" s="2" t="s">
        <v>1417</v>
      </c>
      <c r="B845" s="2" t="s">
        <v>1418</v>
      </c>
      <c r="C845" s="1">
        <v>45831</v>
      </c>
      <c r="D845" s="2" t="s">
        <v>45</v>
      </c>
      <c r="E845" s="2" t="s">
        <v>46</v>
      </c>
      <c r="F845" s="2" t="s">
        <v>94</v>
      </c>
      <c r="G845">
        <v>2</v>
      </c>
      <c r="H845" s="2" t="s">
        <v>52</v>
      </c>
      <c r="I845">
        <v>232.42</v>
      </c>
      <c r="J845">
        <v>20</v>
      </c>
      <c r="K845">
        <v>46.48</v>
      </c>
      <c r="L845">
        <v>29.54</v>
      </c>
      <c r="M845">
        <v>81.540000000000006</v>
      </c>
      <c r="N845">
        <v>0</v>
      </c>
      <c r="O845">
        <v>5.69</v>
      </c>
      <c r="P845" s="2" t="s">
        <v>42</v>
      </c>
      <c r="Q845">
        <v>0</v>
      </c>
      <c r="R845">
        <v>185.94</v>
      </c>
      <c r="S845">
        <v>116.77</v>
      </c>
      <c r="T845">
        <v>69.17</v>
      </c>
      <c r="U845">
        <f t="shared" si="13"/>
        <v>0</v>
      </c>
    </row>
    <row r="846" spans="1:21" x14ac:dyDescent="0.25">
      <c r="A846" s="2" t="s">
        <v>1419</v>
      </c>
      <c r="B846" s="2" t="s">
        <v>736</v>
      </c>
      <c r="C846" s="1">
        <v>45789</v>
      </c>
      <c r="D846" s="2" t="s">
        <v>59</v>
      </c>
      <c r="E846" s="2" t="s">
        <v>39</v>
      </c>
      <c r="F846" s="2" t="s">
        <v>51</v>
      </c>
      <c r="G846">
        <v>3</v>
      </c>
      <c r="H846" s="2" t="s">
        <v>74</v>
      </c>
      <c r="I846">
        <v>194.81</v>
      </c>
      <c r="J846">
        <v>15</v>
      </c>
      <c r="K846">
        <v>29.22</v>
      </c>
      <c r="L846">
        <v>31.04</v>
      </c>
      <c r="M846">
        <v>95.25</v>
      </c>
      <c r="N846">
        <v>24.84</v>
      </c>
      <c r="O846">
        <v>5.0999999999999996</v>
      </c>
      <c r="P846" s="2" t="s">
        <v>42</v>
      </c>
      <c r="Q846">
        <v>0</v>
      </c>
      <c r="R846">
        <v>165.59</v>
      </c>
      <c r="S846">
        <v>156.22999999999999</v>
      </c>
      <c r="T846">
        <v>9.36</v>
      </c>
      <c r="U846">
        <f t="shared" si="13"/>
        <v>0</v>
      </c>
    </row>
    <row r="847" spans="1:21" x14ac:dyDescent="0.25">
      <c r="A847" s="2" t="s">
        <v>1420</v>
      </c>
      <c r="B847" s="2" t="s">
        <v>1421</v>
      </c>
      <c r="C847" s="1">
        <v>45367</v>
      </c>
      <c r="D847" s="2" t="s">
        <v>59</v>
      </c>
      <c r="E847" s="2" t="s">
        <v>46</v>
      </c>
      <c r="F847" s="2" t="s">
        <v>40</v>
      </c>
      <c r="G847">
        <v>1</v>
      </c>
      <c r="H847" s="2" t="s">
        <v>74</v>
      </c>
      <c r="I847">
        <v>29.57</v>
      </c>
      <c r="J847">
        <v>0</v>
      </c>
      <c r="K847">
        <v>0</v>
      </c>
      <c r="L847">
        <v>12.14</v>
      </c>
      <c r="M847">
        <v>20.66</v>
      </c>
      <c r="N847">
        <v>4.4400000000000004</v>
      </c>
      <c r="O847">
        <v>1.1599999999999999</v>
      </c>
      <c r="P847" s="2" t="s">
        <v>42</v>
      </c>
      <c r="Q847">
        <v>0</v>
      </c>
      <c r="R847">
        <v>29.57</v>
      </c>
      <c r="S847">
        <v>38.4</v>
      </c>
      <c r="T847">
        <v>-8.83</v>
      </c>
      <c r="U847">
        <f t="shared" si="13"/>
        <v>0</v>
      </c>
    </row>
    <row r="848" spans="1:21" x14ac:dyDescent="0.25">
      <c r="A848" s="2" t="s">
        <v>1422</v>
      </c>
      <c r="B848" s="2" t="s">
        <v>1423</v>
      </c>
      <c r="C848" s="1">
        <v>45528</v>
      </c>
      <c r="D848" s="2" t="s">
        <v>45</v>
      </c>
      <c r="E848" s="2" t="s">
        <v>67</v>
      </c>
      <c r="F848" s="2" t="s">
        <v>40</v>
      </c>
      <c r="G848">
        <v>1</v>
      </c>
      <c r="H848" s="2" t="s">
        <v>111</v>
      </c>
      <c r="I848">
        <v>164.85</v>
      </c>
      <c r="J848">
        <v>0</v>
      </c>
      <c r="K848">
        <v>0</v>
      </c>
      <c r="L848">
        <v>4.7</v>
      </c>
      <c r="M848">
        <v>49.88</v>
      </c>
      <c r="N848">
        <v>0</v>
      </c>
      <c r="O848">
        <v>5.08</v>
      </c>
      <c r="P848" s="2" t="s">
        <v>42</v>
      </c>
      <c r="Q848">
        <v>0</v>
      </c>
      <c r="R848">
        <v>164.85</v>
      </c>
      <c r="S848">
        <v>59.66</v>
      </c>
      <c r="T848">
        <v>105.19</v>
      </c>
      <c r="U848">
        <f t="shared" si="13"/>
        <v>0</v>
      </c>
    </row>
    <row r="849" spans="1:21" x14ac:dyDescent="0.25">
      <c r="A849" s="2" t="s">
        <v>1424</v>
      </c>
      <c r="B849" s="2" t="s">
        <v>1425</v>
      </c>
      <c r="C849" s="1">
        <v>45653</v>
      </c>
      <c r="D849" s="2" t="s">
        <v>45</v>
      </c>
      <c r="E849" s="2" t="s">
        <v>71</v>
      </c>
      <c r="F849" s="2" t="s">
        <v>40</v>
      </c>
      <c r="G849">
        <v>1</v>
      </c>
      <c r="H849" s="2" t="s">
        <v>41</v>
      </c>
      <c r="I849">
        <v>222.97</v>
      </c>
      <c r="J849">
        <v>15</v>
      </c>
      <c r="K849">
        <v>33.450000000000003</v>
      </c>
      <c r="L849">
        <v>12.94</v>
      </c>
      <c r="M849">
        <v>67.05</v>
      </c>
      <c r="N849">
        <v>0</v>
      </c>
      <c r="O849">
        <v>5.8</v>
      </c>
      <c r="P849" s="2" t="s">
        <v>42</v>
      </c>
      <c r="Q849">
        <v>0</v>
      </c>
      <c r="R849">
        <v>189.52</v>
      </c>
      <c r="S849">
        <v>85.79</v>
      </c>
      <c r="T849">
        <v>103.73</v>
      </c>
      <c r="U849">
        <f t="shared" si="13"/>
        <v>0</v>
      </c>
    </row>
    <row r="850" spans="1:21" x14ac:dyDescent="0.25">
      <c r="A850" s="2" t="s">
        <v>1426</v>
      </c>
      <c r="B850" s="2" t="s">
        <v>950</v>
      </c>
      <c r="C850" s="1">
        <v>45757</v>
      </c>
      <c r="D850" s="2" t="s">
        <v>38</v>
      </c>
      <c r="E850" s="2" t="s">
        <v>46</v>
      </c>
      <c r="F850" s="2" t="s">
        <v>94</v>
      </c>
      <c r="G850">
        <v>1</v>
      </c>
      <c r="H850" s="2" t="s">
        <v>56</v>
      </c>
      <c r="I850">
        <v>55.06</v>
      </c>
      <c r="J850">
        <v>10</v>
      </c>
      <c r="K850">
        <v>5.51</v>
      </c>
      <c r="L850">
        <v>5.82</v>
      </c>
      <c r="M850">
        <v>21.08</v>
      </c>
      <c r="N850">
        <v>0</v>
      </c>
      <c r="O850">
        <v>1.74</v>
      </c>
      <c r="P850" s="2" t="s">
        <v>42</v>
      </c>
      <c r="Q850">
        <v>0</v>
      </c>
      <c r="R850">
        <v>49.55</v>
      </c>
      <c r="S850">
        <v>28.64</v>
      </c>
      <c r="T850">
        <v>20.91</v>
      </c>
      <c r="U850">
        <f t="shared" si="13"/>
        <v>0</v>
      </c>
    </row>
    <row r="851" spans="1:21" x14ac:dyDescent="0.25">
      <c r="A851" s="2" t="s">
        <v>1427</v>
      </c>
      <c r="B851" s="2" t="s">
        <v>617</v>
      </c>
      <c r="C851" s="1">
        <v>45870</v>
      </c>
      <c r="D851" s="2" t="s">
        <v>38</v>
      </c>
      <c r="E851" s="2" t="s">
        <v>46</v>
      </c>
      <c r="F851" s="2" t="s">
        <v>85</v>
      </c>
      <c r="G851">
        <v>2</v>
      </c>
      <c r="H851" s="2" t="s">
        <v>64</v>
      </c>
      <c r="I851">
        <v>113.98</v>
      </c>
      <c r="J851">
        <v>0</v>
      </c>
      <c r="K851">
        <v>0</v>
      </c>
      <c r="L851">
        <v>13.8</v>
      </c>
      <c r="M851">
        <v>46.32</v>
      </c>
      <c r="N851">
        <v>0</v>
      </c>
      <c r="O851">
        <v>3.61</v>
      </c>
      <c r="P851" s="2" t="s">
        <v>42</v>
      </c>
      <c r="Q851">
        <v>0</v>
      </c>
      <c r="R851">
        <v>113.98</v>
      </c>
      <c r="S851">
        <v>63.73</v>
      </c>
      <c r="T851">
        <v>50.25</v>
      </c>
      <c r="U851">
        <f t="shared" si="13"/>
        <v>0</v>
      </c>
    </row>
    <row r="852" spans="1:21" x14ac:dyDescent="0.25">
      <c r="A852" s="2" t="s">
        <v>1428</v>
      </c>
      <c r="B852" s="2" t="s">
        <v>1429</v>
      </c>
      <c r="C852" s="1">
        <v>45447</v>
      </c>
      <c r="D852" s="2" t="s">
        <v>38</v>
      </c>
      <c r="E852" s="2" t="s">
        <v>71</v>
      </c>
      <c r="F852" s="2" t="s">
        <v>47</v>
      </c>
      <c r="G852">
        <v>1</v>
      </c>
      <c r="H852" s="2" t="s">
        <v>111</v>
      </c>
      <c r="I852">
        <v>57.08</v>
      </c>
      <c r="J852">
        <v>0</v>
      </c>
      <c r="K852">
        <v>0</v>
      </c>
      <c r="L852">
        <v>11.26</v>
      </c>
      <c r="M852">
        <v>26.65</v>
      </c>
      <c r="N852">
        <v>0</v>
      </c>
      <c r="O852">
        <v>1.96</v>
      </c>
      <c r="P852" s="2" t="s">
        <v>42</v>
      </c>
      <c r="Q852">
        <v>0</v>
      </c>
      <c r="R852">
        <v>57.08</v>
      </c>
      <c r="S852">
        <v>39.869999999999997</v>
      </c>
      <c r="T852">
        <v>17.21</v>
      </c>
      <c r="U852">
        <f t="shared" si="13"/>
        <v>0</v>
      </c>
    </row>
    <row r="853" spans="1:21" x14ac:dyDescent="0.25">
      <c r="A853" s="2" t="s">
        <v>1430</v>
      </c>
      <c r="B853" s="2" t="s">
        <v>447</v>
      </c>
      <c r="C853" s="1">
        <v>45826</v>
      </c>
      <c r="D853" s="2" t="s">
        <v>45</v>
      </c>
      <c r="E853" s="2" t="s">
        <v>46</v>
      </c>
      <c r="F853" s="2" t="s">
        <v>85</v>
      </c>
      <c r="G853">
        <v>2</v>
      </c>
      <c r="H853" s="2" t="s">
        <v>64</v>
      </c>
      <c r="I853">
        <v>119.43</v>
      </c>
      <c r="J853">
        <v>0</v>
      </c>
      <c r="K853">
        <v>0</v>
      </c>
      <c r="L853">
        <v>24.28</v>
      </c>
      <c r="M853">
        <v>49.57</v>
      </c>
      <c r="N853">
        <v>0</v>
      </c>
      <c r="O853">
        <v>3.76</v>
      </c>
      <c r="P853" s="2" t="s">
        <v>42</v>
      </c>
      <c r="Q853">
        <v>0</v>
      </c>
      <c r="R853">
        <v>119.43</v>
      </c>
      <c r="S853">
        <v>77.61</v>
      </c>
      <c r="T853">
        <v>41.82</v>
      </c>
      <c r="U853">
        <f t="shared" si="13"/>
        <v>0</v>
      </c>
    </row>
    <row r="854" spans="1:21" x14ac:dyDescent="0.25">
      <c r="A854" s="2" t="s">
        <v>1431</v>
      </c>
      <c r="B854" s="2" t="s">
        <v>846</v>
      </c>
      <c r="C854" s="1">
        <v>45704</v>
      </c>
      <c r="D854" s="2" t="s">
        <v>38</v>
      </c>
      <c r="E854" s="2" t="s">
        <v>39</v>
      </c>
      <c r="F854" s="2" t="s">
        <v>40</v>
      </c>
      <c r="G854">
        <v>1</v>
      </c>
      <c r="H854" s="2" t="s">
        <v>74</v>
      </c>
      <c r="I854">
        <v>50.95</v>
      </c>
      <c r="J854">
        <v>0</v>
      </c>
      <c r="K854">
        <v>0</v>
      </c>
      <c r="L854">
        <v>14.38</v>
      </c>
      <c r="M854">
        <v>18.739999999999998</v>
      </c>
      <c r="N854">
        <v>0</v>
      </c>
      <c r="O854">
        <v>1.78</v>
      </c>
      <c r="P854" s="2" t="s">
        <v>42</v>
      </c>
      <c r="Q854">
        <v>0</v>
      </c>
      <c r="R854">
        <v>50.95</v>
      </c>
      <c r="S854">
        <v>34.9</v>
      </c>
      <c r="T854">
        <v>16.05</v>
      </c>
      <c r="U854">
        <f t="shared" si="13"/>
        <v>0</v>
      </c>
    </row>
    <row r="855" spans="1:21" x14ac:dyDescent="0.25">
      <c r="A855" s="2" t="s">
        <v>1432</v>
      </c>
      <c r="B855" s="2" t="s">
        <v>1433</v>
      </c>
      <c r="C855" s="1">
        <v>45669</v>
      </c>
      <c r="D855" s="2" t="s">
        <v>59</v>
      </c>
      <c r="E855" s="2" t="s">
        <v>71</v>
      </c>
      <c r="F855" s="2" t="s">
        <v>85</v>
      </c>
      <c r="G855">
        <v>1</v>
      </c>
      <c r="H855" s="2" t="s">
        <v>64</v>
      </c>
      <c r="I855">
        <v>50.13</v>
      </c>
      <c r="J855">
        <v>0</v>
      </c>
      <c r="K855">
        <v>0</v>
      </c>
      <c r="L855">
        <v>4.22</v>
      </c>
      <c r="M855">
        <v>31.64</v>
      </c>
      <c r="N855">
        <v>7.52</v>
      </c>
      <c r="O855">
        <v>1.75</v>
      </c>
      <c r="P855" s="2" t="s">
        <v>42</v>
      </c>
      <c r="Q855">
        <v>0</v>
      </c>
      <c r="R855">
        <v>50.13</v>
      </c>
      <c r="S855">
        <v>45.13</v>
      </c>
      <c r="T855">
        <v>5</v>
      </c>
      <c r="U855">
        <f t="shared" si="13"/>
        <v>0</v>
      </c>
    </row>
    <row r="856" spans="1:21" x14ac:dyDescent="0.25">
      <c r="A856" s="2" t="s">
        <v>1434</v>
      </c>
      <c r="B856" s="2" t="s">
        <v>562</v>
      </c>
      <c r="C856" s="1">
        <v>45669</v>
      </c>
      <c r="D856" s="2" t="s">
        <v>45</v>
      </c>
      <c r="E856" s="2" t="s">
        <v>67</v>
      </c>
      <c r="F856" s="2" t="s">
        <v>94</v>
      </c>
      <c r="G856">
        <v>2</v>
      </c>
      <c r="H856" s="2" t="s">
        <v>64</v>
      </c>
      <c r="I856">
        <v>69.319999999999993</v>
      </c>
      <c r="J856">
        <v>10</v>
      </c>
      <c r="K856">
        <v>6.93</v>
      </c>
      <c r="L856">
        <v>18.84</v>
      </c>
      <c r="M856">
        <v>32.33</v>
      </c>
      <c r="N856">
        <v>0</v>
      </c>
      <c r="O856">
        <v>2.11</v>
      </c>
      <c r="P856" s="2" t="s">
        <v>42</v>
      </c>
      <c r="Q856">
        <v>0</v>
      </c>
      <c r="R856">
        <v>62.39</v>
      </c>
      <c r="S856">
        <v>53.28</v>
      </c>
      <c r="T856">
        <v>9.11</v>
      </c>
      <c r="U856">
        <f t="shared" si="13"/>
        <v>0</v>
      </c>
    </row>
    <row r="857" spans="1:21" x14ac:dyDescent="0.25">
      <c r="A857" s="2" t="s">
        <v>1435</v>
      </c>
      <c r="B857" s="2" t="s">
        <v>1044</v>
      </c>
      <c r="C857" s="1">
        <v>45930</v>
      </c>
      <c r="D857" s="2" t="s">
        <v>45</v>
      </c>
      <c r="E857" s="2" t="s">
        <v>67</v>
      </c>
      <c r="F857" s="2" t="s">
        <v>94</v>
      </c>
      <c r="G857">
        <v>1</v>
      </c>
      <c r="H857" s="2" t="s">
        <v>41</v>
      </c>
      <c r="I857">
        <v>24.38</v>
      </c>
      <c r="J857">
        <v>10</v>
      </c>
      <c r="K857">
        <v>2.44</v>
      </c>
      <c r="L857">
        <v>13.9</v>
      </c>
      <c r="M857">
        <v>16.190000000000001</v>
      </c>
      <c r="N857">
        <v>0</v>
      </c>
      <c r="O857">
        <v>0.94</v>
      </c>
      <c r="P857" s="2" t="s">
        <v>68</v>
      </c>
      <c r="Q857">
        <v>21.94</v>
      </c>
      <c r="R857">
        <v>0</v>
      </c>
      <c r="S857">
        <v>31.03</v>
      </c>
      <c r="T857">
        <v>-31.03</v>
      </c>
      <c r="U857">
        <f t="shared" si="13"/>
        <v>0</v>
      </c>
    </row>
    <row r="858" spans="1:21" x14ac:dyDescent="0.25">
      <c r="A858" s="2" t="s">
        <v>1436</v>
      </c>
      <c r="B858" s="2" t="s">
        <v>1437</v>
      </c>
      <c r="C858" s="1">
        <v>45895</v>
      </c>
      <c r="D858" s="2" t="s">
        <v>59</v>
      </c>
      <c r="E858" s="2" t="s">
        <v>71</v>
      </c>
      <c r="F858" s="2" t="s">
        <v>94</v>
      </c>
      <c r="G858">
        <v>1</v>
      </c>
      <c r="H858" s="2" t="s">
        <v>52</v>
      </c>
      <c r="I858">
        <v>82.29</v>
      </c>
      <c r="J858">
        <v>15</v>
      </c>
      <c r="K858">
        <v>12.34</v>
      </c>
      <c r="L858">
        <v>13.02</v>
      </c>
      <c r="M858">
        <v>37.65</v>
      </c>
      <c r="N858">
        <v>10.49</v>
      </c>
      <c r="O858">
        <v>2.33</v>
      </c>
      <c r="P858" s="2" t="s">
        <v>42</v>
      </c>
      <c r="Q858">
        <v>0</v>
      </c>
      <c r="R858">
        <v>69.95</v>
      </c>
      <c r="S858">
        <v>63.49</v>
      </c>
      <c r="T858">
        <v>6.46</v>
      </c>
      <c r="U858">
        <f t="shared" si="13"/>
        <v>0</v>
      </c>
    </row>
    <row r="859" spans="1:21" x14ac:dyDescent="0.25">
      <c r="A859" s="2" t="s">
        <v>1438</v>
      </c>
      <c r="B859" s="2" t="s">
        <v>1439</v>
      </c>
      <c r="C859" s="1">
        <v>45644</v>
      </c>
      <c r="D859" s="2" t="s">
        <v>45</v>
      </c>
      <c r="E859" s="2" t="s">
        <v>46</v>
      </c>
      <c r="F859" s="2" t="s">
        <v>40</v>
      </c>
      <c r="G859">
        <v>1</v>
      </c>
      <c r="H859" s="2" t="s">
        <v>77</v>
      </c>
      <c r="I859">
        <v>23.2</v>
      </c>
      <c r="J859">
        <v>10</v>
      </c>
      <c r="K859">
        <v>2.3199999999999998</v>
      </c>
      <c r="L859">
        <v>7.98</v>
      </c>
      <c r="M859">
        <v>6.77</v>
      </c>
      <c r="N859">
        <v>0</v>
      </c>
      <c r="O859">
        <v>0.91</v>
      </c>
      <c r="P859" s="2" t="s">
        <v>42</v>
      </c>
      <c r="Q859">
        <v>0</v>
      </c>
      <c r="R859">
        <v>20.88</v>
      </c>
      <c r="S859">
        <v>15.66</v>
      </c>
      <c r="T859">
        <v>5.22</v>
      </c>
      <c r="U859">
        <f t="shared" si="13"/>
        <v>1</v>
      </c>
    </row>
    <row r="860" spans="1:21" x14ac:dyDescent="0.25">
      <c r="A860" s="2" t="s">
        <v>1440</v>
      </c>
      <c r="B860" s="2" t="s">
        <v>658</v>
      </c>
      <c r="C860" s="1">
        <v>45472</v>
      </c>
      <c r="D860" s="2" t="s">
        <v>80</v>
      </c>
      <c r="E860" s="2" t="s">
        <v>46</v>
      </c>
      <c r="F860" s="2" t="s">
        <v>40</v>
      </c>
      <c r="G860">
        <v>1</v>
      </c>
      <c r="H860" s="2" t="s">
        <v>111</v>
      </c>
      <c r="I860">
        <v>105.44</v>
      </c>
      <c r="J860">
        <v>15</v>
      </c>
      <c r="K860">
        <v>15.82</v>
      </c>
      <c r="L860">
        <v>8.94</v>
      </c>
      <c r="M860">
        <v>42.07</v>
      </c>
      <c r="N860">
        <v>7.17</v>
      </c>
      <c r="O860">
        <v>2.9</v>
      </c>
      <c r="P860" s="2" t="s">
        <v>42</v>
      </c>
      <c r="Q860">
        <v>0</v>
      </c>
      <c r="R860">
        <v>89.62</v>
      </c>
      <c r="S860">
        <v>61.08</v>
      </c>
      <c r="T860">
        <v>28.54</v>
      </c>
      <c r="U860">
        <f t="shared" si="13"/>
        <v>0</v>
      </c>
    </row>
    <row r="861" spans="1:21" x14ac:dyDescent="0.25">
      <c r="A861" s="2" t="s">
        <v>1441</v>
      </c>
      <c r="B861" s="2" t="s">
        <v>386</v>
      </c>
      <c r="C861" s="1">
        <v>45630</v>
      </c>
      <c r="D861" s="2" t="s">
        <v>38</v>
      </c>
      <c r="E861" s="2" t="s">
        <v>46</v>
      </c>
      <c r="F861" s="2" t="s">
        <v>47</v>
      </c>
      <c r="G861">
        <v>2</v>
      </c>
      <c r="H861" s="2" t="s">
        <v>77</v>
      </c>
      <c r="I861">
        <v>240.88</v>
      </c>
      <c r="J861">
        <v>0</v>
      </c>
      <c r="K861">
        <v>0</v>
      </c>
      <c r="L861">
        <v>16.18</v>
      </c>
      <c r="M861">
        <v>82.78</v>
      </c>
      <c r="N861">
        <v>0</v>
      </c>
      <c r="O861">
        <v>7.29</v>
      </c>
      <c r="P861" s="2" t="s">
        <v>42</v>
      </c>
      <c r="Q861">
        <v>0</v>
      </c>
      <c r="R861">
        <v>240.88</v>
      </c>
      <c r="S861">
        <v>106.25</v>
      </c>
      <c r="T861">
        <v>134.63</v>
      </c>
      <c r="U861">
        <f t="shared" si="13"/>
        <v>0</v>
      </c>
    </row>
    <row r="862" spans="1:21" x14ac:dyDescent="0.25">
      <c r="A862" s="2" t="s">
        <v>1442</v>
      </c>
      <c r="B862" s="2" t="s">
        <v>1443</v>
      </c>
      <c r="C862" s="1">
        <v>45881</v>
      </c>
      <c r="D862" s="2" t="s">
        <v>38</v>
      </c>
      <c r="E862" s="2" t="s">
        <v>71</v>
      </c>
      <c r="F862" s="2" t="s">
        <v>85</v>
      </c>
      <c r="G862">
        <v>1</v>
      </c>
      <c r="H862" s="2" t="s">
        <v>41</v>
      </c>
      <c r="I862">
        <v>109.6</v>
      </c>
      <c r="J862">
        <v>0</v>
      </c>
      <c r="K862">
        <v>0</v>
      </c>
      <c r="L862">
        <v>11.58</v>
      </c>
      <c r="M862">
        <v>57.57</v>
      </c>
      <c r="N862">
        <v>0</v>
      </c>
      <c r="O862">
        <v>3.48</v>
      </c>
      <c r="P862" s="2" t="s">
        <v>42</v>
      </c>
      <c r="Q862">
        <v>0</v>
      </c>
      <c r="R862">
        <v>109.6</v>
      </c>
      <c r="S862">
        <v>72.63</v>
      </c>
      <c r="T862">
        <v>36.97</v>
      </c>
      <c r="U862">
        <f t="shared" si="13"/>
        <v>0</v>
      </c>
    </row>
    <row r="863" spans="1:21" x14ac:dyDescent="0.25">
      <c r="A863" s="2" t="s">
        <v>1444</v>
      </c>
      <c r="B863" s="2" t="s">
        <v>1445</v>
      </c>
      <c r="C863" s="1">
        <v>45402</v>
      </c>
      <c r="D863" s="2" t="s">
        <v>38</v>
      </c>
      <c r="E863" s="2" t="s">
        <v>46</v>
      </c>
      <c r="F863" s="2" t="s">
        <v>51</v>
      </c>
      <c r="G863">
        <v>2</v>
      </c>
      <c r="H863" s="2" t="s">
        <v>56</v>
      </c>
      <c r="I863">
        <v>72.7</v>
      </c>
      <c r="J863">
        <v>5</v>
      </c>
      <c r="K863">
        <v>3.63</v>
      </c>
      <c r="L863">
        <v>21.24</v>
      </c>
      <c r="M863">
        <v>31.63</v>
      </c>
      <c r="N863">
        <v>0</v>
      </c>
      <c r="O863">
        <v>2.2999999999999998</v>
      </c>
      <c r="P863" s="2" t="s">
        <v>42</v>
      </c>
      <c r="Q863">
        <v>0</v>
      </c>
      <c r="R863">
        <v>69.069999999999993</v>
      </c>
      <c r="S863">
        <v>55.17</v>
      </c>
      <c r="T863">
        <v>13.9</v>
      </c>
      <c r="U863">
        <f t="shared" si="13"/>
        <v>0</v>
      </c>
    </row>
    <row r="864" spans="1:21" x14ac:dyDescent="0.25">
      <c r="A864" s="2" t="s">
        <v>1446</v>
      </c>
      <c r="B864" s="2" t="s">
        <v>1447</v>
      </c>
      <c r="C864" s="1">
        <v>45945</v>
      </c>
      <c r="D864" s="2" t="s">
        <v>45</v>
      </c>
      <c r="E864" s="2" t="s">
        <v>71</v>
      </c>
      <c r="F864" s="2" t="s">
        <v>85</v>
      </c>
      <c r="G864">
        <v>1</v>
      </c>
      <c r="H864" s="2" t="s">
        <v>48</v>
      </c>
      <c r="I864">
        <v>61.44</v>
      </c>
      <c r="J864">
        <v>20</v>
      </c>
      <c r="K864">
        <v>12.29</v>
      </c>
      <c r="L864">
        <v>12.06</v>
      </c>
      <c r="M864">
        <v>19.8</v>
      </c>
      <c r="N864">
        <v>0</v>
      </c>
      <c r="O864">
        <v>1.73</v>
      </c>
      <c r="P864" s="2" t="s">
        <v>42</v>
      </c>
      <c r="Q864">
        <v>0</v>
      </c>
      <c r="R864">
        <v>49.15</v>
      </c>
      <c r="S864">
        <v>33.590000000000003</v>
      </c>
      <c r="T864">
        <v>15.56</v>
      </c>
      <c r="U864">
        <f t="shared" si="13"/>
        <v>0</v>
      </c>
    </row>
    <row r="865" spans="1:21" x14ac:dyDescent="0.25">
      <c r="A865" s="2" t="s">
        <v>1448</v>
      </c>
      <c r="B865" s="2" t="s">
        <v>1449</v>
      </c>
      <c r="C865" s="1">
        <v>45794</v>
      </c>
      <c r="D865" s="2" t="s">
        <v>45</v>
      </c>
      <c r="E865" s="2" t="s">
        <v>67</v>
      </c>
      <c r="F865" s="2" t="s">
        <v>47</v>
      </c>
      <c r="G865">
        <v>2</v>
      </c>
      <c r="H865" s="2" t="s">
        <v>56</v>
      </c>
      <c r="I865">
        <v>204.79</v>
      </c>
      <c r="J865">
        <v>5</v>
      </c>
      <c r="K865">
        <v>10.24</v>
      </c>
      <c r="L865">
        <v>49.82</v>
      </c>
      <c r="M865">
        <v>85.79</v>
      </c>
      <c r="N865">
        <v>0</v>
      </c>
      <c r="O865">
        <v>5.94</v>
      </c>
      <c r="P865" s="2" t="s">
        <v>42</v>
      </c>
      <c r="Q865">
        <v>0</v>
      </c>
      <c r="R865">
        <v>194.55</v>
      </c>
      <c r="S865">
        <v>141.55000000000001</v>
      </c>
      <c r="T865">
        <v>53</v>
      </c>
      <c r="U865">
        <f t="shared" si="13"/>
        <v>0</v>
      </c>
    </row>
    <row r="866" spans="1:21" x14ac:dyDescent="0.25">
      <c r="A866" s="2" t="s">
        <v>1450</v>
      </c>
      <c r="B866" s="2" t="s">
        <v>1451</v>
      </c>
      <c r="C866" s="1">
        <v>45869</v>
      </c>
      <c r="D866" s="2" t="s">
        <v>59</v>
      </c>
      <c r="E866" s="2" t="s">
        <v>46</v>
      </c>
      <c r="F866" s="2" t="s">
        <v>85</v>
      </c>
      <c r="G866">
        <v>1</v>
      </c>
      <c r="H866" s="2" t="s">
        <v>74</v>
      </c>
      <c r="I866">
        <v>57.92</v>
      </c>
      <c r="J866">
        <v>10</v>
      </c>
      <c r="K866">
        <v>5.79</v>
      </c>
      <c r="L866">
        <v>18.04</v>
      </c>
      <c r="M866">
        <v>16.600000000000001</v>
      </c>
      <c r="N866">
        <v>7.82</v>
      </c>
      <c r="O866">
        <v>1.81</v>
      </c>
      <c r="P866" s="2" t="s">
        <v>42</v>
      </c>
      <c r="Q866">
        <v>0</v>
      </c>
      <c r="R866">
        <v>52.13</v>
      </c>
      <c r="S866">
        <v>44.27</v>
      </c>
      <c r="T866">
        <v>7.86</v>
      </c>
      <c r="U866">
        <f t="shared" si="13"/>
        <v>0</v>
      </c>
    </row>
    <row r="867" spans="1:21" x14ac:dyDescent="0.25">
      <c r="A867" s="2" t="s">
        <v>1452</v>
      </c>
      <c r="B867" s="2" t="s">
        <v>954</v>
      </c>
      <c r="C867" s="1">
        <v>45811</v>
      </c>
      <c r="D867" s="2" t="s">
        <v>38</v>
      </c>
      <c r="E867" s="2" t="s">
        <v>46</v>
      </c>
      <c r="F867" s="2" t="s">
        <v>40</v>
      </c>
      <c r="G867">
        <v>3</v>
      </c>
      <c r="H867" s="2" t="s">
        <v>77</v>
      </c>
      <c r="I867">
        <v>442.18</v>
      </c>
      <c r="J867">
        <v>0</v>
      </c>
      <c r="K867">
        <v>0</v>
      </c>
      <c r="L867">
        <v>37.82</v>
      </c>
      <c r="M867">
        <v>152.28</v>
      </c>
      <c r="N867">
        <v>0</v>
      </c>
      <c r="O867">
        <v>13.12</v>
      </c>
      <c r="P867" s="2" t="s">
        <v>42</v>
      </c>
      <c r="Q867">
        <v>0</v>
      </c>
      <c r="R867">
        <v>442.18</v>
      </c>
      <c r="S867">
        <v>203.22</v>
      </c>
      <c r="T867">
        <v>238.96</v>
      </c>
      <c r="U867">
        <f t="shared" si="13"/>
        <v>0</v>
      </c>
    </row>
    <row r="868" spans="1:21" x14ac:dyDescent="0.25">
      <c r="A868" s="2" t="s">
        <v>1453</v>
      </c>
      <c r="B868" s="2" t="s">
        <v>1022</v>
      </c>
      <c r="C868" s="1">
        <v>45683</v>
      </c>
      <c r="D868" s="2" t="s">
        <v>38</v>
      </c>
      <c r="E868" s="2" t="s">
        <v>39</v>
      </c>
      <c r="F868" s="2" t="s">
        <v>51</v>
      </c>
      <c r="G868">
        <v>2</v>
      </c>
      <c r="H868" s="2" t="s">
        <v>52</v>
      </c>
      <c r="I868">
        <v>153.63999999999999</v>
      </c>
      <c r="J868">
        <v>0</v>
      </c>
      <c r="K868">
        <v>0</v>
      </c>
      <c r="L868">
        <v>17</v>
      </c>
      <c r="M868">
        <v>59.33</v>
      </c>
      <c r="N868">
        <v>0</v>
      </c>
      <c r="O868">
        <v>4.76</v>
      </c>
      <c r="P868" s="2" t="s">
        <v>42</v>
      </c>
      <c r="Q868">
        <v>0</v>
      </c>
      <c r="R868">
        <v>153.63999999999999</v>
      </c>
      <c r="S868">
        <v>81.09</v>
      </c>
      <c r="T868">
        <v>72.55</v>
      </c>
      <c r="U868">
        <f t="shared" si="13"/>
        <v>0</v>
      </c>
    </row>
    <row r="869" spans="1:21" x14ac:dyDescent="0.25">
      <c r="A869" s="2" t="s">
        <v>1454</v>
      </c>
      <c r="B869" s="2" t="s">
        <v>692</v>
      </c>
      <c r="C869" s="1">
        <v>45836</v>
      </c>
      <c r="D869" s="2" t="s">
        <v>38</v>
      </c>
      <c r="E869" s="2" t="s">
        <v>67</v>
      </c>
      <c r="F869" s="2" t="s">
        <v>47</v>
      </c>
      <c r="G869">
        <v>4</v>
      </c>
      <c r="H869" s="2" t="s">
        <v>41</v>
      </c>
      <c r="I869">
        <v>251.43</v>
      </c>
      <c r="J869">
        <v>15</v>
      </c>
      <c r="K869">
        <v>37.71</v>
      </c>
      <c r="L869">
        <v>38.78</v>
      </c>
      <c r="M869">
        <v>113.39</v>
      </c>
      <c r="N869">
        <v>0</v>
      </c>
      <c r="O869">
        <v>6.5</v>
      </c>
      <c r="P869" s="2" t="s">
        <v>42</v>
      </c>
      <c r="Q869">
        <v>0</v>
      </c>
      <c r="R869">
        <v>213.72</v>
      </c>
      <c r="S869">
        <v>158.66999999999999</v>
      </c>
      <c r="T869">
        <v>55.05</v>
      </c>
      <c r="U869">
        <f t="shared" si="13"/>
        <v>0</v>
      </c>
    </row>
    <row r="870" spans="1:21" x14ac:dyDescent="0.25">
      <c r="A870" s="2" t="s">
        <v>1455</v>
      </c>
      <c r="B870" s="2" t="s">
        <v>1456</v>
      </c>
      <c r="C870" s="1">
        <v>45684</v>
      </c>
      <c r="D870" s="2" t="s">
        <v>45</v>
      </c>
      <c r="E870" s="2" t="s">
        <v>67</v>
      </c>
      <c r="F870" s="2" t="s">
        <v>85</v>
      </c>
      <c r="G870">
        <v>1</v>
      </c>
      <c r="H870" s="2" t="s">
        <v>41</v>
      </c>
      <c r="I870">
        <v>137.96</v>
      </c>
      <c r="J870">
        <v>0</v>
      </c>
      <c r="K870">
        <v>0</v>
      </c>
      <c r="L870">
        <v>29.08</v>
      </c>
      <c r="M870">
        <v>50.78</v>
      </c>
      <c r="N870">
        <v>0</v>
      </c>
      <c r="O870">
        <v>4.3</v>
      </c>
      <c r="P870" s="2" t="s">
        <v>42</v>
      </c>
      <c r="Q870">
        <v>0</v>
      </c>
      <c r="R870">
        <v>137.96</v>
      </c>
      <c r="S870">
        <v>84.16</v>
      </c>
      <c r="T870">
        <v>53.8</v>
      </c>
      <c r="U870">
        <f t="shared" si="13"/>
        <v>0</v>
      </c>
    </row>
    <row r="871" spans="1:21" x14ac:dyDescent="0.25">
      <c r="A871" s="2" t="s">
        <v>1457</v>
      </c>
      <c r="B871" s="2" t="s">
        <v>1458</v>
      </c>
      <c r="C871" s="1">
        <v>45826</v>
      </c>
      <c r="D871" s="2" t="s">
        <v>45</v>
      </c>
      <c r="E871" s="2" t="s">
        <v>39</v>
      </c>
      <c r="F871" s="2" t="s">
        <v>85</v>
      </c>
      <c r="G871">
        <v>1</v>
      </c>
      <c r="H871" s="2" t="s">
        <v>48</v>
      </c>
      <c r="I871">
        <v>24.02</v>
      </c>
      <c r="J871">
        <v>5</v>
      </c>
      <c r="K871">
        <v>1.2</v>
      </c>
      <c r="L871">
        <v>3.98</v>
      </c>
      <c r="M871">
        <v>10.75</v>
      </c>
      <c r="N871">
        <v>0</v>
      </c>
      <c r="O871">
        <v>0.96</v>
      </c>
      <c r="P871" s="2" t="s">
        <v>42</v>
      </c>
      <c r="Q871">
        <v>0</v>
      </c>
      <c r="R871">
        <v>22.82</v>
      </c>
      <c r="S871">
        <v>15.69</v>
      </c>
      <c r="T871">
        <v>7.13</v>
      </c>
      <c r="U871">
        <f t="shared" si="13"/>
        <v>0</v>
      </c>
    </row>
    <row r="872" spans="1:21" x14ac:dyDescent="0.25">
      <c r="A872" s="2" t="s">
        <v>1459</v>
      </c>
      <c r="B872" s="2" t="s">
        <v>138</v>
      </c>
      <c r="C872" s="1">
        <v>45874</v>
      </c>
      <c r="D872" s="2" t="s">
        <v>45</v>
      </c>
      <c r="E872" s="2" t="s">
        <v>67</v>
      </c>
      <c r="F872" s="2" t="s">
        <v>51</v>
      </c>
      <c r="G872">
        <v>2</v>
      </c>
      <c r="H872" s="2" t="s">
        <v>41</v>
      </c>
      <c r="I872">
        <v>332.52</v>
      </c>
      <c r="J872">
        <v>25</v>
      </c>
      <c r="K872">
        <v>83.13</v>
      </c>
      <c r="L872">
        <v>29.86</v>
      </c>
      <c r="M872">
        <v>133.33000000000001</v>
      </c>
      <c r="N872">
        <v>0</v>
      </c>
      <c r="O872">
        <v>7.53</v>
      </c>
      <c r="P872" s="2" t="s">
        <v>42</v>
      </c>
      <c r="Q872">
        <v>0</v>
      </c>
      <c r="R872">
        <v>249.39</v>
      </c>
      <c r="S872">
        <v>170.72</v>
      </c>
      <c r="T872">
        <v>78.67</v>
      </c>
      <c r="U872">
        <f t="shared" si="13"/>
        <v>0</v>
      </c>
    </row>
    <row r="873" spans="1:21" x14ac:dyDescent="0.25">
      <c r="A873" s="2" t="s">
        <v>1460</v>
      </c>
      <c r="B873" s="2" t="s">
        <v>1449</v>
      </c>
      <c r="C873" s="1">
        <v>45742</v>
      </c>
      <c r="D873" s="2" t="s">
        <v>38</v>
      </c>
      <c r="E873" s="2" t="s">
        <v>71</v>
      </c>
      <c r="F873" s="2" t="s">
        <v>51</v>
      </c>
      <c r="G873">
        <v>2</v>
      </c>
      <c r="H873" s="2" t="s">
        <v>77</v>
      </c>
      <c r="I873">
        <v>55</v>
      </c>
      <c r="J873">
        <v>20</v>
      </c>
      <c r="K873">
        <v>11</v>
      </c>
      <c r="L873">
        <v>59.18</v>
      </c>
      <c r="M873">
        <v>26.41</v>
      </c>
      <c r="N873">
        <v>0</v>
      </c>
      <c r="O873">
        <v>1.58</v>
      </c>
      <c r="P873" s="2" t="s">
        <v>42</v>
      </c>
      <c r="Q873">
        <v>0</v>
      </c>
      <c r="R873">
        <v>44</v>
      </c>
      <c r="S873">
        <v>87.17</v>
      </c>
      <c r="T873">
        <v>-43.17</v>
      </c>
      <c r="U873">
        <f t="shared" si="13"/>
        <v>0</v>
      </c>
    </row>
    <row r="874" spans="1:21" x14ac:dyDescent="0.25">
      <c r="A874" s="2" t="s">
        <v>1461</v>
      </c>
      <c r="B874" s="2" t="s">
        <v>715</v>
      </c>
      <c r="C874" s="1">
        <v>45871</v>
      </c>
      <c r="D874" s="2" t="s">
        <v>45</v>
      </c>
      <c r="E874" s="2" t="s">
        <v>55</v>
      </c>
      <c r="F874" s="2" t="s">
        <v>94</v>
      </c>
      <c r="G874">
        <v>1</v>
      </c>
      <c r="H874" s="2" t="s">
        <v>77</v>
      </c>
      <c r="I874">
        <v>57.93</v>
      </c>
      <c r="J874">
        <v>0</v>
      </c>
      <c r="K874">
        <v>0</v>
      </c>
      <c r="L874">
        <v>17.7</v>
      </c>
      <c r="M874">
        <v>18.690000000000001</v>
      </c>
      <c r="N874">
        <v>0</v>
      </c>
      <c r="O874">
        <v>1.98</v>
      </c>
      <c r="P874" s="2" t="s">
        <v>68</v>
      </c>
      <c r="Q874">
        <v>57.93</v>
      </c>
      <c r="R874">
        <v>0</v>
      </c>
      <c r="S874">
        <v>38.369999999999997</v>
      </c>
      <c r="T874">
        <v>-38.369999999999997</v>
      </c>
      <c r="U874">
        <f t="shared" si="13"/>
        <v>0</v>
      </c>
    </row>
    <row r="875" spans="1:21" x14ac:dyDescent="0.25">
      <c r="A875" s="2" t="s">
        <v>1462</v>
      </c>
      <c r="B875" s="2" t="s">
        <v>520</v>
      </c>
      <c r="C875" s="1">
        <v>45940</v>
      </c>
      <c r="D875" s="2" t="s">
        <v>45</v>
      </c>
      <c r="E875" s="2" t="s">
        <v>71</v>
      </c>
      <c r="F875" s="2" t="s">
        <v>94</v>
      </c>
      <c r="G875">
        <v>4</v>
      </c>
      <c r="H875" s="2" t="s">
        <v>41</v>
      </c>
      <c r="I875">
        <v>248.84</v>
      </c>
      <c r="J875">
        <v>0</v>
      </c>
      <c r="K875">
        <v>0</v>
      </c>
      <c r="L875">
        <v>46.88</v>
      </c>
      <c r="M875">
        <v>122.24</v>
      </c>
      <c r="N875">
        <v>0</v>
      </c>
      <c r="O875">
        <v>7.52</v>
      </c>
      <c r="P875" s="2" t="s">
        <v>42</v>
      </c>
      <c r="Q875">
        <v>0</v>
      </c>
      <c r="R875">
        <v>248.84</v>
      </c>
      <c r="S875">
        <v>176.64</v>
      </c>
      <c r="T875">
        <v>72.2</v>
      </c>
      <c r="U875">
        <f t="shared" si="13"/>
        <v>0</v>
      </c>
    </row>
    <row r="876" spans="1:21" x14ac:dyDescent="0.25">
      <c r="A876" s="2" t="s">
        <v>1463</v>
      </c>
      <c r="B876" s="2" t="s">
        <v>880</v>
      </c>
      <c r="C876" s="1">
        <v>45557</v>
      </c>
      <c r="D876" s="2" t="s">
        <v>45</v>
      </c>
      <c r="E876" s="2" t="s">
        <v>71</v>
      </c>
      <c r="F876" s="2" t="s">
        <v>40</v>
      </c>
      <c r="G876">
        <v>1</v>
      </c>
      <c r="H876" s="2" t="s">
        <v>64</v>
      </c>
      <c r="I876">
        <v>24.88</v>
      </c>
      <c r="J876">
        <v>5</v>
      </c>
      <c r="K876">
        <v>1.24</v>
      </c>
      <c r="L876">
        <v>7.02</v>
      </c>
      <c r="M876">
        <v>13.77</v>
      </c>
      <c r="N876">
        <v>0</v>
      </c>
      <c r="O876">
        <v>0.99</v>
      </c>
      <c r="P876" s="2" t="s">
        <v>42</v>
      </c>
      <c r="Q876">
        <v>0</v>
      </c>
      <c r="R876">
        <v>23.64</v>
      </c>
      <c r="S876">
        <v>21.78</v>
      </c>
      <c r="T876">
        <v>1.86</v>
      </c>
      <c r="U876">
        <f t="shared" si="13"/>
        <v>1</v>
      </c>
    </row>
    <row r="877" spans="1:21" x14ac:dyDescent="0.25">
      <c r="A877" s="2" t="s">
        <v>1464</v>
      </c>
      <c r="B877" s="2" t="s">
        <v>801</v>
      </c>
      <c r="C877" s="1">
        <v>45483</v>
      </c>
      <c r="D877" s="2" t="s">
        <v>59</v>
      </c>
      <c r="E877" s="2" t="s">
        <v>71</v>
      </c>
      <c r="F877" s="2" t="s">
        <v>47</v>
      </c>
      <c r="G877">
        <v>1</v>
      </c>
      <c r="H877" s="2" t="s">
        <v>41</v>
      </c>
      <c r="I877">
        <v>78.790000000000006</v>
      </c>
      <c r="J877">
        <v>0</v>
      </c>
      <c r="K877">
        <v>0</v>
      </c>
      <c r="L877">
        <v>13.5</v>
      </c>
      <c r="M877">
        <v>31.36</v>
      </c>
      <c r="N877">
        <v>11.82</v>
      </c>
      <c r="O877">
        <v>2.58</v>
      </c>
      <c r="P877" s="2" t="s">
        <v>42</v>
      </c>
      <c r="Q877">
        <v>0</v>
      </c>
      <c r="R877">
        <v>78.790000000000006</v>
      </c>
      <c r="S877">
        <v>59.26</v>
      </c>
      <c r="T877">
        <v>19.53</v>
      </c>
      <c r="U877">
        <f t="shared" si="13"/>
        <v>0</v>
      </c>
    </row>
    <row r="878" spans="1:21" x14ac:dyDescent="0.25">
      <c r="A878" s="2" t="s">
        <v>1465</v>
      </c>
      <c r="B878" s="2" t="s">
        <v>1057</v>
      </c>
      <c r="C878" s="1">
        <v>45560</v>
      </c>
      <c r="D878" s="2" t="s">
        <v>59</v>
      </c>
      <c r="E878" s="2" t="s">
        <v>46</v>
      </c>
      <c r="F878" s="2" t="s">
        <v>94</v>
      </c>
      <c r="G878">
        <v>3</v>
      </c>
      <c r="H878" s="2" t="s">
        <v>56</v>
      </c>
      <c r="I878">
        <v>298.52999999999997</v>
      </c>
      <c r="J878">
        <v>25</v>
      </c>
      <c r="K878">
        <v>74.63</v>
      </c>
      <c r="L878">
        <v>63.38</v>
      </c>
      <c r="M878">
        <v>137.16999999999999</v>
      </c>
      <c r="N878">
        <v>33.58</v>
      </c>
      <c r="O878">
        <v>6.79</v>
      </c>
      <c r="P878" s="2" t="s">
        <v>42</v>
      </c>
      <c r="Q878">
        <v>0</v>
      </c>
      <c r="R878">
        <v>223.9</v>
      </c>
      <c r="S878">
        <v>240.92</v>
      </c>
      <c r="T878">
        <v>-17.02</v>
      </c>
      <c r="U878">
        <f t="shared" si="13"/>
        <v>0</v>
      </c>
    </row>
    <row r="879" spans="1:21" x14ac:dyDescent="0.25">
      <c r="A879" s="2" t="s">
        <v>1466</v>
      </c>
      <c r="B879" s="2" t="s">
        <v>93</v>
      </c>
      <c r="C879" s="1">
        <v>45949</v>
      </c>
      <c r="D879" s="2" t="s">
        <v>59</v>
      </c>
      <c r="E879" s="2" t="s">
        <v>55</v>
      </c>
      <c r="F879" s="2" t="s">
        <v>47</v>
      </c>
      <c r="G879">
        <v>3</v>
      </c>
      <c r="H879" s="2" t="s">
        <v>41</v>
      </c>
      <c r="I879">
        <v>120.07</v>
      </c>
      <c r="J879">
        <v>0</v>
      </c>
      <c r="K879">
        <v>0</v>
      </c>
      <c r="L879">
        <v>52.64</v>
      </c>
      <c r="M879">
        <v>49.58</v>
      </c>
      <c r="N879">
        <v>18.010000000000002</v>
      </c>
      <c r="O879">
        <v>3.78</v>
      </c>
      <c r="P879" s="2" t="s">
        <v>42</v>
      </c>
      <c r="Q879">
        <v>0</v>
      </c>
      <c r="R879">
        <v>120.07</v>
      </c>
      <c r="S879">
        <v>124.01</v>
      </c>
      <c r="T879">
        <v>-3.94</v>
      </c>
      <c r="U879">
        <f t="shared" si="13"/>
        <v>0</v>
      </c>
    </row>
    <row r="880" spans="1:21" x14ac:dyDescent="0.25">
      <c r="A880" s="2" t="s">
        <v>1467</v>
      </c>
      <c r="B880" s="2" t="s">
        <v>1468</v>
      </c>
      <c r="C880" s="1">
        <v>45843</v>
      </c>
      <c r="D880" s="2" t="s">
        <v>45</v>
      </c>
      <c r="E880" s="2" t="s">
        <v>39</v>
      </c>
      <c r="F880" s="2" t="s">
        <v>47</v>
      </c>
      <c r="G880">
        <v>3</v>
      </c>
      <c r="H880" s="2" t="s">
        <v>56</v>
      </c>
      <c r="I880">
        <v>178.51</v>
      </c>
      <c r="J880">
        <v>0</v>
      </c>
      <c r="K880">
        <v>0</v>
      </c>
      <c r="L880">
        <v>49.48</v>
      </c>
      <c r="M880">
        <v>57.63</v>
      </c>
      <c r="N880">
        <v>0</v>
      </c>
      <c r="O880">
        <v>5.48</v>
      </c>
      <c r="P880" s="2" t="s">
        <v>42</v>
      </c>
      <c r="Q880">
        <v>0</v>
      </c>
      <c r="R880">
        <v>178.51</v>
      </c>
      <c r="S880">
        <v>112.59</v>
      </c>
      <c r="T880">
        <v>65.92</v>
      </c>
      <c r="U880">
        <f t="shared" si="13"/>
        <v>0</v>
      </c>
    </row>
    <row r="881" spans="1:21" x14ac:dyDescent="0.25">
      <c r="A881" s="2" t="s">
        <v>1469</v>
      </c>
      <c r="B881" s="2" t="s">
        <v>821</v>
      </c>
      <c r="C881" s="1">
        <v>45938</v>
      </c>
      <c r="D881" s="2" t="s">
        <v>38</v>
      </c>
      <c r="E881" s="2" t="s">
        <v>46</v>
      </c>
      <c r="F881" s="2" t="s">
        <v>85</v>
      </c>
      <c r="G881">
        <v>2</v>
      </c>
      <c r="H881" s="2" t="s">
        <v>111</v>
      </c>
      <c r="I881">
        <v>101.64</v>
      </c>
      <c r="J881">
        <v>0</v>
      </c>
      <c r="K881">
        <v>0</v>
      </c>
      <c r="L881">
        <v>21.36</v>
      </c>
      <c r="M881">
        <v>53.46</v>
      </c>
      <c r="N881">
        <v>0</v>
      </c>
      <c r="O881">
        <v>3.25</v>
      </c>
      <c r="P881" s="2" t="s">
        <v>42</v>
      </c>
      <c r="Q881">
        <v>0</v>
      </c>
      <c r="R881">
        <v>101.64</v>
      </c>
      <c r="S881">
        <v>78.069999999999993</v>
      </c>
      <c r="T881">
        <v>23.57</v>
      </c>
      <c r="U881">
        <f t="shared" si="13"/>
        <v>0</v>
      </c>
    </row>
    <row r="882" spans="1:21" x14ac:dyDescent="0.25">
      <c r="A882" s="2" t="s">
        <v>1470</v>
      </c>
      <c r="B882" s="2" t="s">
        <v>1271</v>
      </c>
      <c r="C882" s="1">
        <v>45562</v>
      </c>
      <c r="D882" s="2" t="s">
        <v>38</v>
      </c>
      <c r="E882" s="2" t="s">
        <v>71</v>
      </c>
      <c r="F882" s="2" t="s">
        <v>94</v>
      </c>
      <c r="G882">
        <v>1</v>
      </c>
      <c r="H882" s="2" t="s">
        <v>52</v>
      </c>
      <c r="I882">
        <v>57.29</v>
      </c>
      <c r="J882">
        <v>15</v>
      </c>
      <c r="K882">
        <v>8.59</v>
      </c>
      <c r="L882">
        <v>13.18</v>
      </c>
      <c r="M882">
        <v>20.72</v>
      </c>
      <c r="N882">
        <v>0</v>
      </c>
      <c r="O882">
        <v>1.71</v>
      </c>
      <c r="P882" s="2" t="s">
        <v>42</v>
      </c>
      <c r="Q882">
        <v>0</v>
      </c>
      <c r="R882">
        <v>48.7</v>
      </c>
      <c r="S882">
        <v>35.61</v>
      </c>
      <c r="T882">
        <v>13.09</v>
      </c>
      <c r="U882">
        <f t="shared" si="13"/>
        <v>0</v>
      </c>
    </row>
    <row r="883" spans="1:21" x14ac:dyDescent="0.25">
      <c r="A883" s="2" t="s">
        <v>1471</v>
      </c>
      <c r="B883" s="2" t="s">
        <v>143</v>
      </c>
      <c r="C883" s="1">
        <v>45705</v>
      </c>
      <c r="D883" s="2" t="s">
        <v>38</v>
      </c>
      <c r="E883" s="2" t="s">
        <v>46</v>
      </c>
      <c r="F883" s="2" t="s">
        <v>47</v>
      </c>
      <c r="G883">
        <v>3</v>
      </c>
      <c r="H883" s="2" t="s">
        <v>41</v>
      </c>
      <c r="I883">
        <v>649.02</v>
      </c>
      <c r="J883">
        <v>0</v>
      </c>
      <c r="K883">
        <v>0</v>
      </c>
      <c r="L883">
        <v>46.78</v>
      </c>
      <c r="M883">
        <v>228.34</v>
      </c>
      <c r="N883">
        <v>0</v>
      </c>
      <c r="O883">
        <v>19.12</v>
      </c>
      <c r="P883" s="2" t="s">
        <v>42</v>
      </c>
      <c r="Q883">
        <v>0</v>
      </c>
      <c r="R883">
        <v>649.02</v>
      </c>
      <c r="S883">
        <v>294.24</v>
      </c>
      <c r="T883">
        <v>354.78</v>
      </c>
      <c r="U883">
        <f t="shared" si="13"/>
        <v>0</v>
      </c>
    </row>
    <row r="884" spans="1:21" x14ac:dyDescent="0.25">
      <c r="A884" s="2" t="s">
        <v>1472</v>
      </c>
      <c r="B884" s="2" t="s">
        <v>1473</v>
      </c>
      <c r="C884" s="1">
        <v>45777</v>
      </c>
      <c r="D884" s="2" t="s">
        <v>45</v>
      </c>
      <c r="E884" s="2" t="s">
        <v>46</v>
      </c>
      <c r="F884" s="2" t="s">
        <v>40</v>
      </c>
      <c r="G884">
        <v>1</v>
      </c>
      <c r="H884" s="2" t="s">
        <v>64</v>
      </c>
      <c r="I884">
        <v>89.1</v>
      </c>
      <c r="J884">
        <v>10</v>
      </c>
      <c r="K884">
        <v>8.91</v>
      </c>
      <c r="L884">
        <v>6.78</v>
      </c>
      <c r="M884">
        <v>32.549999999999997</v>
      </c>
      <c r="N884">
        <v>0</v>
      </c>
      <c r="O884">
        <v>2.63</v>
      </c>
      <c r="P884" s="2" t="s">
        <v>42</v>
      </c>
      <c r="Q884">
        <v>0</v>
      </c>
      <c r="R884">
        <v>80.19</v>
      </c>
      <c r="S884">
        <v>41.96</v>
      </c>
      <c r="T884">
        <v>38.229999999999997</v>
      </c>
      <c r="U884">
        <f t="shared" si="13"/>
        <v>0</v>
      </c>
    </row>
    <row r="885" spans="1:21" x14ac:dyDescent="0.25">
      <c r="A885" s="2" t="s">
        <v>1474</v>
      </c>
      <c r="B885" s="2" t="s">
        <v>760</v>
      </c>
      <c r="C885" s="1">
        <v>45751</v>
      </c>
      <c r="D885" s="2" t="s">
        <v>45</v>
      </c>
      <c r="E885" s="2" t="s">
        <v>46</v>
      </c>
      <c r="F885" s="2" t="s">
        <v>47</v>
      </c>
      <c r="G885">
        <v>2</v>
      </c>
      <c r="H885" s="2" t="s">
        <v>56</v>
      </c>
      <c r="I885">
        <v>207.42</v>
      </c>
      <c r="J885">
        <v>5</v>
      </c>
      <c r="K885">
        <v>10.37</v>
      </c>
      <c r="L885">
        <v>25.84</v>
      </c>
      <c r="M885">
        <v>96.19</v>
      </c>
      <c r="N885">
        <v>0</v>
      </c>
      <c r="O885">
        <v>6.01</v>
      </c>
      <c r="P885" s="2" t="s">
        <v>42</v>
      </c>
      <c r="Q885">
        <v>0</v>
      </c>
      <c r="R885">
        <v>197.05</v>
      </c>
      <c r="S885">
        <v>128.04</v>
      </c>
      <c r="T885">
        <v>69.010000000000005</v>
      </c>
      <c r="U885">
        <f t="shared" si="13"/>
        <v>0</v>
      </c>
    </row>
    <row r="886" spans="1:21" x14ac:dyDescent="0.25">
      <c r="A886" s="2" t="s">
        <v>1475</v>
      </c>
      <c r="B886" s="2" t="s">
        <v>1223</v>
      </c>
      <c r="C886" s="1">
        <v>45809</v>
      </c>
      <c r="D886" s="2" t="s">
        <v>45</v>
      </c>
      <c r="E886" s="2" t="s">
        <v>46</v>
      </c>
      <c r="F886" s="2" t="s">
        <v>40</v>
      </c>
      <c r="G886">
        <v>2</v>
      </c>
      <c r="H886" s="2" t="s">
        <v>111</v>
      </c>
      <c r="I886">
        <v>41.7</v>
      </c>
      <c r="J886">
        <v>0</v>
      </c>
      <c r="K886">
        <v>0</v>
      </c>
      <c r="L886">
        <v>26.36</v>
      </c>
      <c r="M886">
        <v>18.73</v>
      </c>
      <c r="N886">
        <v>0</v>
      </c>
      <c r="O886">
        <v>1.51</v>
      </c>
      <c r="P886" s="2" t="s">
        <v>42</v>
      </c>
      <c r="Q886">
        <v>0</v>
      </c>
      <c r="R886">
        <v>41.7</v>
      </c>
      <c r="S886">
        <v>46.6</v>
      </c>
      <c r="T886">
        <v>-4.9000000000000004</v>
      </c>
      <c r="U886">
        <f t="shared" si="13"/>
        <v>0</v>
      </c>
    </row>
    <row r="887" spans="1:21" x14ac:dyDescent="0.25">
      <c r="A887" s="2" t="s">
        <v>1476</v>
      </c>
      <c r="B887" s="2" t="s">
        <v>1477</v>
      </c>
      <c r="C887" s="1">
        <v>45686</v>
      </c>
      <c r="D887" s="2" t="s">
        <v>45</v>
      </c>
      <c r="E887" s="2" t="s">
        <v>55</v>
      </c>
      <c r="F887" s="2" t="s">
        <v>51</v>
      </c>
      <c r="G887">
        <v>1</v>
      </c>
      <c r="H887" s="2" t="s">
        <v>64</v>
      </c>
      <c r="I887">
        <v>93.89</v>
      </c>
      <c r="J887">
        <v>10</v>
      </c>
      <c r="K887">
        <v>9.39</v>
      </c>
      <c r="L887">
        <v>6.14</v>
      </c>
      <c r="M887">
        <v>32.81</v>
      </c>
      <c r="N887">
        <v>0</v>
      </c>
      <c r="O887">
        <v>2.75</v>
      </c>
      <c r="P887" s="2" t="s">
        <v>42</v>
      </c>
      <c r="Q887">
        <v>0</v>
      </c>
      <c r="R887">
        <v>84.5</v>
      </c>
      <c r="S887">
        <v>41.7</v>
      </c>
      <c r="T887">
        <v>42.8</v>
      </c>
      <c r="U887">
        <f t="shared" si="13"/>
        <v>0</v>
      </c>
    </row>
    <row r="888" spans="1:21" x14ac:dyDescent="0.25">
      <c r="A888" s="2" t="s">
        <v>1478</v>
      </c>
      <c r="B888" s="2" t="s">
        <v>924</v>
      </c>
      <c r="C888" s="1">
        <v>45743</v>
      </c>
      <c r="D888" s="2" t="s">
        <v>38</v>
      </c>
      <c r="E888" s="2" t="s">
        <v>46</v>
      </c>
      <c r="F888" s="2" t="s">
        <v>40</v>
      </c>
      <c r="G888">
        <v>4</v>
      </c>
      <c r="H888" s="2" t="s">
        <v>48</v>
      </c>
      <c r="I888">
        <v>256.18</v>
      </c>
      <c r="J888">
        <v>15</v>
      </c>
      <c r="K888">
        <v>38.43</v>
      </c>
      <c r="L888">
        <v>42.8</v>
      </c>
      <c r="M888">
        <v>80.84</v>
      </c>
      <c r="N888">
        <v>0</v>
      </c>
      <c r="O888">
        <v>6.61</v>
      </c>
      <c r="P888" s="2" t="s">
        <v>42</v>
      </c>
      <c r="Q888">
        <v>0</v>
      </c>
      <c r="R888">
        <v>217.75</v>
      </c>
      <c r="S888">
        <v>130.25</v>
      </c>
      <c r="T888">
        <v>87.5</v>
      </c>
      <c r="U888">
        <f t="shared" si="13"/>
        <v>0</v>
      </c>
    </row>
    <row r="889" spans="1:21" x14ac:dyDescent="0.25">
      <c r="A889" s="2" t="s">
        <v>1479</v>
      </c>
      <c r="B889" s="2" t="s">
        <v>534</v>
      </c>
      <c r="C889" s="1">
        <v>45893</v>
      </c>
      <c r="D889" s="2" t="s">
        <v>38</v>
      </c>
      <c r="E889" s="2" t="s">
        <v>55</v>
      </c>
      <c r="F889" s="2" t="s">
        <v>94</v>
      </c>
      <c r="G889">
        <v>1</v>
      </c>
      <c r="H889" s="2" t="s">
        <v>52</v>
      </c>
      <c r="I889">
        <v>93.6</v>
      </c>
      <c r="J889">
        <v>0</v>
      </c>
      <c r="K889">
        <v>0</v>
      </c>
      <c r="L889">
        <v>19.8</v>
      </c>
      <c r="M889">
        <v>38.42</v>
      </c>
      <c r="N889">
        <v>0</v>
      </c>
      <c r="O889">
        <v>3.01</v>
      </c>
      <c r="P889" s="2" t="s">
        <v>68</v>
      </c>
      <c r="Q889">
        <v>93.6</v>
      </c>
      <c r="R889">
        <v>0</v>
      </c>
      <c r="S889">
        <v>61.23</v>
      </c>
      <c r="T889">
        <v>-61.23</v>
      </c>
      <c r="U889">
        <f t="shared" si="13"/>
        <v>0</v>
      </c>
    </row>
    <row r="890" spans="1:21" x14ac:dyDescent="0.25">
      <c r="A890" s="2" t="s">
        <v>1480</v>
      </c>
      <c r="B890" s="2" t="s">
        <v>536</v>
      </c>
      <c r="C890" s="1">
        <v>45772</v>
      </c>
      <c r="D890" s="2" t="s">
        <v>38</v>
      </c>
      <c r="E890" s="2" t="s">
        <v>67</v>
      </c>
      <c r="F890" s="2" t="s">
        <v>40</v>
      </c>
      <c r="G890">
        <v>1</v>
      </c>
      <c r="H890" s="2" t="s">
        <v>64</v>
      </c>
      <c r="I890">
        <v>21.55</v>
      </c>
      <c r="J890">
        <v>0</v>
      </c>
      <c r="K890">
        <v>0</v>
      </c>
      <c r="L890">
        <v>15.1</v>
      </c>
      <c r="M890">
        <v>12.4</v>
      </c>
      <c r="N890">
        <v>0</v>
      </c>
      <c r="O890">
        <v>0.92</v>
      </c>
      <c r="P890" s="2" t="s">
        <v>42</v>
      </c>
      <c r="Q890">
        <v>0</v>
      </c>
      <c r="R890">
        <v>21.55</v>
      </c>
      <c r="S890">
        <v>28.42</v>
      </c>
      <c r="T890">
        <v>-6.87</v>
      </c>
      <c r="U890">
        <f t="shared" si="13"/>
        <v>0</v>
      </c>
    </row>
    <row r="891" spans="1:21" x14ac:dyDescent="0.25">
      <c r="A891" s="2" t="s">
        <v>1481</v>
      </c>
      <c r="B891" s="2" t="s">
        <v>351</v>
      </c>
      <c r="C891" s="1">
        <v>45599</v>
      </c>
      <c r="D891" s="2" t="s">
        <v>59</v>
      </c>
      <c r="E891" s="2" t="s">
        <v>71</v>
      </c>
      <c r="F891" s="2" t="s">
        <v>85</v>
      </c>
      <c r="G891">
        <v>1</v>
      </c>
      <c r="H891" s="2" t="s">
        <v>64</v>
      </c>
      <c r="I891">
        <v>37.86</v>
      </c>
      <c r="J891">
        <v>0</v>
      </c>
      <c r="K891">
        <v>0</v>
      </c>
      <c r="L891">
        <v>9.02</v>
      </c>
      <c r="M891">
        <v>26.84</v>
      </c>
      <c r="N891">
        <v>5.68</v>
      </c>
      <c r="O891">
        <v>1.4</v>
      </c>
      <c r="P891" s="2" t="s">
        <v>68</v>
      </c>
      <c r="Q891">
        <v>37.86</v>
      </c>
      <c r="R891">
        <v>0</v>
      </c>
      <c r="S891">
        <v>42.94</v>
      </c>
      <c r="T891">
        <v>-42.94</v>
      </c>
      <c r="U891">
        <f t="shared" si="13"/>
        <v>1</v>
      </c>
    </row>
    <row r="892" spans="1:21" x14ac:dyDescent="0.25">
      <c r="A892" s="2" t="s">
        <v>1482</v>
      </c>
      <c r="B892" s="2" t="s">
        <v>732</v>
      </c>
      <c r="C892" s="1">
        <v>45649</v>
      </c>
      <c r="D892" s="2" t="s">
        <v>38</v>
      </c>
      <c r="E892" s="2" t="s">
        <v>55</v>
      </c>
      <c r="F892" s="2" t="s">
        <v>40</v>
      </c>
      <c r="G892">
        <v>2</v>
      </c>
      <c r="H892" s="2" t="s">
        <v>56</v>
      </c>
      <c r="I892">
        <v>258.98</v>
      </c>
      <c r="J892">
        <v>10</v>
      </c>
      <c r="K892">
        <v>25.9</v>
      </c>
      <c r="L892">
        <v>58.86</v>
      </c>
      <c r="M892">
        <v>127.65</v>
      </c>
      <c r="N892">
        <v>0</v>
      </c>
      <c r="O892">
        <v>7.06</v>
      </c>
      <c r="P892" s="2" t="s">
        <v>42</v>
      </c>
      <c r="Q892">
        <v>0</v>
      </c>
      <c r="R892">
        <v>233.08</v>
      </c>
      <c r="S892">
        <v>193.57</v>
      </c>
      <c r="T892">
        <v>39.51</v>
      </c>
      <c r="U892">
        <f t="shared" si="13"/>
        <v>0</v>
      </c>
    </row>
    <row r="893" spans="1:21" x14ac:dyDescent="0.25">
      <c r="A893" s="2" t="s">
        <v>1483</v>
      </c>
      <c r="B893" s="2" t="s">
        <v>1484</v>
      </c>
      <c r="C893" s="1">
        <v>45583</v>
      </c>
      <c r="D893" s="2" t="s">
        <v>38</v>
      </c>
      <c r="E893" s="2" t="s">
        <v>46</v>
      </c>
      <c r="F893" s="2" t="s">
        <v>51</v>
      </c>
      <c r="G893">
        <v>1</v>
      </c>
      <c r="H893" s="2" t="s">
        <v>74</v>
      </c>
      <c r="I893">
        <v>54.32</v>
      </c>
      <c r="J893">
        <v>10</v>
      </c>
      <c r="K893">
        <v>5.43</v>
      </c>
      <c r="L893">
        <v>22.68</v>
      </c>
      <c r="M893">
        <v>27.28</v>
      </c>
      <c r="N893">
        <v>0</v>
      </c>
      <c r="O893">
        <v>1.72</v>
      </c>
      <c r="P893" s="2" t="s">
        <v>42</v>
      </c>
      <c r="Q893">
        <v>0</v>
      </c>
      <c r="R893">
        <v>48.89</v>
      </c>
      <c r="S893">
        <v>51.68</v>
      </c>
      <c r="T893">
        <v>-2.79</v>
      </c>
      <c r="U893">
        <f t="shared" si="13"/>
        <v>1</v>
      </c>
    </row>
    <row r="894" spans="1:21" x14ac:dyDescent="0.25">
      <c r="A894" s="2" t="s">
        <v>1485</v>
      </c>
      <c r="B894" s="2" t="s">
        <v>1486</v>
      </c>
      <c r="C894" s="1">
        <v>45756</v>
      </c>
      <c r="D894" s="2" t="s">
        <v>59</v>
      </c>
      <c r="E894" s="2" t="s">
        <v>71</v>
      </c>
      <c r="F894" s="2" t="s">
        <v>85</v>
      </c>
      <c r="G894">
        <v>2</v>
      </c>
      <c r="H894" s="2" t="s">
        <v>111</v>
      </c>
      <c r="I894">
        <v>81.36</v>
      </c>
      <c r="J894">
        <v>0</v>
      </c>
      <c r="K894">
        <v>0</v>
      </c>
      <c r="L894">
        <v>15</v>
      </c>
      <c r="M894">
        <v>32.67</v>
      </c>
      <c r="N894">
        <v>12.2</v>
      </c>
      <c r="O894">
        <v>2.66</v>
      </c>
      <c r="P894" s="2" t="s">
        <v>42</v>
      </c>
      <c r="Q894">
        <v>0</v>
      </c>
      <c r="R894">
        <v>81.36</v>
      </c>
      <c r="S894">
        <v>62.53</v>
      </c>
      <c r="T894">
        <v>18.829999999999998</v>
      </c>
      <c r="U894">
        <f t="shared" si="13"/>
        <v>0</v>
      </c>
    </row>
    <row r="895" spans="1:21" x14ac:dyDescent="0.25">
      <c r="A895" s="2" t="s">
        <v>1487</v>
      </c>
      <c r="B895" s="2" t="s">
        <v>404</v>
      </c>
      <c r="C895" s="1">
        <v>45872</v>
      </c>
      <c r="D895" s="2" t="s">
        <v>38</v>
      </c>
      <c r="E895" s="2" t="s">
        <v>71</v>
      </c>
      <c r="F895" s="2" t="s">
        <v>94</v>
      </c>
      <c r="G895">
        <v>2</v>
      </c>
      <c r="H895" s="2" t="s">
        <v>48</v>
      </c>
      <c r="I895">
        <v>54.82</v>
      </c>
      <c r="J895">
        <v>15</v>
      </c>
      <c r="K895">
        <v>8.2200000000000006</v>
      </c>
      <c r="L895">
        <v>24.84</v>
      </c>
      <c r="M895">
        <v>27.36</v>
      </c>
      <c r="N895">
        <v>0</v>
      </c>
      <c r="O895">
        <v>1.65</v>
      </c>
      <c r="P895" s="2" t="s">
        <v>42</v>
      </c>
      <c r="Q895">
        <v>0</v>
      </c>
      <c r="R895">
        <v>46.6</v>
      </c>
      <c r="S895">
        <v>53.85</v>
      </c>
      <c r="T895">
        <v>-7.25</v>
      </c>
      <c r="U895">
        <f t="shared" si="13"/>
        <v>0</v>
      </c>
    </row>
    <row r="896" spans="1:21" x14ac:dyDescent="0.25">
      <c r="A896" s="2" t="s">
        <v>1488</v>
      </c>
      <c r="B896" s="2" t="s">
        <v>161</v>
      </c>
      <c r="C896" s="1">
        <v>45961</v>
      </c>
      <c r="D896" s="2" t="s">
        <v>45</v>
      </c>
      <c r="E896" s="2" t="s">
        <v>46</v>
      </c>
      <c r="F896" s="2" t="s">
        <v>94</v>
      </c>
      <c r="G896">
        <v>4</v>
      </c>
      <c r="H896" s="2" t="s">
        <v>41</v>
      </c>
      <c r="I896">
        <v>387.59</v>
      </c>
      <c r="J896">
        <v>0</v>
      </c>
      <c r="K896">
        <v>0</v>
      </c>
      <c r="L896">
        <v>45.92</v>
      </c>
      <c r="M896">
        <v>138.61000000000001</v>
      </c>
      <c r="N896">
        <v>0</v>
      </c>
      <c r="O896">
        <v>11.54</v>
      </c>
      <c r="P896" s="2" t="s">
        <v>42</v>
      </c>
      <c r="Q896">
        <v>0</v>
      </c>
      <c r="R896">
        <v>387.59</v>
      </c>
      <c r="S896">
        <v>196.07</v>
      </c>
      <c r="T896">
        <v>191.52</v>
      </c>
      <c r="U896">
        <f t="shared" si="13"/>
        <v>0</v>
      </c>
    </row>
    <row r="897" spans="1:21" x14ac:dyDescent="0.25">
      <c r="A897" s="2" t="s">
        <v>1489</v>
      </c>
      <c r="B897" s="2" t="s">
        <v>1490</v>
      </c>
      <c r="C897" s="1">
        <v>45793</v>
      </c>
      <c r="D897" s="2" t="s">
        <v>45</v>
      </c>
      <c r="E897" s="2" t="s">
        <v>55</v>
      </c>
      <c r="F897" s="2" t="s">
        <v>94</v>
      </c>
      <c r="G897">
        <v>3</v>
      </c>
      <c r="H897" s="2" t="s">
        <v>111</v>
      </c>
      <c r="I897">
        <v>248.2</v>
      </c>
      <c r="J897">
        <v>0</v>
      </c>
      <c r="K897">
        <v>0</v>
      </c>
      <c r="L897">
        <v>53.82</v>
      </c>
      <c r="M897">
        <v>109.97</v>
      </c>
      <c r="N897">
        <v>0</v>
      </c>
      <c r="O897">
        <v>7.5</v>
      </c>
      <c r="P897" s="2" t="s">
        <v>42</v>
      </c>
      <c r="Q897">
        <v>0</v>
      </c>
      <c r="R897">
        <v>248.2</v>
      </c>
      <c r="S897">
        <v>171.29</v>
      </c>
      <c r="T897">
        <v>76.91</v>
      </c>
      <c r="U897">
        <f t="shared" si="13"/>
        <v>0</v>
      </c>
    </row>
    <row r="898" spans="1:21" x14ac:dyDescent="0.25">
      <c r="A898" s="2" t="s">
        <v>1491</v>
      </c>
      <c r="B898" s="2" t="s">
        <v>1377</v>
      </c>
      <c r="C898" s="1">
        <v>45824</v>
      </c>
      <c r="D898" s="2" t="s">
        <v>45</v>
      </c>
      <c r="E898" s="2" t="s">
        <v>46</v>
      </c>
      <c r="F898" s="2" t="s">
        <v>47</v>
      </c>
      <c r="G898">
        <v>1</v>
      </c>
      <c r="H898" s="2" t="s">
        <v>41</v>
      </c>
      <c r="I898">
        <v>236.37</v>
      </c>
      <c r="J898">
        <v>0</v>
      </c>
      <c r="K898">
        <v>0</v>
      </c>
      <c r="L898">
        <v>40.5</v>
      </c>
      <c r="M898">
        <v>94.08</v>
      </c>
      <c r="N898">
        <v>0</v>
      </c>
      <c r="O898">
        <v>7.15</v>
      </c>
      <c r="P898" s="2" t="s">
        <v>42</v>
      </c>
      <c r="Q898">
        <v>0</v>
      </c>
      <c r="R898">
        <v>236.37</v>
      </c>
      <c r="S898">
        <v>141.72999999999999</v>
      </c>
      <c r="T898">
        <v>94.64</v>
      </c>
      <c r="U898">
        <f t="shared" si="13"/>
        <v>0</v>
      </c>
    </row>
    <row r="899" spans="1:21" x14ac:dyDescent="0.25">
      <c r="A899" s="2" t="s">
        <v>1492</v>
      </c>
      <c r="B899" s="2" t="s">
        <v>217</v>
      </c>
      <c r="C899" s="1">
        <v>45880</v>
      </c>
      <c r="D899" s="2" t="s">
        <v>80</v>
      </c>
      <c r="E899" s="2" t="s">
        <v>67</v>
      </c>
      <c r="F899" s="2" t="s">
        <v>94</v>
      </c>
      <c r="G899">
        <v>2</v>
      </c>
      <c r="H899" s="2" t="s">
        <v>64</v>
      </c>
      <c r="I899">
        <v>50.72</v>
      </c>
      <c r="J899">
        <v>10</v>
      </c>
      <c r="K899">
        <v>5.07</v>
      </c>
      <c r="L899">
        <v>21.8</v>
      </c>
      <c r="M899">
        <v>23.66</v>
      </c>
      <c r="N899">
        <v>3.65</v>
      </c>
      <c r="O899">
        <v>1.62</v>
      </c>
      <c r="P899" s="2" t="s">
        <v>42</v>
      </c>
      <c r="Q899">
        <v>0</v>
      </c>
      <c r="R899">
        <v>45.65</v>
      </c>
      <c r="S899">
        <v>50.73</v>
      </c>
      <c r="T899">
        <v>-5.08</v>
      </c>
      <c r="U899">
        <f t="shared" si="13"/>
        <v>0</v>
      </c>
    </row>
    <row r="900" spans="1:21" x14ac:dyDescent="0.25">
      <c r="A900" s="2" t="s">
        <v>1493</v>
      </c>
      <c r="B900" s="2" t="s">
        <v>223</v>
      </c>
      <c r="C900" s="1">
        <v>45567</v>
      </c>
      <c r="D900" s="2" t="s">
        <v>38</v>
      </c>
      <c r="E900" s="2" t="s">
        <v>46</v>
      </c>
      <c r="F900" s="2" t="s">
        <v>85</v>
      </c>
      <c r="G900">
        <v>2</v>
      </c>
      <c r="H900" s="2" t="s">
        <v>41</v>
      </c>
      <c r="I900">
        <v>338.82</v>
      </c>
      <c r="J900">
        <v>0</v>
      </c>
      <c r="K900">
        <v>0</v>
      </c>
      <c r="L900">
        <v>34.08</v>
      </c>
      <c r="M900">
        <v>144.59</v>
      </c>
      <c r="N900">
        <v>0</v>
      </c>
      <c r="O900">
        <v>10.130000000000001</v>
      </c>
      <c r="P900" s="2" t="s">
        <v>42</v>
      </c>
      <c r="Q900">
        <v>0</v>
      </c>
      <c r="R900">
        <v>338.82</v>
      </c>
      <c r="S900">
        <v>188.8</v>
      </c>
      <c r="T900">
        <v>150.02000000000001</v>
      </c>
      <c r="U900">
        <f t="shared" si="13"/>
        <v>0</v>
      </c>
    </row>
    <row r="901" spans="1:21" x14ac:dyDescent="0.25">
      <c r="A901" s="2" t="s">
        <v>1494</v>
      </c>
      <c r="B901" s="2" t="s">
        <v>522</v>
      </c>
      <c r="C901" s="1">
        <v>45631</v>
      </c>
      <c r="D901" s="2" t="s">
        <v>45</v>
      </c>
      <c r="E901" s="2" t="s">
        <v>46</v>
      </c>
      <c r="F901" s="2" t="s">
        <v>85</v>
      </c>
      <c r="G901">
        <v>1</v>
      </c>
      <c r="H901" s="2" t="s">
        <v>64</v>
      </c>
      <c r="I901">
        <v>64.56</v>
      </c>
      <c r="J901">
        <v>5</v>
      </c>
      <c r="K901">
        <v>3.23</v>
      </c>
      <c r="L901">
        <v>4.8600000000000003</v>
      </c>
      <c r="M901">
        <v>32.67</v>
      </c>
      <c r="N901">
        <v>0</v>
      </c>
      <c r="O901">
        <v>2.08</v>
      </c>
      <c r="P901" s="2" t="s">
        <v>42</v>
      </c>
      <c r="Q901">
        <v>0</v>
      </c>
      <c r="R901">
        <v>61.33</v>
      </c>
      <c r="S901">
        <v>39.61</v>
      </c>
      <c r="T901">
        <v>21.72</v>
      </c>
      <c r="U901">
        <f t="shared" ref="U901:U964" si="14">IF(P899="Yes", 1, 0)</f>
        <v>0</v>
      </c>
    </row>
    <row r="902" spans="1:21" x14ac:dyDescent="0.25">
      <c r="A902" s="2" t="s">
        <v>1495</v>
      </c>
      <c r="B902" s="2" t="s">
        <v>1496</v>
      </c>
      <c r="C902" s="1">
        <v>45851</v>
      </c>
      <c r="D902" s="2" t="s">
        <v>38</v>
      </c>
      <c r="E902" s="2" t="s">
        <v>46</v>
      </c>
      <c r="F902" s="2" t="s">
        <v>51</v>
      </c>
      <c r="G902">
        <v>1</v>
      </c>
      <c r="H902" s="2" t="s">
        <v>56</v>
      </c>
      <c r="I902">
        <v>19.260000000000002</v>
      </c>
      <c r="J902">
        <v>15</v>
      </c>
      <c r="K902">
        <v>2.89</v>
      </c>
      <c r="L902">
        <v>5.26</v>
      </c>
      <c r="M902">
        <v>7.33</v>
      </c>
      <c r="N902">
        <v>0</v>
      </c>
      <c r="O902">
        <v>0.77</v>
      </c>
      <c r="P902" s="2" t="s">
        <v>68</v>
      </c>
      <c r="Q902">
        <v>16.37</v>
      </c>
      <c r="R902">
        <v>0</v>
      </c>
      <c r="S902">
        <v>13.36</v>
      </c>
      <c r="T902">
        <v>-13.36</v>
      </c>
      <c r="U902">
        <f t="shared" si="14"/>
        <v>0</v>
      </c>
    </row>
    <row r="903" spans="1:21" x14ac:dyDescent="0.25">
      <c r="A903" s="2" t="s">
        <v>1497</v>
      </c>
      <c r="B903" s="2" t="s">
        <v>392</v>
      </c>
      <c r="C903" s="1">
        <v>45987</v>
      </c>
      <c r="D903" s="2" t="s">
        <v>45</v>
      </c>
      <c r="E903" s="2" t="s">
        <v>46</v>
      </c>
      <c r="F903" s="2" t="s">
        <v>51</v>
      </c>
      <c r="G903">
        <v>2</v>
      </c>
      <c r="H903" s="2" t="s">
        <v>52</v>
      </c>
      <c r="I903">
        <v>184.13</v>
      </c>
      <c r="J903">
        <v>15</v>
      </c>
      <c r="K903">
        <v>27.62</v>
      </c>
      <c r="L903">
        <v>22.28</v>
      </c>
      <c r="M903">
        <v>56.37</v>
      </c>
      <c r="N903">
        <v>0</v>
      </c>
      <c r="O903">
        <v>4.84</v>
      </c>
      <c r="P903" s="2" t="s">
        <v>42</v>
      </c>
      <c r="Q903">
        <v>0</v>
      </c>
      <c r="R903">
        <v>156.51</v>
      </c>
      <c r="S903">
        <v>83.49</v>
      </c>
      <c r="T903">
        <v>73.02</v>
      </c>
      <c r="U903">
        <f t="shared" si="14"/>
        <v>0</v>
      </c>
    </row>
    <row r="904" spans="1:21" x14ac:dyDescent="0.25">
      <c r="A904" s="2" t="s">
        <v>1498</v>
      </c>
      <c r="B904" s="2" t="s">
        <v>836</v>
      </c>
      <c r="C904" s="1">
        <v>45634</v>
      </c>
      <c r="D904" s="2" t="s">
        <v>38</v>
      </c>
      <c r="E904" s="2" t="s">
        <v>55</v>
      </c>
      <c r="F904" s="2" t="s">
        <v>40</v>
      </c>
      <c r="G904">
        <v>3</v>
      </c>
      <c r="H904" s="2" t="s">
        <v>74</v>
      </c>
      <c r="I904">
        <v>217.53</v>
      </c>
      <c r="J904">
        <v>25</v>
      </c>
      <c r="K904">
        <v>54.38</v>
      </c>
      <c r="L904">
        <v>47.76</v>
      </c>
      <c r="M904">
        <v>78.540000000000006</v>
      </c>
      <c r="N904">
        <v>0</v>
      </c>
      <c r="O904">
        <v>5.03</v>
      </c>
      <c r="P904" s="2" t="s">
        <v>42</v>
      </c>
      <c r="Q904">
        <v>0</v>
      </c>
      <c r="R904">
        <v>163.15</v>
      </c>
      <c r="S904">
        <v>131.33000000000001</v>
      </c>
      <c r="T904">
        <v>31.82</v>
      </c>
      <c r="U904">
        <f t="shared" si="14"/>
        <v>1</v>
      </c>
    </row>
    <row r="905" spans="1:21" x14ac:dyDescent="0.25">
      <c r="A905" s="2" t="s">
        <v>1499</v>
      </c>
      <c r="B905" s="2" t="s">
        <v>299</v>
      </c>
      <c r="C905" s="1">
        <v>45940</v>
      </c>
      <c r="D905" s="2" t="s">
        <v>38</v>
      </c>
      <c r="E905" s="2" t="s">
        <v>46</v>
      </c>
      <c r="F905" s="2" t="s">
        <v>51</v>
      </c>
      <c r="G905">
        <v>1</v>
      </c>
      <c r="H905" s="2" t="s">
        <v>52</v>
      </c>
      <c r="I905">
        <v>114.58</v>
      </c>
      <c r="J905">
        <v>0</v>
      </c>
      <c r="K905">
        <v>0</v>
      </c>
      <c r="L905">
        <v>26.36</v>
      </c>
      <c r="M905">
        <v>41.44</v>
      </c>
      <c r="N905">
        <v>0</v>
      </c>
      <c r="O905">
        <v>3.62</v>
      </c>
      <c r="P905" s="2" t="s">
        <v>42</v>
      </c>
      <c r="Q905">
        <v>0</v>
      </c>
      <c r="R905">
        <v>114.58</v>
      </c>
      <c r="S905">
        <v>71.42</v>
      </c>
      <c r="T905">
        <v>43.16</v>
      </c>
      <c r="U905">
        <f t="shared" si="14"/>
        <v>0</v>
      </c>
    </row>
    <row r="906" spans="1:21" x14ac:dyDescent="0.25">
      <c r="A906" s="2" t="s">
        <v>1500</v>
      </c>
      <c r="B906" s="2" t="s">
        <v>1280</v>
      </c>
      <c r="C906" s="1">
        <v>45637</v>
      </c>
      <c r="D906" s="2" t="s">
        <v>38</v>
      </c>
      <c r="E906" s="2" t="s">
        <v>55</v>
      </c>
      <c r="F906" s="2" t="s">
        <v>94</v>
      </c>
      <c r="G906">
        <v>1</v>
      </c>
      <c r="H906" s="2" t="s">
        <v>74</v>
      </c>
      <c r="I906">
        <v>345.27</v>
      </c>
      <c r="J906">
        <v>0</v>
      </c>
      <c r="K906">
        <v>0</v>
      </c>
      <c r="L906">
        <v>24.66</v>
      </c>
      <c r="M906">
        <v>101.85</v>
      </c>
      <c r="N906">
        <v>0</v>
      </c>
      <c r="O906">
        <v>10.31</v>
      </c>
      <c r="P906" s="2" t="s">
        <v>68</v>
      </c>
      <c r="Q906">
        <v>345.27</v>
      </c>
      <c r="R906">
        <v>0</v>
      </c>
      <c r="S906">
        <v>136.82</v>
      </c>
      <c r="T906">
        <v>-136.82</v>
      </c>
      <c r="U906">
        <f t="shared" si="14"/>
        <v>0</v>
      </c>
    </row>
    <row r="907" spans="1:21" x14ac:dyDescent="0.25">
      <c r="A907" s="2" t="s">
        <v>1501</v>
      </c>
      <c r="B907" s="2" t="s">
        <v>1100</v>
      </c>
      <c r="C907" s="1">
        <v>45362</v>
      </c>
      <c r="D907" s="2" t="s">
        <v>59</v>
      </c>
      <c r="E907" s="2" t="s">
        <v>71</v>
      </c>
      <c r="F907" s="2" t="s">
        <v>94</v>
      </c>
      <c r="G907">
        <v>1</v>
      </c>
      <c r="H907" s="2" t="s">
        <v>48</v>
      </c>
      <c r="I907">
        <v>47.32</v>
      </c>
      <c r="J907">
        <v>10</v>
      </c>
      <c r="K907">
        <v>4.7300000000000004</v>
      </c>
      <c r="L907">
        <v>9.1</v>
      </c>
      <c r="M907">
        <v>20.94</v>
      </c>
      <c r="N907">
        <v>6.39</v>
      </c>
      <c r="O907">
        <v>1.54</v>
      </c>
      <c r="P907" s="2" t="s">
        <v>68</v>
      </c>
      <c r="Q907">
        <v>42.59</v>
      </c>
      <c r="R907">
        <v>0</v>
      </c>
      <c r="S907">
        <v>37.97</v>
      </c>
      <c r="T907">
        <v>-37.97</v>
      </c>
      <c r="U907">
        <f t="shared" si="14"/>
        <v>0</v>
      </c>
    </row>
    <row r="908" spans="1:21" x14ac:dyDescent="0.25">
      <c r="A908" s="2" t="s">
        <v>1502</v>
      </c>
      <c r="B908" s="2" t="s">
        <v>658</v>
      </c>
      <c r="C908" s="1">
        <v>45963</v>
      </c>
      <c r="D908" s="2" t="s">
        <v>38</v>
      </c>
      <c r="E908" s="2" t="s">
        <v>46</v>
      </c>
      <c r="F908" s="2" t="s">
        <v>94</v>
      </c>
      <c r="G908">
        <v>2</v>
      </c>
      <c r="H908" s="2" t="s">
        <v>41</v>
      </c>
      <c r="I908">
        <v>244.37</v>
      </c>
      <c r="J908">
        <v>5</v>
      </c>
      <c r="K908">
        <v>12.22</v>
      </c>
      <c r="L908">
        <v>19.16</v>
      </c>
      <c r="M908">
        <v>79.48</v>
      </c>
      <c r="N908">
        <v>0</v>
      </c>
      <c r="O908">
        <v>7.03</v>
      </c>
      <c r="P908" s="2" t="s">
        <v>68</v>
      </c>
      <c r="Q908">
        <v>232.15</v>
      </c>
      <c r="R908">
        <v>0</v>
      </c>
      <c r="S908">
        <v>105.67</v>
      </c>
      <c r="T908">
        <v>-105.67</v>
      </c>
      <c r="U908">
        <f t="shared" si="14"/>
        <v>1</v>
      </c>
    </row>
    <row r="909" spans="1:21" x14ac:dyDescent="0.25">
      <c r="A909" s="2" t="s">
        <v>1503</v>
      </c>
      <c r="B909" s="2" t="s">
        <v>453</v>
      </c>
      <c r="C909" s="1">
        <v>45472</v>
      </c>
      <c r="D909" s="2" t="s">
        <v>80</v>
      </c>
      <c r="E909" s="2" t="s">
        <v>55</v>
      </c>
      <c r="F909" s="2" t="s">
        <v>40</v>
      </c>
      <c r="G909">
        <v>3</v>
      </c>
      <c r="H909" s="2" t="s">
        <v>48</v>
      </c>
      <c r="I909">
        <v>150.43</v>
      </c>
      <c r="J909">
        <v>5</v>
      </c>
      <c r="K909">
        <v>7.52</v>
      </c>
      <c r="L909">
        <v>30.72</v>
      </c>
      <c r="M909">
        <v>80</v>
      </c>
      <c r="N909">
        <v>11.43</v>
      </c>
      <c r="O909">
        <v>4.4400000000000004</v>
      </c>
      <c r="P909" s="2" t="s">
        <v>42</v>
      </c>
      <c r="Q909">
        <v>0</v>
      </c>
      <c r="R909">
        <v>142.91</v>
      </c>
      <c r="S909">
        <v>126.59</v>
      </c>
      <c r="T909">
        <v>16.32</v>
      </c>
      <c r="U909">
        <f t="shared" si="14"/>
        <v>1</v>
      </c>
    </row>
    <row r="910" spans="1:21" x14ac:dyDescent="0.25">
      <c r="A910" s="2" t="s">
        <v>1504</v>
      </c>
      <c r="B910" s="2" t="s">
        <v>1141</v>
      </c>
      <c r="C910" s="1">
        <v>45586</v>
      </c>
      <c r="D910" s="2" t="s">
        <v>45</v>
      </c>
      <c r="E910" s="2" t="s">
        <v>71</v>
      </c>
      <c r="F910" s="2" t="s">
        <v>94</v>
      </c>
      <c r="G910">
        <v>1</v>
      </c>
      <c r="H910" s="2" t="s">
        <v>64</v>
      </c>
      <c r="I910">
        <v>27.32</v>
      </c>
      <c r="J910">
        <v>5</v>
      </c>
      <c r="K910">
        <v>1.37</v>
      </c>
      <c r="L910">
        <v>21.24</v>
      </c>
      <c r="M910">
        <v>9.3800000000000008</v>
      </c>
      <c r="N910">
        <v>0</v>
      </c>
      <c r="O910">
        <v>1.05</v>
      </c>
      <c r="P910" s="2" t="s">
        <v>42</v>
      </c>
      <c r="Q910">
        <v>0</v>
      </c>
      <c r="R910">
        <v>25.95</v>
      </c>
      <c r="S910">
        <v>31.67</v>
      </c>
      <c r="T910">
        <v>-5.72</v>
      </c>
      <c r="U910">
        <f t="shared" si="14"/>
        <v>1</v>
      </c>
    </row>
    <row r="911" spans="1:21" x14ac:dyDescent="0.25">
      <c r="A911" s="2" t="s">
        <v>1505</v>
      </c>
      <c r="B911" s="2" t="s">
        <v>1506</v>
      </c>
      <c r="C911" s="1">
        <v>45364</v>
      </c>
      <c r="D911" s="2" t="s">
        <v>38</v>
      </c>
      <c r="E911" s="2" t="s">
        <v>55</v>
      </c>
      <c r="F911" s="2" t="s">
        <v>47</v>
      </c>
      <c r="G911">
        <v>3</v>
      </c>
      <c r="H911" s="2" t="s">
        <v>64</v>
      </c>
      <c r="I911">
        <v>218.79</v>
      </c>
      <c r="J911">
        <v>10</v>
      </c>
      <c r="K911">
        <v>21.88</v>
      </c>
      <c r="L911">
        <v>19.38</v>
      </c>
      <c r="M911">
        <v>74</v>
      </c>
      <c r="N911">
        <v>0</v>
      </c>
      <c r="O911">
        <v>6.01</v>
      </c>
      <c r="P911" s="2" t="s">
        <v>42</v>
      </c>
      <c r="Q911">
        <v>0</v>
      </c>
      <c r="R911">
        <v>196.91</v>
      </c>
      <c r="S911">
        <v>99.39</v>
      </c>
      <c r="T911">
        <v>97.52</v>
      </c>
      <c r="U911">
        <f t="shared" si="14"/>
        <v>0</v>
      </c>
    </row>
    <row r="912" spans="1:21" x14ac:dyDescent="0.25">
      <c r="A912" s="2" t="s">
        <v>1507</v>
      </c>
      <c r="B912" s="2" t="s">
        <v>1508</v>
      </c>
      <c r="C912" s="1">
        <v>45671</v>
      </c>
      <c r="D912" s="2" t="s">
        <v>45</v>
      </c>
      <c r="E912" s="2" t="s">
        <v>46</v>
      </c>
      <c r="F912" s="2" t="s">
        <v>85</v>
      </c>
      <c r="G912">
        <v>1</v>
      </c>
      <c r="H912" s="2" t="s">
        <v>64</v>
      </c>
      <c r="I912">
        <v>40.89</v>
      </c>
      <c r="J912">
        <v>10</v>
      </c>
      <c r="K912">
        <v>4.09</v>
      </c>
      <c r="L912">
        <v>15.1</v>
      </c>
      <c r="M912">
        <v>16.21</v>
      </c>
      <c r="N912">
        <v>0</v>
      </c>
      <c r="O912">
        <v>1.37</v>
      </c>
      <c r="P912" s="2" t="s">
        <v>42</v>
      </c>
      <c r="Q912">
        <v>0</v>
      </c>
      <c r="R912">
        <v>36.799999999999997</v>
      </c>
      <c r="S912">
        <v>32.68</v>
      </c>
      <c r="T912">
        <v>4.12</v>
      </c>
      <c r="U912">
        <f t="shared" si="14"/>
        <v>0</v>
      </c>
    </row>
    <row r="913" spans="1:21" x14ac:dyDescent="0.25">
      <c r="A913" s="2" t="s">
        <v>1509</v>
      </c>
      <c r="B913" s="2" t="s">
        <v>1053</v>
      </c>
      <c r="C913" s="1">
        <v>45715</v>
      </c>
      <c r="D913" s="2" t="s">
        <v>59</v>
      </c>
      <c r="E913" s="2" t="s">
        <v>46</v>
      </c>
      <c r="F913" s="2" t="s">
        <v>94</v>
      </c>
      <c r="G913">
        <v>2</v>
      </c>
      <c r="H913" s="2" t="s">
        <v>77</v>
      </c>
      <c r="I913">
        <v>36.869999999999997</v>
      </c>
      <c r="J913">
        <v>0</v>
      </c>
      <c r="K913">
        <v>0</v>
      </c>
      <c r="L913">
        <v>16.36</v>
      </c>
      <c r="M913">
        <v>16.16</v>
      </c>
      <c r="N913">
        <v>5.53</v>
      </c>
      <c r="O913">
        <v>1.37</v>
      </c>
      <c r="P913" s="2" t="s">
        <v>42</v>
      </c>
      <c r="Q913">
        <v>0</v>
      </c>
      <c r="R913">
        <v>36.869999999999997</v>
      </c>
      <c r="S913">
        <v>39.42</v>
      </c>
      <c r="T913">
        <v>-2.5499999999999998</v>
      </c>
      <c r="U913">
        <f t="shared" si="14"/>
        <v>0</v>
      </c>
    </row>
    <row r="914" spans="1:21" x14ac:dyDescent="0.25">
      <c r="A914" s="2" t="s">
        <v>1510</v>
      </c>
      <c r="B914" s="2" t="s">
        <v>1511</v>
      </c>
      <c r="C914" s="1">
        <v>45763</v>
      </c>
      <c r="D914" s="2" t="s">
        <v>80</v>
      </c>
      <c r="E914" s="2" t="s">
        <v>46</v>
      </c>
      <c r="F914" s="2" t="s">
        <v>94</v>
      </c>
      <c r="G914">
        <v>1</v>
      </c>
      <c r="H914" s="2" t="s">
        <v>56</v>
      </c>
      <c r="I914">
        <v>19.260000000000002</v>
      </c>
      <c r="J914">
        <v>25</v>
      </c>
      <c r="K914">
        <v>4.82</v>
      </c>
      <c r="L914">
        <v>5.26</v>
      </c>
      <c r="M914">
        <v>7.33</v>
      </c>
      <c r="N914">
        <v>1.1599999999999999</v>
      </c>
      <c r="O914">
        <v>0.72</v>
      </c>
      <c r="P914" s="2" t="s">
        <v>42</v>
      </c>
      <c r="Q914">
        <v>0</v>
      </c>
      <c r="R914">
        <v>14.44</v>
      </c>
      <c r="S914">
        <v>14.47</v>
      </c>
      <c r="T914">
        <v>-0.03</v>
      </c>
      <c r="U914">
        <f t="shared" si="14"/>
        <v>0</v>
      </c>
    </row>
    <row r="915" spans="1:21" x14ac:dyDescent="0.25">
      <c r="A915" s="2" t="s">
        <v>1512</v>
      </c>
      <c r="B915" s="2" t="s">
        <v>1513</v>
      </c>
      <c r="C915" s="1">
        <v>45319</v>
      </c>
      <c r="D915" s="2" t="s">
        <v>45</v>
      </c>
      <c r="E915" s="2" t="s">
        <v>46</v>
      </c>
      <c r="F915" s="2" t="s">
        <v>94</v>
      </c>
      <c r="G915">
        <v>3</v>
      </c>
      <c r="H915" s="2" t="s">
        <v>41</v>
      </c>
      <c r="I915">
        <v>222.43</v>
      </c>
      <c r="J915">
        <v>0</v>
      </c>
      <c r="K915">
        <v>0</v>
      </c>
      <c r="L915">
        <v>49.82</v>
      </c>
      <c r="M915">
        <v>91.05</v>
      </c>
      <c r="N915">
        <v>0</v>
      </c>
      <c r="O915">
        <v>6.75</v>
      </c>
      <c r="P915" s="2" t="s">
        <v>42</v>
      </c>
      <c r="Q915">
        <v>0</v>
      </c>
      <c r="R915">
        <v>222.43</v>
      </c>
      <c r="S915">
        <v>147.62</v>
      </c>
      <c r="T915">
        <v>74.81</v>
      </c>
      <c r="U915">
        <f t="shared" si="14"/>
        <v>0</v>
      </c>
    </row>
    <row r="916" spans="1:21" x14ac:dyDescent="0.25">
      <c r="A916" s="2" t="s">
        <v>1514</v>
      </c>
      <c r="B916" s="2" t="s">
        <v>1515</v>
      </c>
      <c r="C916" s="1">
        <v>45980</v>
      </c>
      <c r="D916" s="2" t="s">
        <v>80</v>
      </c>
      <c r="E916" s="2" t="s">
        <v>46</v>
      </c>
      <c r="F916" s="2" t="s">
        <v>94</v>
      </c>
      <c r="G916">
        <v>2</v>
      </c>
      <c r="H916" s="2" t="s">
        <v>64</v>
      </c>
      <c r="I916">
        <v>178.24</v>
      </c>
      <c r="J916">
        <v>10</v>
      </c>
      <c r="K916">
        <v>17.82</v>
      </c>
      <c r="L916">
        <v>25.48</v>
      </c>
      <c r="M916">
        <v>59.17</v>
      </c>
      <c r="N916">
        <v>12.83</v>
      </c>
      <c r="O916">
        <v>4.95</v>
      </c>
      <c r="P916" s="2" t="s">
        <v>42</v>
      </c>
      <c r="Q916">
        <v>0</v>
      </c>
      <c r="R916">
        <v>160.41999999999999</v>
      </c>
      <c r="S916">
        <v>102.43</v>
      </c>
      <c r="T916">
        <v>57.99</v>
      </c>
      <c r="U916">
        <f t="shared" si="14"/>
        <v>0</v>
      </c>
    </row>
    <row r="917" spans="1:21" x14ac:dyDescent="0.25">
      <c r="A917" s="2" t="s">
        <v>1516</v>
      </c>
      <c r="B917" s="2" t="s">
        <v>1517</v>
      </c>
      <c r="C917" s="1">
        <v>45824</v>
      </c>
      <c r="D917" s="2" t="s">
        <v>59</v>
      </c>
      <c r="E917" s="2" t="s">
        <v>71</v>
      </c>
      <c r="F917" s="2" t="s">
        <v>47</v>
      </c>
      <c r="G917">
        <v>2</v>
      </c>
      <c r="H917" s="2" t="s">
        <v>74</v>
      </c>
      <c r="I917">
        <v>116.6</v>
      </c>
      <c r="J917">
        <v>10</v>
      </c>
      <c r="K917">
        <v>11.66</v>
      </c>
      <c r="L917">
        <v>30.18</v>
      </c>
      <c r="M917">
        <v>75.819999999999993</v>
      </c>
      <c r="N917">
        <v>15.74</v>
      </c>
      <c r="O917">
        <v>3.34</v>
      </c>
      <c r="P917" s="2" t="s">
        <v>42</v>
      </c>
      <c r="Q917">
        <v>0</v>
      </c>
      <c r="R917">
        <v>104.94</v>
      </c>
      <c r="S917">
        <v>125.08</v>
      </c>
      <c r="T917">
        <v>-20.14</v>
      </c>
      <c r="U917">
        <f t="shared" si="14"/>
        <v>0</v>
      </c>
    </row>
    <row r="918" spans="1:21" x14ac:dyDescent="0.25">
      <c r="A918" s="2" t="s">
        <v>1518</v>
      </c>
      <c r="B918" s="2" t="s">
        <v>397</v>
      </c>
      <c r="C918" s="1">
        <v>45806</v>
      </c>
      <c r="D918" s="2" t="s">
        <v>45</v>
      </c>
      <c r="E918" s="2" t="s">
        <v>46</v>
      </c>
      <c r="F918" s="2" t="s">
        <v>51</v>
      </c>
      <c r="G918">
        <v>2</v>
      </c>
      <c r="H918" s="2" t="s">
        <v>77</v>
      </c>
      <c r="I918">
        <v>124.02</v>
      </c>
      <c r="J918">
        <v>0</v>
      </c>
      <c r="K918">
        <v>0</v>
      </c>
      <c r="L918">
        <v>38.72</v>
      </c>
      <c r="M918">
        <v>49.9</v>
      </c>
      <c r="N918">
        <v>0</v>
      </c>
      <c r="O918">
        <v>3.9</v>
      </c>
      <c r="P918" s="2" t="s">
        <v>42</v>
      </c>
      <c r="Q918">
        <v>0</v>
      </c>
      <c r="R918">
        <v>124.02</v>
      </c>
      <c r="S918">
        <v>92.52</v>
      </c>
      <c r="T918">
        <v>31.5</v>
      </c>
      <c r="U918">
        <f t="shared" si="14"/>
        <v>0</v>
      </c>
    </row>
    <row r="919" spans="1:21" x14ac:dyDescent="0.25">
      <c r="A919" s="2" t="s">
        <v>1519</v>
      </c>
      <c r="B919" s="2" t="s">
        <v>1520</v>
      </c>
      <c r="C919" s="1">
        <v>45937</v>
      </c>
      <c r="D919" s="2" t="s">
        <v>80</v>
      </c>
      <c r="E919" s="2" t="s">
        <v>46</v>
      </c>
      <c r="F919" s="2" t="s">
        <v>85</v>
      </c>
      <c r="G919">
        <v>3</v>
      </c>
      <c r="H919" s="2" t="s">
        <v>41</v>
      </c>
      <c r="I919">
        <v>254.34</v>
      </c>
      <c r="J919">
        <v>10</v>
      </c>
      <c r="K919">
        <v>25.43</v>
      </c>
      <c r="L919">
        <v>60.82</v>
      </c>
      <c r="M919">
        <v>119.59</v>
      </c>
      <c r="N919">
        <v>18.309999999999999</v>
      </c>
      <c r="O919">
        <v>6.94</v>
      </c>
      <c r="P919" s="2" t="s">
        <v>42</v>
      </c>
      <c r="Q919">
        <v>0</v>
      </c>
      <c r="R919">
        <v>228.91</v>
      </c>
      <c r="S919">
        <v>205.66</v>
      </c>
      <c r="T919">
        <v>23.25</v>
      </c>
      <c r="U919">
        <f t="shared" si="14"/>
        <v>0</v>
      </c>
    </row>
    <row r="920" spans="1:21" x14ac:dyDescent="0.25">
      <c r="A920" s="2" t="s">
        <v>1521</v>
      </c>
      <c r="B920" s="2" t="s">
        <v>1522</v>
      </c>
      <c r="C920" s="1">
        <v>45620</v>
      </c>
      <c r="D920" s="2" t="s">
        <v>59</v>
      </c>
      <c r="E920" s="2" t="s">
        <v>46</v>
      </c>
      <c r="F920" s="2" t="s">
        <v>85</v>
      </c>
      <c r="G920">
        <v>3</v>
      </c>
      <c r="H920" s="2" t="s">
        <v>77</v>
      </c>
      <c r="I920">
        <v>168</v>
      </c>
      <c r="J920">
        <v>0</v>
      </c>
      <c r="K920">
        <v>0</v>
      </c>
      <c r="L920">
        <v>61.56</v>
      </c>
      <c r="M920">
        <v>61.98</v>
      </c>
      <c r="N920">
        <v>25.2</v>
      </c>
      <c r="O920">
        <v>5.17</v>
      </c>
      <c r="P920" s="2" t="s">
        <v>42</v>
      </c>
      <c r="Q920">
        <v>0</v>
      </c>
      <c r="R920">
        <v>168</v>
      </c>
      <c r="S920">
        <v>153.91</v>
      </c>
      <c r="T920">
        <v>14.09</v>
      </c>
      <c r="U920">
        <f t="shared" si="14"/>
        <v>0</v>
      </c>
    </row>
    <row r="921" spans="1:21" x14ac:dyDescent="0.25">
      <c r="A921" s="2" t="s">
        <v>1523</v>
      </c>
      <c r="B921" s="2" t="s">
        <v>1515</v>
      </c>
      <c r="C921" s="1">
        <v>45863</v>
      </c>
      <c r="D921" s="2" t="s">
        <v>59</v>
      </c>
      <c r="E921" s="2" t="s">
        <v>46</v>
      </c>
      <c r="F921" s="2" t="s">
        <v>85</v>
      </c>
      <c r="G921">
        <v>1</v>
      </c>
      <c r="H921" s="2" t="s">
        <v>77</v>
      </c>
      <c r="I921">
        <v>11.04</v>
      </c>
      <c r="J921">
        <v>10</v>
      </c>
      <c r="K921">
        <v>1.1000000000000001</v>
      </c>
      <c r="L921">
        <v>15.64</v>
      </c>
      <c r="M921">
        <v>6.76</v>
      </c>
      <c r="N921">
        <v>1.49</v>
      </c>
      <c r="O921">
        <v>0.59</v>
      </c>
      <c r="P921" s="2" t="s">
        <v>42</v>
      </c>
      <c r="Q921">
        <v>0</v>
      </c>
      <c r="R921">
        <v>9.94</v>
      </c>
      <c r="S921">
        <v>24.48</v>
      </c>
      <c r="T921">
        <v>-14.54</v>
      </c>
      <c r="U921">
        <f t="shared" si="14"/>
        <v>0</v>
      </c>
    </row>
    <row r="922" spans="1:21" x14ac:dyDescent="0.25">
      <c r="A922" s="2" t="s">
        <v>1524</v>
      </c>
      <c r="B922" s="2" t="s">
        <v>1445</v>
      </c>
      <c r="C922" s="1">
        <v>45995</v>
      </c>
      <c r="D922" s="2" t="s">
        <v>45</v>
      </c>
      <c r="E922" s="2" t="s">
        <v>55</v>
      </c>
      <c r="F922" s="2" t="s">
        <v>40</v>
      </c>
      <c r="G922">
        <v>2</v>
      </c>
      <c r="H922" s="2" t="s">
        <v>74</v>
      </c>
      <c r="I922">
        <v>146.66</v>
      </c>
      <c r="J922">
        <v>0</v>
      </c>
      <c r="K922">
        <v>0</v>
      </c>
      <c r="L922">
        <v>15.48</v>
      </c>
      <c r="M922">
        <v>45.06</v>
      </c>
      <c r="N922">
        <v>0</v>
      </c>
      <c r="O922">
        <v>4.55</v>
      </c>
      <c r="P922" s="2" t="s">
        <v>42</v>
      </c>
      <c r="Q922">
        <v>0</v>
      </c>
      <c r="R922">
        <v>146.66</v>
      </c>
      <c r="S922">
        <v>65.09</v>
      </c>
      <c r="T922">
        <v>81.569999999999993</v>
      </c>
      <c r="U922">
        <f t="shared" si="14"/>
        <v>0</v>
      </c>
    </row>
    <row r="923" spans="1:21" x14ac:dyDescent="0.25">
      <c r="A923" s="2" t="s">
        <v>1525</v>
      </c>
      <c r="B923" s="2" t="s">
        <v>954</v>
      </c>
      <c r="C923" s="1">
        <v>45423</v>
      </c>
      <c r="D923" s="2" t="s">
        <v>45</v>
      </c>
      <c r="E923" s="2" t="s">
        <v>46</v>
      </c>
      <c r="F923" s="2" t="s">
        <v>94</v>
      </c>
      <c r="G923">
        <v>2</v>
      </c>
      <c r="H923" s="2" t="s">
        <v>111</v>
      </c>
      <c r="I923">
        <v>76.03</v>
      </c>
      <c r="J923">
        <v>10</v>
      </c>
      <c r="K923">
        <v>7.6</v>
      </c>
      <c r="L923">
        <v>26.04</v>
      </c>
      <c r="M923">
        <v>33.65</v>
      </c>
      <c r="N923">
        <v>0</v>
      </c>
      <c r="O923">
        <v>2.2799999999999998</v>
      </c>
      <c r="P923" s="2" t="s">
        <v>42</v>
      </c>
      <c r="Q923">
        <v>0</v>
      </c>
      <c r="R923">
        <v>68.430000000000007</v>
      </c>
      <c r="S923">
        <v>61.97</v>
      </c>
      <c r="T923">
        <v>6.46</v>
      </c>
      <c r="U923">
        <f t="shared" si="14"/>
        <v>0</v>
      </c>
    </row>
    <row r="924" spans="1:21" x14ac:dyDescent="0.25">
      <c r="A924" s="2" t="s">
        <v>1526</v>
      </c>
      <c r="B924" s="2" t="s">
        <v>44</v>
      </c>
      <c r="C924" s="1">
        <v>45874</v>
      </c>
      <c r="D924" s="2" t="s">
        <v>38</v>
      </c>
      <c r="E924" s="2" t="s">
        <v>71</v>
      </c>
      <c r="F924" s="2" t="s">
        <v>51</v>
      </c>
      <c r="G924">
        <v>2</v>
      </c>
      <c r="H924" s="2" t="s">
        <v>52</v>
      </c>
      <c r="I924">
        <v>79.33</v>
      </c>
      <c r="J924">
        <v>15</v>
      </c>
      <c r="K924">
        <v>11.9</v>
      </c>
      <c r="L924">
        <v>22.68</v>
      </c>
      <c r="M924">
        <v>36.65</v>
      </c>
      <c r="N924">
        <v>0</v>
      </c>
      <c r="O924">
        <v>2.2599999999999998</v>
      </c>
      <c r="P924" s="2" t="s">
        <v>42</v>
      </c>
      <c r="Q924">
        <v>0</v>
      </c>
      <c r="R924">
        <v>67.430000000000007</v>
      </c>
      <c r="S924">
        <v>61.59</v>
      </c>
      <c r="T924">
        <v>5.84</v>
      </c>
      <c r="U924">
        <f t="shared" si="14"/>
        <v>0</v>
      </c>
    </row>
    <row r="925" spans="1:21" x14ac:dyDescent="0.25">
      <c r="A925" s="2" t="s">
        <v>1527</v>
      </c>
      <c r="B925" s="2" t="s">
        <v>1005</v>
      </c>
      <c r="C925" s="1">
        <v>45669</v>
      </c>
      <c r="D925" s="2" t="s">
        <v>45</v>
      </c>
      <c r="E925" s="2" t="s">
        <v>46</v>
      </c>
      <c r="F925" s="2" t="s">
        <v>47</v>
      </c>
      <c r="G925">
        <v>5</v>
      </c>
      <c r="H925" s="2" t="s">
        <v>48</v>
      </c>
      <c r="I925">
        <v>239.79</v>
      </c>
      <c r="J925">
        <v>5</v>
      </c>
      <c r="K925">
        <v>11.99</v>
      </c>
      <c r="L925">
        <v>35.32</v>
      </c>
      <c r="M925">
        <v>95.59</v>
      </c>
      <c r="N925">
        <v>0</v>
      </c>
      <c r="O925">
        <v>6.91</v>
      </c>
      <c r="P925" s="2" t="s">
        <v>42</v>
      </c>
      <c r="Q925">
        <v>0</v>
      </c>
      <c r="R925">
        <v>227.8</v>
      </c>
      <c r="S925">
        <v>137.82</v>
      </c>
      <c r="T925">
        <v>89.98</v>
      </c>
      <c r="U925">
        <f t="shared" si="14"/>
        <v>0</v>
      </c>
    </row>
    <row r="926" spans="1:21" x14ac:dyDescent="0.25">
      <c r="A926" s="2" t="s">
        <v>1528</v>
      </c>
      <c r="B926" s="2" t="s">
        <v>1529</v>
      </c>
      <c r="C926" s="1">
        <v>45769</v>
      </c>
      <c r="D926" s="2" t="s">
        <v>80</v>
      </c>
      <c r="E926" s="2" t="s">
        <v>71</v>
      </c>
      <c r="F926" s="2" t="s">
        <v>94</v>
      </c>
      <c r="G926">
        <v>1</v>
      </c>
      <c r="H926" s="2" t="s">
        <v>64</v>
      </c>
      <c r="I926">
        <v>59.15</v>
      </c>
      <c r="J926">
        <v>0</v>
      </c>
      <c r="K926">
        <v>0</v>
      </c>
      <c r="L926">
        <v>9.98</v>
      </c>
      <c r="M926">
        <v>19.36</v>
      </c>
      <c r="N926">
        <v>4.7300000000000004</v>
      </c>
      <c r="O926">
        <v>2.02</v>
      </c>
      <c r="P926" s="2" t="s">
        <v>42</v>
      </c>
      <c r="Q926">
        <v>0</v>
      </c>
      <c r="R926">
        <v>59.15</v>
      </c>
      <c r="S926">
        <v>36.090000000000003</v>
      </c>
      <c r="T926">
        <v>23.06</v>
      </c>
      <c r="U926">
        <f t="shared" si="14"/>
        <v>0</v>
      </c>
    </row>
    <row r="927" spans="1:21" x14ac:dyDescent="0.25">
      <c r="A927" s="2" t="s">
        <v>1530</v>
      </c>
      <c r="B927" s="2" t="s">
        <v>1531</v>
      </c>
      <c r="C927" s="1">
        <v>45672</v>
      </c>
      <c r="D927" s="2" t="s">
        <v>45</v>
      </c>
      <c r="E927" s="2" t="s">
        <v>71</v>
      </c>
      <c r="F927" s="2" t="s">
        <v>51</v>
      </c>
      <c r="G927">
        <v>2</v>
      </c>
      <c r="H927" s="2" t="s">
        <v>56</v>
      </c>
      <c r="I927">
        <v>131.44</v>
      </c>
      <c r="J927">
        <v>0</v>
      </c>
      <c r="K927">
        <v>0</v>
      </c>
      <c r="L927">
        <v>22.28</v>
      </c>
      <c r="M927">
        <v>55.67</v>
      </c>
      <c r="N927">
        <v>0</v>
      </c>
      <c r="O927">
        <v>4.1100000000000003</v>
      </c>
      <c r="P927" s="2" t="s">
        <v>42</v>
      </c>
      <c r="Q927">
        <v>0</v>
      </c>
      <c r="R927">
        <v>131.44</v>
      </c>
      <c r="S927">
        <v>82.06</v>
      </c>
      <c r="T927">
        <v>49.38</v>
      </c>
      <c r="U927">
        <f t="shared" si="14"/>
        <v>0</v>
      </c>
    </row>
    <row r="928" spans="1:21" x14ac:dyDescent="0.25">
      <c r="A928" s="2" t="s">
        <v>1532</v>
      </c>
      <c r="B928" s="2" t="s">
        <v>509</v>
      </c>
      <c r="C928" s="1">
        <v>45871</v>
      </c>
      <c r="D928" s="2" t="s">
        <v>59</v>
      </c>
      <c r="E928" s="2" t="s">
        <v>46</v>
      </c>
      <c r="F928" s="2" t="s">
        <v>51</v>
      </c>
      <c r="G928">
        <v>1</v>
      </c>
      <c r="H928" s="2" t="s">
        <v>74</v>
      </c>
      <c r="I928">
        <v>106.92</v>
      </c>
      <c r="J928">
        <v>0</v>
      </c>
      <c r="K928">
        <v>0</v>
      </c>
      <c r="L928">
        <v>39.54</v>
      </c>
      <c r="M928">
        <v>31.32</v>
      </c>
      <c r="N928">
        <v>16.04</v>
      </c>
      <c r="O928">
        <v>3.4</v>
      </c>
      <c r="P928" s="2" t="s">
        <v>42</v>
      </c>
      <c r="Q928">
        <v>0</v>
      </c>
      <c r="R928">
        <v>106.92</v>
      </c>
      <c r="S928">
        <v>90.3</v>
      </c>
      <c r="T928">
        <v>16.62</v>
      </c>
      <c r="U928">
        <f t="shared" si="14"/>
        <v>0</v>
      </c>
    </row>
    <row r="929" spans="1:21" x14ac:dyDescent="0.25">
      <c r="A929" s="2" t="s">
        <v>1533</v>
      </c>
      <c r="B929" s="2" t="s">
        <v>578</v>
      </c>
      <c r="C929" s="1">
        <v>45571</v>
      </c>
      <c r="D929" s="2" t="s">
        <v>59</v>
      </c>
      <c r="E929" s="2" t="s">
        <v>46</v>
      </c>
      <c r="F929" s="2" t="s">
        <v>47</v>
      </c>
      <c r="G929">
        <v>1</v>
      </c>
      <c r="H929" s="2" t="s">
        <v>56</v>
      </c>
      <c r="I929">
        <v>69.38</v>
      </c>
      <c r="J929">
        <v>15</v>
      </c>
      <c r="K929">
        <v>10.41</v>
      </c>
      <c r="L929">
        <v>14.3</v>
      </c>
      <c r="M929">
        <v>27.03</v>
      </c>
      <c r="N929">
        <v>8.85</v>
      </c>
      <c r="O929">
        <v>2.0099999999999998</v>
      </c>
      <c r="P929" s="2" t="s">
        <v>42</v>
      </c>
      <c r="Q929">
        <v>0</v>
      </c>
      <c r="R929">
        <v>58.97</v>
      </c>
      <c r="S929">
        <v>52.19</v>
      </c>
      <c r="T929">
        <v>6.78</v>
      </c>
      <c r="U929">
        <f t="shared" si="14"/>
        <v>0</v>
      </c>
    </row>
    <row r="930" spans="1:21" x14ac:dyDescent="0.25">
      <c r="A930" s="2" t="s">
        <v>1534</v>
      </c>
      <c r="B930" s="2" t="s">
        <v>451</v>
      </c>
      <c r="C930" s="1">
        <v>45870</v>
      </c>
      <c r="D930" s="2" t="s">
        <v>38</v>
      </c>
      <c r="E930" s="2" t="s">
        <v>46</v>
      </c>
      <c r="F930" s="2" t="s">
        <v>94</v>
      </c>
      <c r="G930">
        <v>2</v>
      </c>
      <c r="H930" s="2" t="s">
        <v>56</v>
      </c>
      <c r="I930">
        <v>217.38</v>
      </c>
      <c r="J930">
        <v>0</v>
      </c>
      <c r="K930">
        <v>0</v>
      </c>
      <c r="L930">
        <v>8.6</v>
      </c>
      <c r="M930">
        <v>76.37</v>
      </c>
      <c r="N930">
        <v>0</v>
      </c>
      <c r="O930">
        <v>6.6</v>
      </c>
      <c r="P930" s="2" t="s">
        <v>42</v>
      </c>
      <c r="Q930">
        <v>0</v>
      </c>
      <c r="R930">
        <v>217.38</v>
      </c>
      <c r="S930">
        <v>91.57</v>
      </c>
      <c r="T930">
        <v>125.81</v>
      </c>
      <c r="U930">
        <f t="shared" si="14"/>
        <v>0</v>
      </c>
    </row>
    <row r="931" spans="1:21" x14ac:dyDescent="0.25">
      <c r="A931" s="2" t="s">
        <v>1535</v>
      </c>
      <c r="B931" s="2" t="s">
        <v>1536</v>
      </c>
      <c r="C931" s="1">
        <v>45681</v>
      </c>
      <c r="D931" s="2" t="s">
        <v>38</v>
      </c>
      <c r="E931" s="2" t="s">
        <v>71</v>
      </c>
      <c r="F931" s="2" t="s">
        <v>51</v>
      </c>
      <c r="G931">
        <v>3</v>
      </c>
      <c r="H931" s="2" t="s">
        <v>41</v>
      </c>
      <c r="I931">
        <v>338</v>
      </c>
      <c r="J931">
        <v>5</v>
      </c>
      <c r="K931">
        <v>16.899999999999999</v>
      </c>
      <c r="L931">
        <v>33.14</v>
      </c>
      <c r="M931">
        <v>117.26</v>
      </c>
      <c r="N931">
        <v>0</v>
      </c>
      <c r="O931">
        <v>9.61</v>
      </c>
      <c r="P931" s="2" t="s">
        <v>42</v>
      </c>
      <c r="Q931">
        <v>0</v>
      </c>
      <c r="R931">
        <v>321.10000000000002</v>
      </c>
      <c r="S931">
        <v>160.01</v>
      </c>
      <c r="T931">
        <v>161.09</v>
      </c>
      <c r="U931">
        <f t="shared" si="14"/>
        <v>0</v>
      </c>
    </row>
    <row r="932" spans="1:21" x14ac:dyDescent="0.25">
      <c r="A932" s="2" t="s">
        <v>1537</v>
      </c>
      <c r="B932" s="2" t="s">
        <v>271</v>
      </c>
      <c r="C932" s="1">
        <v>45520</v>
      </c>
      <c r="D932" s="2" t="s">
        <v>45</v>
      </c>
      <c r="E932" s="2" t="s">
        <v>71</v>
      </c>
      <c r="F932" s="2" t="s">
        <v>40</v>
      </c>
      <c r="G932">
        <v>3</v>
      </c>
      <c r="H932" s="2" t="s">
        <v>77</v>
      </c>
      <c r="I932">
        <v>99.77</v>
      </c>
      <c r="J932">
        <v>0</v>
      </c>
      <c r="K932">
        <v>0</v>
      </c>
      <c r="L932">
        <v>44.88</v>
      </c>
      <c r="M932">
        <v>47.99</v>
      </c>
      <c r="N932">
        <v>0</v>
      </c>
      <c r="O932">
        <v>3.19</v>
      </c>
      <c r="P932" s="2" t="s">
        <v>42</v>
      </c>
      <c r="Q932">
        <v>0</v>
      </c>
      <c r="R932">
        <v>99.77</v>
      </c>
      <c r="S932">
        <v>96.06</v>
      </c>
      <c r="T932">
        <v>3.71</v>
      </c>
      <c r="U932">
        <f t="shared" si="14"/>
        <v>0</v>
      </c>
    </row>
    <row r="933" spans="1:21" x14ac:dyDescent="0.25">
      <c r="A933" s="2" t="s">
        <v>1538</v>
      </c>
      <c r="B933" s="2" t="s">
        <v>543</v>
      </c>
      <c r="C933" s="1">
        <v>45836</v>
      </c>
      <c r="D933" s="2" t="s">
        <v>59</v>
      </c>
      <c r="E933" s="2" t="s">
        <v>55</v>
      </c>
      <c r="F933" s="2" t="s">
        <v>40</v>
      </c>
      <c r="G933">
        <v>2</v>
      </c>
      <c r="H933" s="2" t="s">
        <v>64</v>
      </c>
      <c r="I933">
        <v>102.88</v>
      </c>
      <c r="J933">
        <v>15</v>
      </c>
      <c r="K933">
        <v>15.43</v>
      </c>
      <c r="L933">
        <v>25.78</v>
      </c>
      <c r="M933">
        <v>42.07</v>
      </c>
      <c r="N933">
        <v>13.12</v>
      </c>
      <c r="O933">
        <v>2.84</v>
      </c>
      <c r="P933" s="2" t="s">
        <v>42</v>
      </c>
      <c r="Q933">
        <v>0</v>
      </c>
      <c r="R933">
        <v>87.45</v>
      </c>
      <c r="S933">
        <v>83.81</v>
      </c>
      <c r="T933">
        <v>3.64</v>
      </c>
      <c r="U933">
        <f t="shared" si="14"/>
        <v>0</v>
      </c>
    </row>
    <row r="934" spans="1:21" x14ac:dyDescent="0.25">
      <c r="A934" s="2" t="s">
        <v>1539</v>
      </c>
      <c r="B934" s="2" t="s">
        <v>1106</v>
      </c>
      <c r="C934" s="1">
        <v>45703</v>
      </c>
      <c r="D934" s="2" t="s">
        <v>38</v>
      </c>
      <c r="E934" s="2" t="s">
        <v>67</v>
      </c>
      <c r="F934" s="2" t="s">
        <v>94</v>
      </c>
      <c r="G934">
        <v>1</v>
      </c>
      <c r="H934" s="2" t="s">
        <v>77</v>
      </c>
      <c r="I934">
        <v>33.6</v>
      </c>
      <c r="J934">
        <v>20</v>
      </c>
      <c r="K934">
        <v>6.72</v>
      </c>
      <c r="L934">
        <v>8.2799999999999994</v>
      </c>
      <c r="M934">
        <v>16.5</v>
      </c>
      <c r="N934">
        <v>0</v>
      </c>
      <c r="O934">
        <v>1.08</v>
      </c>
      <c r="P934" s="2" t="s">
        <v>42</v>
      </c>
      <c r="Q934">
        <v>0</v>
      </c>
      <c r="R934">
        <v>26.88</v>
      </c>
      <c r="S934">
        <v>25.86</v>
      </c>
      <c r="T934">
        <v>1.02</v>
      </c>
      <c r="U934">
        <f t="shared" si="14"/>
        <v>0</v>
      </c>
    </row>
    <row r="935" spans="1:21" x14ac:dyDescent="0.25">
      <c r="A935" s="2" t="s">
        <v>1540</v>
      </c>
      <c r="B935" s="2" t="s">
        <v>1541</v>
      </c>
      <c r="C935" s="1">
        <v>45327</v>
      </c>
      <c r="D935" s="2" t="s">
        <v>45</v>
      </c>
      <c r="E935" s="2" t="s">
        <v>71</v>
      </c>
      <c r="F935" s="2" t="s">
        <v>51</v>
      </c>
      <c r="G935">
        <v>1</v>
      </c>
      <c r="H935" s="2" t="s">
        <v>56</v>
      </c>
      <c r="I935">
        <v>29.59</v>
      </c>
      <c r="J935">
        <v>15</v>
      </c>
      <c r="K935">
        <v>4.4400000000000004</v>
      </c>
      <c r="L935">
        <v>4.7</v>
      </c>
      <c r="M935">
        <v>12.42</v>
      </c>
      <c r="N935">
        <v>0</v>
      </c>
      <c r="O935">
        <v>1.03</v>
      </c>
      <c r="P935" s="2" t="s">
        <v>42</v>
      </c>
      <c r="Q935">
        <v>0</v>
      </c>
      <c r="R935">
        <v>25.15</v>
      </c>
      <c r="S935">
        <v>18.149999999999999</v>
      </c>
      <c r="T935">
        <v>7</v>
      </c>
      <c r="U935">
        <f t="shared" si="14"/>
        <v>0</v>
      </c>
    </row>
    <row r="936" spans="1:21" x14ac:dyDescent="0.25">
      <c r="A936" s="2" t="s">
        <v>1542</v>
      </c>
      <c r="B936" s="2" t="s">
        <v>617</v>
      </c>
      <c r="C936" s="1">
        <v>45715</v>
      </c>
      <c r="D936" s="2" t="s">
        <v>45</v>
      </c>
      <c r="E936" s="2" t="s">
        <v>55</v>
      </c>
      <c r="F936" s="2" t="s">
        <v>85</v>
      </c>
      <c r="G936">
        <v>1</v>
      </c>
      <c r="H936" s="2" t="s">
        <v>52</v>
      </c>
      <c r="I936">
        <v>69.12</v>
      </c>
      <c r="J936">
        <v>10</v>
      </c>
      <c r="K936">
        <v>6.91</v>
      </c>
      <c r="L936">
        <v>9.1</v>
      </c>
      <c r="M936">
        <v>20.88</v>
      </c>
      <c r="N936">
        <v>0</v>
      </c>
      <c r="O936">
        <v>2.1</v>
      </c>
      <c r="P936" s="2" t="s">
        <v>42</v>
      </c>
      <c r="Q936">
        <v>0</v>
      </c>
      <c r="R936">
        <v>62.21</v>
      </c>
      <c r="S936">
        <v>32.08</v>
      </c>
      <c r="T936">
        <v>30.13</v>
      </c>
      <c r="U936">
        <f t="shared" si="14"/>
        <v>0</v>
      </c>
    </row>
    <row r="937" spans="1:21" x14ac:dyDescent="0.25">
      <c r="A937" s="2" t="s">
        <v>1543</v>
      </c>
      <c r="B937" s="2" t="s">
        <v>526</v>
      </c>
      <c r="C937" s="1">
        <v>45597</v>
      </c>
      <c r="D937" s="2" t="s">
        <v>80</v>
      </c>
      <c r="E937" s="2" t="s">
        <v>55</v>
      </c>
      <c r="F937" s="2" t="s">
        <v>85</v>
      </c>
      <c r="G937">
        <v>1</v>
      </c>
      <c r="H937" s="2" t="s">
        <v>77</v>
      </c>
      <c r="I937">
        <v>33.6</v>
      </c>
      <c r="J937">
        <v>0</v>
      </c>
      <c r="K937">
        <v>0</v>
      </c>
      <c r="L937">
        <v>8.2799999999999994</v>
      </c>
      <c r="M937">
        <v>16.5</v>
      </c>
      <c r="N937">
        <v>2.69</v>
      </c>
      <c r="O937">
        <v>1.27</v>
      </c>
      <c r="P937" s="2" t="s">
        <v>42</v>
      </c>
      <c r="Q937">
        <v>0</v>
      </c>
      <c r="R937">
        <v>33.6</v>
      </c>
      <c r="S937">
        <v>28.74</v>
      </c>
      <c r="T937">
        <v>4.8600000000000003</v>
      </c>
      <c r="U937">
        <f t="shared" si="14"/>
        <v>0</v>
      </c>
    </row>
    <row r="938" spans="1:21" x14ac:dyDescent="0.25">
      <c r="A938" s="2" t="s">
        <v>1544</v>
      </c>
      <c r="B938" s="2" t="s">
        <v>37</v>
      </c>
      <c r="C938" s="1">
        <v>45865</v>
      </c>
      <c r="D938" s="2" t="s">
        <v>38</v>
      </c>
      <c r="E938" s="2" t="s">
        <v>39</v>
      </c>
      <c r="F938" s="2" t="s">
        <v>94</v>
      </c>
      <c r="G938">
        <v>3</v>
      </c>
      <c r="H938" s="2" t="s">
        <v>41</v>
      </c>
      <c r="I938">
        <v>127.74</v>
      </c>
      <c r="J938">
        <v>0</v>
      </c>
      <c r="K938">
        <v>0</v>
      </c>
      <c r="L938">
        <v>24.82</v>
      </c>
      <c r="M938">
        <v>57.35</v>
      </c>
      <c r="N938">
        <v>0</v>
      </c>
      <c r="O938">
        <v>4</v>
      </c>
      <c r="P938" s="2" t="s">
        <v>42</v>
      </c>
      <c r="Q938">
        <v>0</v>
      </c>
      <c r="R938">
        <v>127.74</v>
      </c>
      <c r="S938">
        <v>86.17</v>
      </c>
      <c r="T938">
        <v>41.57</v>
      </c>
      <c r="U938">
        <f t="shared" si="14"/>
        <v>0</v>
      </c>
    </row>
    <row r="939" spans="1:21" x14ac:dyDescent="0.25">
      <c r="A939" s="2" t="s">
        <v>1545</v>
      </c>
      <c r="B939" s="2" t="s">
        <v>1546</v>
      </c>
      <c r="C939" s="1">
        <v>46014</v>
      </c>
      <c r="D939" s="2" t="s">
        <v>59</v>
      </c>
      <c r="E939" s="2" t="s">
        <v>46</v>
      </c>
      <c r="F939" s="2" t="s">
        <v>47</v>
      </c>
      <c r="G939">
        <v>1</v>
      </c>
      <c r="H939" s="2" t="s">
        <v>41</v>
      </c>
      <c r="I939">
        <v>68.98</v>
      </c>
      <c r="J939">
        <v>20</v>
      </c>
      <c r="K939">
        <v>13.8</v>
      </c>
      <c r="L939">
        <v>14.54</v>
      </c>
      <c r="M939">
        <v>25.39</v>
      </c>
      <c r="N939">
        <v>8.2799999999999994</v>
      </c>
      <c r="O939">
        <v>1.9</v>
      </c>
      <c r="P939" s="2" t="s">
        <v>42</v>
      </c>
      <c r="Q939">
        <v>0</v>
      </c>
      <c r="R939">
        <v>55.18</v>
      </c>
      <c r="S939">
        <v>50.11</v>
      </c>
      <c r="T939">
        <v>5.07</v>
      </c>
      <c r="U939">
        <f t="shared" si="14"/>
        <v>0</v>
      </c>
    </row>
    <row r="940" spans="1:21" x14ac:dyDescent="0.25">
      <c r="A940" s="2" t="s">
        <v>1547</v>
      </c>
      <c r="B940" s="2" t="s">
        <v>58</v>
      </c>
      <c r="C940" s="1">
        <v>45675</v>
      </c>
      <c r="D940" s="2" t="s">
        <v>80</v>
      </c>
      <c r="E940" s="2" t="s">
        <v>46</v>
      </c>
      <c r="F940" s="2" t="s">
        <v>85</v>
      </c>
      <c r="G940">
        <v>1</v>
      </c>
      <c r="H940" s="2" t="s">
        <v>64</v>
      </c>
      <c r="I940">
        <v>7.77</v>
      </c>
      <c r="J940">
        <v>0</v>
      </c>
      <c r="K940">
        <v>0</v>
      </c>
      <c r="L940">
        <v>4.7</v>
      </c>
      <c r="M940">
        <v>4.58</v>
      </c>
      <c r="N940">
        <v>0.62</v>
      </c>
      <c r="O940">
        <v>0.53</v>
      </c>
      <c r="P940" s="2" t="s">
        <v>42</v>
      </c>
      <c r="Q940">
        <v>0</v>
      </c>
      <c r="R940">
        <v>7.77</v>
      </c>
      <c r="S940">
        <v>10.43</v>
      </c>
      <c r="T940">
        <v>-2.66</v>
      </c>
      <c r="U940">
        <f t="shared" si="14"/>
        <v>0</v>
      </c>
    </row>
    <row r="941" spans="1:21" x14ac:dyDescent="0.25">
      <c r="A941" s="2" t="s">
        <v>1548</v>
      </c>
      <c r="B941" s="2" t="s">
        <v>1098</v>
      </c>
      <c r="C941" s="1">
        <v>45735</v>
      </c>
      <c r="D941" s="2" t="s">
        <v>45</v>
      </c>
      <c r="E941" s="2" t="s">
        <v>71</v>
      </c>
      <c r="F941" s="2" t="s">
        <v>94</v>
      </c>
      <c r="G941">
        <v>2</v>
      </c>
      <c r="H941" s="2" t="s">
        <v>77</v>
      </c>
      <c r="I941">
        <v>37.729999999999997</v>
      </c>
      <c r="J941">
        <v>15</v>
      </c>
      <c r="K941">
        <v>5.66</v>
      </c>
      <c r="L941">
        <v>30.82</v>
      </c>
      <c r="M941">
        <v>13.94</v>
      </c>
      <c r="N941">
        <v>0</v>
      </c>
      <c r="O941">
        <v>1.23</v>
      </c>
      <c r="P941" s="2" t="s">
        <v>42</v>
      </c>
      <c r="Q941">
        <v>0</v>
      </c>
      <c r="R941">
        <v>32.07</v>
      </c>
      <c r="S941">
        <v>45.99</v>
      </c>
      <c r="T941">
        <v>-13.92</v>
      </c>
      <c r="U941">
        <f t="shared" si="14"/>
        <v>0</v>
      </c>
    </row>
    <row r="942" spans="1:21" x14ac:dyDescent="0.25">
      <c r="A942" s="2" t="s">
        <v>1549</v>
      </c>
      <c r="B942" s="2" t="s">
        <v>303</v>
      </c>
      <c r="C942" s="1">
        <v>45748</v>
      </c>
      <c r="D942" s="2" t="s">
        <v>45</v>
      </c>
      <c r="E942" s="2" t="s">
        <v>46</v>
      </c>
      <c r="F942" s="2" t="s">
        <v>47</v>
      </c>
      <c r="G942">
        <v>2</v>
      </c>
      <c r="H942" s="2" t="s">
        <v>111</v>
      </c>
      <c r="I942">
        <v>261.98</v>
      </c>
      <c r="J942">
        <v>10</v>
      </c>
      <c r="K942">
        <v>26.2</v>
      </c>
      <c r="L942">
        <v>27.78</v>
      </c>
      <c r="M942">
        <v>90.32</v>
      </c>
      <c r="N942">
        <v>0</v>
      </c>
      <c r="O942">
        <v>7.14</v>
      </c>
      <c r="P942" s="2" t="s">
        <v>42</v>
      </c>
      <c r="Q942">
        <v>0</v>
      </c>
      <c r="R942">
        <v>235.78</v>
      </c>
      <c r="S942">
        <v>125.24</v>
      </c>
      <c r="T942">
        <v>110.54</v>
      </c>
      <c r="U942">
        <f t="shared" si="14"/>
        <v>0</v>
      </c>
    </row>
    <row r="943" spans="1:21" x14ac:dyDescent="0.25">
      <c r="A943" s="2" t="s">
        <v>1550</v>
      </c>
      <c r="B943" s="2" t="s">
        <v>774</v>
      </c>
      <c r="C943" s="1">
        <v>45833</v>
      </c>
      <c r="D943" s="2" t="s">
        <v>80</v>
      </c>
      <c r="E943" s="2" t="s">
        <v>67</v>
      </c>
      <c r="F943" s="2" t="s">
        <v>94</v>
      </c>
      <c r="G943">
        <v>1</v>
      </c>
      <c r="H943" s="2" t="s">
        <v>64</v>
      </c>
      <c r="I943">
        <v>89.1</v>
      </c>
      <c r="J943">
        <v>25</v>
      </c>
      <c r="K943">
        <v>22.27</v>
      </c>
      <c r="L943">
        <v>6.78</v>
      </c>
      <c r="M943">
        <v>32.549999999999997</v>
      </c>
      <c r="N943">
        <v>5.35</v>
      </c>
      <c r="O943">
        <v>2.2400000000000002</v>
      </c>
      <c r="P943" s="2" t="s">
        <v>42</v>
      </c>
      <c r="Q943">
        <v>0</v>
      </c>
      <c r="R943">
        <v>66.83</v>
      </c>
      <c r="S943">
        <v>46.92</v>
      </c>
      <c r="T943">
        <v>19.91</v>
      </c>
      <c r="U943">
        <f t="shared" si="14"/>
        <v>0</v>
      </c>
    </row>
    <row r="944" spans="1:21" x14ac:dyDescent="0.25">
      <c r="A944" s="2" t="s">
        <v>1551</v>
      </c>
      <c r="B944" s="2" t="s">
        <v>1552</v>
      </c>
      <c r="C944" s="1">
        <v>46010</v>
      </c>
      <c r="D944" s="2" t="s">
        <v>45</v>
      </c>
      <c r="E944" s="2" t="s">
        <v>67</v>
      </c>
      <c r="F944" s="2" t="s">
        <v>85</v>
      </c>
      <c r="G944">
        <v>4</v>
      </c>
      <c r="H944" s="2" t="s">
        <v>77</v>
      </c>
      <c r="I944">
        <v>293.79000000000002</v>
      </c>
      <c r="J944">
        <v>25</v>
      </c>
      <c r="K944">
        <v>73.45</v>
      </c>
      <c r="L944">
        <v>81.180000000000007</v>
      </c>
      <c r="M944">
        <v>96.76</v>
      </c>
      <c r="N944">
        <v>0</v>
      </c>
      <c r="O944">
        <v>6.69</v>
      </c>
      <c r="P944" s="2" t="s">
        <v>68</v>
      </c>
      <c r="Q944">
        <v>220.34</v>
      </c>
      <c r="R944">
        <v>0</v>
      </c>
      <c r="S944">
        <v>184.63</v>
      </c>
      <c r="T944">
        <v>-184.63</v>
      </c>
      <c r="U944">
        <f t="shared" si="14"/>
        <v>0</v>
      </c>
    </row>
    <row r="945" spans="1:21" x14ac:dyDescent="0.25">
      <c r="A945" s="2" t="s">
        <v>1553</v>
      </c>
      <c r="B945" s="2" t="s">
        <v>852</v>
      </c>
      <c r="C945" s="1">
        <v>45581</v>
      </c>
      <c r="D945" s="2" t="s">
        <v>80</v>
      </c>
      <c r="E945" s="2" t="s">
        <v>71</v>
      </c>
      <c r="F945" s="2" t="s">
        <v>51</v>
      </c>
      <c r="G945">
        <v>2</v>
      </c>
      <c r="H945" s="2" t="s">
        <v>52</v>
      </c>
      <c r="I945">
        <v>51.66</v>
      </c>
      <c r="J945">
        <v>0</v>
      </c>
      <c r="K945">
        <v>0</v>
      </c>
      <c r="L945">
        <v>13.32</v>
      </c>
      <c r="M945">
        <v>17.52</v>
      </c>
      <c r="N945">
        <v>4.13</v>
      </c>
      <c r="O945">
        <v>1.8</v>
      </c>
      <c r="P945" s="2" t="s">
        <v>42</v>
      </c>
      <c r="Q945">
        <v>0</v>
      </c>
      <c r="R945">
        <v>51.66</v>
      </c>
      <c r="S945">
        <v>36.770000000000003</v>
      </c>
      <c r="T945">
        <v>14.89</v>
      </c>
      <c r="U945">
        <f t="shared" si="14"/>
        <v>0</v>
      </c>
    </row>
    <row r="946" spans="1:21" x14ac:dyDescent="0.25">
      <c r="A946" s="2" t="s">
        <v>1554</v>
      </c>
      <c r="B946" s="2" t="s">
        <v>353</v>
      </c>
      <c r="C946" s="1">
        <v>45624</v>
      </c>
      <c r="D946" s="2" t="s">
        <v>38</v>
      </c>
      <c r="E946" s="2" t="s">
        <v>71</v>
      </c>
      <c r="F946" s="2" t="s">
        <v>47</v>
      </c>
      <c r="G946">
        <v>1</v>
      </c>
      <c r="H946" s="2" t="s">
        <v>52</v>
      </c>
      <c r="I946">
        <v>39.9</v>
      </c>
      <c r="J946">
        <v>5</v>
      </c>
      <c r="K946">
        <v>2</v>
      </c>
      <c r="L946">
        <v>8.92</v>
      </c>
      <c r="M946">
        <v>13.66</v>
      </c>
      <c r="N946">
        <v>0</v>
      </c>
      <c r="O946">
        <v>1.4</v>
      </c>
      <c r="P946" s="2" t="s">
        <v>42</v>
      </c>
      <c r="Q946">
        <v>0</v>
      </c>
      <c r="R946">
        <v>37.9</v>
      </c>
      <c r="S946">
        <v>23.98</v>
      </c>
      <c r="T946">
        <v>13.92</v>
      </c>
      <c r="U946">
        <f t="shared" si="14"/>
        <v>1</v>
      </c>
    </row>
    <row r="947" spans="1:21" x14ac:dyDescent="0.25">
      <c r="A947" s="2" t="s">
        <v>1555</v>
      </c>
      <c r="B947" s="2" t="s">
        <v>578</v>
      </c>
      <c r="C947" s="1">
        <v>45749</v>
      </c>
      <c r="D947" s="2" t="s">
        <v>38</v>
      </c>
      <c r="E947" s="2" t="s">
        <v>67</v>
      </c>
      <c r="F947" s="2" t="s">
        <v>47</v>
      </c>
      <c r="G947">
        <v>1</v>
      </c>
      <c r="H947" s="2" t="s">
        <v>111</v>
      </c>
      <c r="I947">
        <v>309.44</v>
      </c>
      <c r="J947">
        <v>5</v>
      </c>
      <c r="K947">
        <v>15.47</v>
      </c>
      <c r="L947">
        <v>23</v>
      </c>
      <c r="M947">
        <v>95.1</v>
      </c>
      <c r="N947">
        <v>0</v>
      </c>
      <c r="O947">
        <v>8.83</v>
      </c>
      <c r="P947" s="2" t="s">
        <v>42</v>
      </c>
      <c r="Q947">
        <v>0</v>
      </c>
      <c r="R947">
        <v>293.97000000000003</v>
      </c>
      <c r="S947">
        <v>126.93</v>
      </c>
      <c r="T947">
        <v>167.04</v>
      </c>
      <c r="U947">
        <f t="shared" si="14"/>
        <v>0</v>
      </c>
    </row>
    <row r="948" spans="1:21" x14ac:dyDescent="0.25">
      <c r="A948" s="2" t="s">
        <v>1556</v>
      </c>
      <c r="B948" s="2" t="s">
        <v>1557</v>
      </c>
      <c r="C948" s="1">
        <v>45836</v>
      </c>
      <c r="D948" s="2" t="s">
        <v>38</v>
      </c>
      <c r="E948" s="2" t="s">
        <v>55</v>
      </c>
      <c r="F948" s="2" t="s">
        <v>94</v>
      </c>
      <c r="G948">
        <v>3</v>
      </c>
      <c r="H948" s="2" t="s">
        <v>64</v>
      </c>
      <c r="I948">
        <v>199.91</v>
      </c>
      <c r="J948">
        <v>0</v>
      </c>
      <c r="K948">
        <v>0</v>
      </c>
      <c r="L948">
        <v>42.48</v>
      </c>
      <c r="M948">
        <v>81.98</v>
      </c>
      <c r="N948">
        <v>0</v>
      </c>
      <c r="O948">
        <v>6.1</v>
      </c>
      <c r="P948" s="2" t="s">
        <v>42</v>
      </c>
      <c r="Q948">
        <v>0</v>
      </c>
      <c r="R948">
        <v>199.91</v>
      </c>
      <c r="S948">
        <v>130.56</v>
      </c>
      <c r="T948">
        <v>69.349999999999994</v>
      </c>
      <c r="U948">
        <f t="shared" si="14"/>
        <v>0</v>
      </c>
    </row>
    <row r="949" spans="1:21" x14ac:dyDescent="0.25">
      <c r="A949" s="2" t="s">
        <v>1558</v>
      </c>
      <c r="B949" s="2" t="s">
        <v>996</v>
      </c>
      <c r="C949" s="1">
        <v>45941</v>
      </c>
      <c r="D949" s="2" t="s">
        <v>38</v>
      </c>
      <c r="E949" s="2" t="s">
        <v>46</v>
      </c>
      <c r="F949" s="2" t="s">
        <v>51</v>
      </c>
      <c r="G949">
        <v>1</v>
      </c>
      <c r="H949" s="2" t="s">
        <v>48</v>
      </c>
      <c r="I949">
        <v>24.02</v>
      </c>
      <c r="J949">
        <v>25</v>
      </c>
      <c r="K949">
        <v>6</v>
      </c>
      <c r="L949">
        <v>3.98</v>
      </c>
      <c r="M949">
        <v>10.75</v>
      </c>
      <c r="N949">
        <v>0</v>
      </c>
      <c r="O949">
        <v>0.82</v>
      </c>
      <c r="P949" s="2" t="s">
        <v>42</v>
      </c>
      <c r="Q949">
        <v>0</v>
      </c>
      <c r="R949">
        <v>18.02</v>
      </c>
      <c r="S949">
        <v>15.55</v>
      </c>
      <c r="T949">
        <v>2.4700000000000002</v>
      </c>
      <c r="U949">
        <f t="shared" si="14"/>
        <v>0</v>
      </c>
    </row>
    <row r="950" spans="1:21" x14ac:dyDescent="0.25">
      <c r="A950" s="2" t="s">
        <v>1559</v>
      </c>
      <c r="B950" s="2" t="s">
        <v>1560</v>
      </c>
      <c r="C950" s="1">
        <v>45855</v>
      </c>
      <c r="D950" s="2" t="s">
        <v>45</v>
      </c>
      <c r="E950" s="2" t="s">
        <v>46</v>
      </c>
      <c r="F950" s="2" t="s">
        <v>47</v>
      </c>
      <c r="G950">
        <v>1</v>
      </c>
      <c r="H950" s="2" t="s">
        <v>48</v>
      </c>
      <c r="I950">
        <v>24.02</v>
      </c>
      <c r="J950">
        <v>10</v>
      </c>
      <c r="K950">
        <v>2.4</v>
      </c>
      <c r="L950">
        <v>3.98</v>
      </c>
      <c r="M950">
        <v>10.75</v>
      </c>
      <c r="N950">
        <v>0</v>
      </c>
      <c r="O950">
        <v>0.93</v>
      </c>
      <c r="P950" s="2" t="s">
        <v>42</v>
      </c>
      <c r="Q950">
        <v>0</v>
      </c>
      <c r="R950">
        <v>21.62</v>
      </c>
      <c r="S950">
        <v>15.66</v>
      </c>
      <c r="T950">
        <v>5.96</v>
      </c>
      <c r="U950">
        <f t="shared" si="14"/>
        <v>0</v>
      </c>
    </row>
    <row r="951" spans="1:21" x14ac:dyDescent="0.25">
      <c r="A951" s="2" t="s">
        <v>1561</v>
      </c>
      <c r="B951" s="2" t="s">
        <v>1562</v>
      </c>
      <c r="C951" s="1">
        <v>45921</v>
      </c>
      <c r="D951" s="2" t="s">
        <v>45</v>
      </c>
      <c r="E951" s="2" t="s">
        <v>39</v>
      </c>
      <c r="F951" s="2" t="s">
        <v>40</v>
      </c>
      <c r="G951">
        <v>1</v>
      </c>
      <c r="H951" s="2" t="s">
        <v>52</v>
      </c>
      <c r="I951">
        <v>10.050000000000001</v>
      </c>
      <c r="J951">
        <v>0</v>
      </c>
      <c r="K951">
        <v>0</v>
      </c>
      <c r="L951">
        <v>9.18</v>
      </c>
      <c r="M951">
        <v>6.91</v>
      </c>
      <c r="N951">
        <v>0</v>
      </c>
      <c r="O951">
        <v>0.59</v>
      </c>
      <c r="P951" s="2" t="s">
        <v>68</v>
      </c>
      <c r="Q951">
        <v>10.050000000000001</v>
      </c>
      <c r="R951">
        <v>0</v>
      </c>
      <c r="S951">
        <v>16.68</v>
      </c>
      <c r="T951">
        <v>-16.68</v>
      </c>
      <c r="U951">
        <f t="shared" si="14"/>
        <v>0</v>
      </c>
    </row>
    <row r="952" spans="1:21" x14ac:dyDescent="0.25">
      <c r="A952" s="2" t="s">
        <v>1563</v>
      </c>
      <c r="B952" s="2" t="s">
        <v>1564</v>
      </c>
      <c r="C952" s="1">
        <v>45656</v>
      </c>
      <c r="D952" s="2" t="s">
        <v>59</v>
      </c>
      <c r="E952" s="2" t="s">
        <v>55</v>
      </c>
      <c r="F952" s="2" t="s">
        <v>85</v>
      </c>
      <c r="G952">
        <v>1</v>
      </c>
      <c r="H952" s="2" t="s">
        <v>52</v>
      </c>
      <c r="I952">
        <v>14.74</v>
      </c>
      <c r="J952">
        <v>10</v>
      </c>
      <c r="K952">
        <v>1.47</v>
      </c>
      <c r="L952">
        <v>5.58</v>
      </c>
      <c r="M952">
        <v>4.57</v>
      </c>
      <c r="N952">
        <v>1.99</v>
      </c>
      <c r="O952">
        <v>0.68</v>
      </c>
      <c r="P952" s="2" t="s">
        <v>42</v>
      </c>
      <c r="Q952">
        <v>0</v>
      </c>
      <c r="R952">
        <v>13.27</v>
      </c>
      <c r="S952">
        <v>12.82</v>
      </c>
      <c r="T952">
        <v>0.45</v>
      </c>
      <c r="U952">
        <f t="shared" si="14"/>
        <v>0</v>
      </c>
    </row>
    <row r="953" spans="1:21" x14ac:dyDescent="0.25">
      <c r="A953" s="2" t="s">
        <v>1565</v>
      </c>
      <c r="B953" s="2" t="s">
        <v>814</v>
      </c>
      <c r="C953" s="1">
        <v>45721</v>
      </c>
      <c r="D953" s="2" t="s">
        <v>38</v>
      </c>
      <c r="E953" s="2" t="s">
        <v>46</v>
      </c>
      <c r="F953" s="2" t="s">
        <v>40</v>
      </c>
      <c r="G953">
        <v>1</v>
      </c>
      <c r="H953" s="2" t="s">
        <v>64</v>
      </c>
      <c r="I953">
        <v>50.16</v>
      </c>
      <c r="J953">
        <v>20</v>
      </c>
      <c r="K953">
        <v>10.029999999999999</v>
      </c>
      <c r="L953">
        <v>15.1</v>
      </c>
      <c r="M953">
        <v>23.95</v>
      </c>
      <c r="N953">
        <v>0</v>
      </c>
      <c r="O953">
        <v>1.46</v>
      </c>
      <c r="P953" s="2" t="s">
        <v>68</v>
      </c>
      <c r="Q953">
        <v>40.130000000000003</v>
      </c>
      <c r="R953">
        <v>0</v>
      </c>
      <c r="S953">
        <v>40.51</v>
      </c>
      <c r="T953">
        <v>-40.51</v>
      </c>
      <c r="U953">
        <f t="shared" si="14"/>
        <v>1</v>
      </c>
    </row>
    <row r="954" spans="1:21" x14ac:dyDescent="0.25">
      <c r="A954" s="2" t="s">
        <v>1566</v>
      </c>
      <c r="B954" s="2" t="s">
        <v>1443</v>
      </c>
      <c r="C954" s="1">
        <v>45713</v>
      </c>
      <c r="D954" s="2" t="s">
        <v>45</v>
      </c>
      <c r="E954" s="2" t="s">
        <v>71</v>
      </c>
      <c r="F954" s="2" t="s">
        <v>51</v>
      </c>
      <c r="G954">
        <v>2</v>
      </c>
      <c r="H954" s="2" t="s">
        <v>64</v>
      </c>
      <c r="I954">
        <v>97.73</v>
      </c>
      <c r="J954">
        <v>25</v>
      </c>
      <c r="K954">
        <v>24.43</v>
      </c>
      <c r="L954">
        <v>17.48</v>
      </c>
      <c r="M954">
        <v>32.33</v>
      </c>
      <c r="N954">
        <v>0</v>
      </c>
      <c r="O954">
        <v>2.4300000000000002</v>
      </c>
      <c r="P954" s="2" t="s">
        <v>42</v>
      </c>
      <c r="Q954">
        <v>0</v>
      </c>
      <c r="R954">
        <v>73.3</v>
      </c>
      <c r="S954">
        <v>52.24</v>
      </c>
      <c r="T954">
        <v>21.06</v>
      </c>
      <c r="U954">
        <f t="shared" si="14"/>
        <v>0</v>
      </c>
    </row>
    <row r="955" spans="1:21" x14ac:dyDescent="0.25">
      <c r="A955" s="2" t="s">
        <v>1567</v>
      </c>
      <c r="B955" s="2" t="s">
        <v>833</v>
      </c>
      <c r="C955" s="1">
        <v>45908</v>
      </c>
      <c r="D955" s="2" t="s">
        <v>45</v>
      </c>
      <c r="E955" s="2" t="s">
        <v>55</v>
      </c>
      <c r="F955" s="2" t="s">
        <v>51</v>
      </c>
      <c r="G955">
        <v>1</v>
      </c>
      <c r="H955" s="2" t="s">
        <v>48</v>
      </c>
      <c r="I955">
        <v>24.02</v>
      </c>
      <c r="J955">
        <v>0</v>
      </c>
      <c r="K955">
        <v>0</v>
      </c>
      <c r="L955">
        <v>3.98</v>
      </c>
      <c r="M955">
        <v>10.75</v>
      </c>
      <c r="N955">
        <v>0</v>
      </c>
      <c r="O955">
        <v>1</v>
      </c>
      <c r="P955" s="2" t="s">
        <v>42</v>
      </c>
      <c r="Q955">
        <v>0</v>
      </c>
      <c r="R955">
        <v>24.02</v>
      </c>
      <c r="S955">
        <v>15.73</v>
      </c>
      <c r="T955">
        <v>8.2899999999999991</v>
      </c>
      <c r="U955">
        <f t="shared" si="14"/>
        <v>1</v>
      </c>
    </row>
    <row r="956" spans="1:21" x14ac:dyDescent="0.25">
      <c r="A956" s="2" t="s">
        <v>1568</v>
      </c>
      <c r="B956" s="2" t="s">
        <v>1569</v>
      </c>
      <c r="C956" s="1">
        <v>45590</v>
      </c>
      <c r="D956" s="2" t="s">
        <v>38</v>
      </c>
      <c r="E956" s="2" t="s">
        <v>46</v>
      </c>
      <c r="F956" s="2" t="s">
        <v>85</v>
      </c>
      <c r="G956">
        <v>1</v>
      </c>
      <c r="H956" s="2" t="s">
        <v>74</v>
      </c>
      <c r="I956">
        <v>28.96</v>
      </c>
      <c r="J956">
        <v>5</v>
      </c>
      <c r="K956">
        <v>1.45</v>
      </c>
      <c r="L956">
        <v>9.02</v>
      </c>
      <c r="M956">
        <v>8.3000000000000007</v>
      </c>
      <c r="N956">
        <v>0</v>
      </c>
      <c r="O956">
        <v>1.1000000000000001</v>
      </c>
      <c r="P956" s="2" t="s">
        <v>42</v>
      </c>
      <c r="Q956">
        <v>0</v>
      </c>
      <c r="R956">
        <v>27.51</v>
      </c>
      <c r="S956">
        <v>18.420000000000002</v>
      </c>
      <c r="T956">
        <v>9.09</v>
      </c>
      <c r="U956">
        <f t="shared" si="14"/>
        <v>0</v>
      </c>
    </row>
    <row r="957" spans="1:21" x14ac:dyDescent="0.25">
      <c r="A957" s="2" t="s">
        <v>1570</v>
      </c>
      <c r="B957" s="2" t="s">
        <v>1571</v>
      </c>
      <c r="C957" s="1">
        <v>45396</v>
      </c>
      <c r="D957" s="2" t="s">
        <v>45</v>
      </c>
      <c r="E957" s="2" t="s">
        <v>46</v>
      </c>
      <c r="F957" s="2" t="s">
        <v>51</v>
      </c>
      <c r="G957">
        <v>2</v>
      </c>
      <c r="H957" s="2" t="s">
        <v>48</v>
      </c>
      <c r="I957">
        <v>36.83</v>
      </c>
      <c r="J957">
        <v>15</v>
      </c>
      <c r="K957">
        <v>5.52</v>
      </c>
      <c r="L957">
        <v>19.8</v>
      </c>
      <c r="M957">
        <v>14.82</v>
      </c>
      <c r="N957">
        <v>0</v>
      </c>
      <c r="O957">
        <v>1.21</v>
      </c>
      <c r="P957" s="2" t="s">
        <v>42</v>
      </c>
      <c r="Q957">
        <v>0</v>
      </c>
      <c r="R957">
        <v>31.31</v>
      </c>
      <c r="S957">
        <v>35.83</v>
      </c>
      <c r="T957">
        <v>-4.5199999999999996</v>
      </c>
      <c r="U957">
        <f t="shared" si="14"/>
        <v>0</v>
      </c>
    </row>
    <row r="958" spans="1:21" x14ac:dyDescent="0.25">
      <c r="A958" s="2" t="s">
        <v>1572</v>
      </c>
      <c r="B958" s="2" t="s">
        <v>1573</v>
      </c>
      <c r="C958" s="1">
        <v>45623</v>
      </c>
      <c r="D958" s="2" t="s">
        <v>80</v>
      </c>
      <c r="E958" s="2" t="s">
        <v>46</v>
      </c>
      <c r="F958" s="2" t="s">
        <v>94</v>
      </c>
      <c r="G958">
        <v>1</v>
      </c>
      <c r="H958" s="2" t="s">
        <v>64</v>
      </c>
      <c r="I958">
        <v>95.89</v>
      </c>
      <c r="J958">
        <v>0</v>
      </c>
      <c r="K958">
        <v>0</v>
      </c>
      <c r="L958">
        <v>9.34</v>
      </c>
      <c r="M958">
        <v>27.4</v>
      </c>
      <c r="N958">
        <v>7.67</v>
      </c>
      <c r="O958">
        <v>3.08</v>
      </c>
      <c r="P958" s="2" t="s">
        <v>42</v>
      </c>
      <c r="Q958">
        <v>0</v>
      </c>
      <c r="R958">
        <v>95.89</v>
      </c>
      <c r="S958">
        <v>47.49</v>
      </c>
      <c r="T958">
        <v>48.4</v>
      </c>
      <c r="U958">
        <f t="shared" si="14"/>
        <v>0</v>
      </c>
    </row>
    <row r="959" spans="1:21" x14ac:dyDescent="0.25">
      <c r="A959" s="2" t="s">
        <v>1574</v>
      </c>
      <c r="B959" s="2" t="s">
        <v>374</v>
      </c>
      <c r="C959" s="1">
        <v>45567</v>
      </c>
      <c r="D959" s="2" t="s">
        <v>38</v>
      </c>
      <c r="E959" s="2" t="s">
        <v>46</v>
      </c>
      <c r="F959" s="2" t="s">
        <v>85</v>
      </c>
      <c r="G959">
        <v>1</v>
      </c>
      <c r="H959" s="2" t="s">
        <v>56</v>
      </c>
      <c r="I959">
        <v>34.799999999999997</v>
      </c>
      <c r="J959">
        <v>0</v>
      </c>
      <c r="K959">
        <v>0</v>
      </c>
      <c r="L959">
        <v>24.6</v>
      </c>
      <c r="M959">
        <v>14.46</v>
      </c>
      <c r="N959">
        <v>0</v>
      </c>
      <c r="O959">
        <v>1.31</v>
      </c>
      <c r="P959" s="2" t="s">
        <v>42</v>
      </c>
      <c r="Q959">
        <v>0</v>
      </c>
      <c r="R959">
        <v>34.799999999999997</v>
      </c>
      <c r="S959">
        <v>40.369999999999997</v>
      </c>
      <c r="T959">
        <v>-5.57</v>
      </c>
      <c r="U959">
        <f t="shared" si="14"/>
        <v>0</v>
      </c>
    </row>
    <row r="960" spans="1:21" x14ac:dyDescent="0.25">
      <c r="A960" s="2" t="s">
        <v>1575</v>
      </c>
      <c r="B960" s="2" t="s">
        <v>1576</v>
      </c>
      <c r="C960" s="1">
        <v>45999</v>
      </c>
      <c r="D960" s="2" t="s">
        <v>38</v>
      </c>
      <c r="E960" s="2" t="s">
        <v>71</v>
      </c>
      <c r="F960" s="2" t="s">
        <v>51</v>
      </c>
      <c r="G960">
        <v>2</v>
      </c>
      <c r="H960" s="2" t="s">
        <v>52</v>
      </c>
      <c r="I960">
        <v>247.18</v>
      </c>
      <c r="J960">
        <v>0</v>
      </c>
      <c r="K960">
        <v>0</v>
      </c>
      <c r="L960">
        <v>34.74</v>
      </c>
      <c r="M960">
        <v>76.13</v>
      </c>
      <c r="N960">
        <v>0</v>
      </c>
      <c r="O960">
        <v>7.47</v>
      </c>
      <c r="P960" s="2" t="s">
        <v>42</v>
      </c>
      <c r="Q960">
        <v>0</v>
      </c>
      <c r="R960">
        <v>247.18</v>
      </c>
      <c r="S960">
        <v>118.34</v>
      </c>
      <c r="T960">
        <v>128.84</v>
      </c>
      <c r="U960">
        <f t="shared" si="14"/>
        <v>0</v>
      </c>
    </row>
    <row r="961" spans="1:21" x14ac:dyDescent="0.25">
      <c r="A961" s="2" t="s">
        <v>1577</v>
      </c>
      <c r="B961" s="2" t="s">
        <v>1395</v>
      </c>
      <c r="C961" s="1">
        <v>45863</v>
      </c>
      <c r="D961" s="2" t="s">
        <v>45</v>
      </c>
      <c r="E961" s="2" t="s">
        <v>71</v>
      </c>
      <c r="F961" s="2" t="s">
        <v>47</v>
      </c>
      <c r="G961">
        <v>4</v>
      </c>
      <c r="H961" s="2" t="s">
        <v>64</v>
      </c>
      <c r="I961">
        <v>329.65</v>
      </c>
      <c r="J961">
        <v>0</v>
      </c>
      <c r="K961">
        <v>0</v>
      </c>
      <c r="L961">
        <v>44.56</v>
      </c>
      <c r="M961">
        <v>113.49</v>
      </c>
      <c r="N961">
        <v>0</v>
      </c>
      <c r="O961">
        <v>9.86</v>
      </c>
      <c r="P961" s="2" t="s">
        <v>42</v>
      </c>
      <c r="Q961">
        <v>0</v>
      </c>
      <c r="R961">
        <v>329.65</v>
      </c>
      <c r="S961">
        <v>167.91</v>
      </c>
      <c r="T961">
        <v>161.74</v>
      </c>
      <c r="U961">
        <f t="shared" si="14"/>
        <v>0</v>
      </c>
    </row>
    <row r="962" spans="1:21" x14ac:dyDescent="0.25">
      <c r="A962" s="2" t="s">
        <v>1578</v>
      </c>
      <c r="B962" s="2" t="s">
        <v>1070</v>
      </c>
      <c r="C962" s="1">
        <v>45922</v>
      </c>
      <c r="D962" s="2" t="s">
        <v>59</v>
      </c>
      <c r="E962" s="2" t="s">
        <v>67</v>
      </c>
      <c r="F962" s="2" t="s">
        <v>51</v>
      </c>
      <c r="G962">
        <v>1</v>
      </c>
      <c r="H962" s="2" t="s">
        <v>74</v>
      </c>
      <c r="I962">
        <v>54.32</v>
      </c>
      <c r="J962">
        <v>0</v>
      </c>
      <c r="K962">
        <v>0</v>
      </c>
      <c r="L962">
        <v>22.68</v>
      </c>
      <c r="M962">
        <v>27.28</v>
      </c>
      <c r="N962">
        <v>8.15</v>
      </c>
      <c r="O962">
        <v>1.88</v>
      </c>
      <c r="P962" s="2" t="s">
        <v>42</v>
      </c>
      <c r="Q962">
        <v>0</v>
      </c>
      <c r="R962">
        <v>54.32</v>
      </c>
      <c r="S962">
        <v>59.99</v>
      </c>
      <c r="T962">
        <v>-5.67</v>
      </c>
      <c r="U962">
        <f t="shared" si="14"/>
        <v>0</v>
      </c>
    </row>
    <row r="963" spans="1:21" x14ac:dyDescent="0.25">
      <c r="A963" s="2" t="s">
        <v>1579</v>
      </c>
      <c r="B963" s="2" t="s">
        <v>1451</v>
      </c>
      <c r="C963" s="1">
        <v>45940</v>
      </c>
      <c r="D963" s="2" t="s">
        <v>45</v>
      </c>
      <c r="E963" s="2" t="s">
        <v>55</v>
      </c>
      <c r="F963" s="2" t="s">
        <v>85</v>
      </c>
      <c r="G963">
        <v>1</v>
      </c>
      <c r="H963" s="2" t="s">
        <v>111</v>
      </c>
      <c r="I963">
        <v>115.01</v>
      </c>
      <c r="J963">
        <v>15</v>
      </c>
      <c r="K963">
        <v>17.25</v>
      </c>
      <c r="L963">
        <v>13.18</v>
      </c>
      <c r="M963">
        <v>35.49</v>
      </c>
      <c r="N963">
        <v>0</v>
      </c>
      <c r="O963">
        <v>3.14</v>
      </c>
      <c r="P963" s="2" t="s">
        <v>42</v>
      </c>
      <c r="Q963">
        <v>0</v>
      </c>
      <c r="R963">
        <v>97.76</v>
      </c>
      <c r="S963">
        <v>51.81</v>
      </c>
      <c r="T963">
        <v>45.95</v>
      </c>
      <c r="U963">
        <f t="shared" si="14"/>
        <v>0</v>
      </c>
    </row>
    <row r="964" spans="1:21" x14ac:dyDescent="0.25">
      <c r="A964" s="2" t="s">
        <v>1580</v>
      </c>
      <c r="B964" s="2" t="s">
        <v>485</v>
      </c>
      <c r="C964" s="1">
        <v>45525</v>
      </c>
      <c r="D964" s="2" t="s">
        <v>80</v>
      </c>
      <c r="E964" s="2" t="s">
        <v>46</v>
      </c>
      <c r="F964" s="2" t="s">
        <v>51</v>
      </c>
      <c r="G964">
        <v>4</v>
      </c>
      <c r="H964" s="2" t="s">
        <v>77</v>
      </c>
      <c r="I964">
        <v>329.37</v>
      </c>
      <c r="J964">
        <v>10</v>
      </c>
      <c r="K964">
        <v>32.94</v>
      </c>
      <c r="L964">
        <v>37.4</v>
      </c>
      <c r="M964">
        <v>121</v>
      </c>
      <c r="N964">
        <v>23.71</v>
      </c>
      <c r="O964">
        <v>8.9</v>
      </c>
      <c r="P964" s="2" t="s">
        <v>68</v>
      </c>
      <c r="Q964">
        <v>296.43</v>
      </c>
      <c r="R964">
        <v>0</v>
      </c>
      <c r="S964">
        <v>191.01</v>
      </c>
      <c r="T964">
        <v>-191.01</v>
      </c>
      <c r="U964">
        <f t="shared" si="14"/>
        <v>0</v>
      </c>
    </row>
    <row r="965" spans="1:21" x14ac:dyDescent="0.25">
      <c r="A965" s="2" t="s">
        <v>1581</v>
      </c>
      <c r="B965" s="2" t="s">
        <v>493</v>
      </c>
      <c r="C965" s="1">
        <v>46003</v>
      </c>
      <c r="D965" s="2" t="s">
        <v>38</v>
      </c>
      <c r="E965" s="2" t="s">
        <v>71</v>
      </c>
      <c r="F965" s="2" t="s">
        <v>47</v>
      </c>
      <c r="G965">
        <v>1</v>
      </c>
      <c r="H965" s="2" t="s">
        <v>64</v>
      </c>
      <c r="I965">
        <v>37.86</v>
      </c>
      <c r="J965">
        <v>0</v>
      </c>
      <c r="K965">
        <v>0</v>
      </c>
      <c r="L965">
        <v>9.02</v>
      </c>
      <c r="M965">
        <v>26.84</v>
      </c>
      <c r="N965">
        <v>0</v>
      </c>
      <c r="O965">
        <v>1.4</v>
      </c>
      <c r="P965" s="2" t="s">
        <v>42</v>
      </c>
      <c r="Q965">
        <v>0</v>
      </c>
      <c r="R965">
        <v>37.86</v>
      </c>
      <c r="S965">
        <v>37.26</v>
      </c>
      <c r="T965">
        <v>0.6</v>
      </c>
      <c r="U965">
        <f t="shared" ref="U965:U1028" si="15">IF(P963="Yes", 1, 0)</f>
        <v>0</v>
      </c>
    </row>
    <row r="966" spans="1:21" x14ac:dyDescent="0.25">
      <c r="A966" s="2" t="s">
        <v>1582</v>
      </c>
      <c r="B966" s="2" t="s">
        <v>696</v>
      </c>
      <c r="C966" s="1">
        <v>45803</v>
      </c>
      <c r="D966" s="2" t="s">
        <v>59</v>
      </c>
      <c r="E966" s="2" t="s">
        <v>46</v>
      </c>
      <c r="F966" s="2" t="s">
        <v>40</v>
      </c>
      <c r="G966">
        <v>3</v>
      </c>
      <c r="H966" s="2" t="s">
        <v>111</v>
      </c>
      <c r="I966">
        <v>123.91</v>
      </c>
      <c r="J966">
        <v>0</v>
      </c>
      <c r="K966">
        <v>0</v>
      </c>
      <c r="L966">
        <v>33.76</v>
      </c>
      <c r="M966">
        <v>63.47</v>
      </c>
      <c r="N966">
        <v>18.59</v>
      </c>
      <c r="O966">
        <v>3.89</v>
      </c>
      <c r="P966" s="2" t="s">
        <v>42</v>
      </c>
      <c r="Q966">
        <v>0</v>
      </c>
      <c r="R966">
        <v>123.91</v>
      </c>
      <c r="S966">
        <v>119.71</v>
      </c>
      <c r="T966">
        <v>4.2</v>
      </c>
      <c r="U966">
        <f t="shared" si="15"/>
        <v>1</v>
      </c>
    </row>
    <row r="967" spans="1:21" x14ac:dyDescent="0.25">
      <c r="A967" s="2" t="s">
        <v>1583</v>
      </c>
      <c r="B967" s="2" t="s">
        <v>1122</v>
      </c>
      <c r="C967" s="1">
        <v>45714</v>
      </c>
      <c r="D967" s="2" t="s">
        <v>45</v>
      </c>
      <c r="E967" s="2" t="s">
        <v>71</v>
      </c>
      <c r="F967" s="2" t="s">
        <v>40</v>
      </c>
      <c r="G967">
        <v>1</v>
      </c>
      <c r="H967" s="2" t="s">
        <v>52</v>
      </c>
      <c r="I967">
        <v>124.51</v>
      </c>
      <c r="J967">
        <v>0</v>
      </c>
      <c r="K967">
        <v>0</v>
      </c>
      <c r="L967">
        <v>5.98</v>
      </c>
      <c r="M967">
        <v>38.53</v>
      </c>
      <c r="N967">
        <v>0</v>
      </c>
      <c r="O967">
        <v>3.91</v>
      </c>
      <c r="P967" s="2" t="s">
        <v>68</v>
      </c>
      <c r="Q967">
        <v>124.51</v>
      </c>
      <c r="R967">
        <v>0</v>
      </c>
      <c r="S967">
        <v>48.42</v>
      </c>
      <c r="T967">
        <v>-48.42</v>
      </c>
      <c r="U967">
        <f t="shared" si="15"/>
        <v>0</v>
      </c>
    </row>
    <row r="968" spans="1:21" x14ac:dyDescent="0.25">
      <c r="A968" s="2" t="s">
        <v>1584</v>
      </c>
      <c r="B968" s="2" t="s">
        <v>1585</v>
      </c>
      <c r="C968" s="1">
        <v>45812</v>
      </c>
      <c r="D968" s="2" t="s">
        <v>80</v>
      </c>
      <c r="E968" s="2" t="s">
        <v>46</v>
      </c>
      <c r="F968" s="2" t="s">
        <v>94</v>
      </c>
      <c r="G968">
        <v>4</v>
      </c>
      <c r="H968" s="2" t="s">
        <v>41</v>
      </c>
      <c r="I968">
        <v>166.54</v>
      </c>
      <c r="J968">
        <v>20</v>
      </c>
      <c r="K968">
        <v>33.31</v>
      </c>
      <c r="L968">
        <v>63.26</v>
      </c>
      <c r="M968">
        <v>72.11</v>
      </c>
      <c r="N968">
        <v>10.66</v>
      </c>
      <c r="O968">
        <v>4.16</v>
      </c>
      <c r="P968" s="2" t="s">
        <v>42</v>
      </c>
      <c r="Q968">
        <v>0</v>
      </c>
      <c r="R968">
        <v>133.22999999999999</v>
      </c>
      <c r="S968">
        <v>150.19</v>
      </c>
      <c r="T968">
        <v>-16.96</v>
      </c>
      <c r="U968">
        <f t="shared" si="15"/>
        <v>0</v>
      </c>
    </row>
    <row r="969" spans="1:21" x14ac:dyDescent="0.25">
      <c r="A969" s="2" t="s">
        <v>1586</v>
      </c>
      <c r="B969" s="2" t="s">
        <v>1473</v>
      </c>
      <c r="C969" s="1">
        <v>45753</v>
      </c>
      <c r="D969" s="2" t="s">
        <v>45</v>
      </c>
      <c r="E969" s="2" t="s">
        <v>39</v>
      </c>
      <c r="F969" s="2" t="s">
        <v>51</v>
      </c>
      <c r="G969">
        <v>4</v>
      </c>
      <c r="H969" s="2" t="s">
        <v>48</v>
      </c>
      <c r="I969">
        <v>266.83999999999997</v>
      </c>
      <c r="J969">
        <v>25</v>
      </c>
      <c r="K969">
        <v>66.709999999999994</v>
      </c>
      <c r="L969">
        <v>51.1</v>
      </c>
      <c r="M969">
        <v>109.91</v>
      </c>
      <c r="N969">
        <v>0</v>
      </c>
      <c r="O969">
        <v>6.1</v>
      </c>
      <c r="P969" s="2" t="s">
        <v>42</v>
      </c>
      <c r="Q969">
        <v>0</v>
      </c>
      <c r="R969">
        <v>200.13</v>
      </c>
      <c r="S969">
        <v>167.11</v>
      </c>
      <c r="T969">
        <v>33.020000000000003</v>
      </c>
      <c r="U969">
        <f t="shared" si="15"/>
        <v>1</v>
      </c>
    </row>
    <row r="970" spans="1:21" x14ac:dyDescent="0.25">
      <c r="A970" s="2" t="s">
        <v>1587</v>
      </c>
      <c r="B970" s="2" t="s">
        <v>676</v>
      </c>
      <c r="C970" s="1">
        <v>45763</v>
      </c>
      <c r="D970" s="2" t="s">
        <v>45</v>
      </c>
      <c r="E970" s="2" t="s">
        <v>46</v>
      </c>
      <c r="F970" s="2" t="s">
        <v>94</v>
      </c>
      <c r="G970">
        <v>1</v>
      </c>
      <c r="H970" s="2" t="s">
        <v>77</v>
      </c>
      <c r="I970">
        <v>6.98</v>
      </c>
      <c r="J970">
        <v>0</v>
      </c>
      <c r="K970">
        <v>0</v>
      </c>
      <c r="L970">
        <v>20.76</v>
      </c>
      <c r="M970">
        <v>4.34</v>
      </c>
      <c r="N970">
        <v>0</v>
      </c>
      <c r="O970">
        <v>0.5</v>
      </c>
      <c r="P970" s="2" t="s">
        <v>42</v>
      </c>
      <c r="Q970">
        <v>0</v>
      </c>
      <c r="R970">
        <v>6.98</v>
      </c>
      <c r="S970">
        <v>25.6</v>
      </c>
      <c r="T970">
        <v>-18.62</v>
      </c>
      <c r="U970">
        <f t="shared" si="15"/>
        <v>0</v>
      </c>
    </row>
    <row r="971" spans="1:21" x14ac:dyDescent="0.25">
      <c r="A971" s="2" t="s">
        <v>1588</v>
      </c>
      <c r="B971" s="2" t="s">
        <v>376</v>
      </c>
      <c r="C971" s="1">
        <v>45741</v>
      </c>
      <c r="D971" s="2" t="s">
        <v>38</v>
      </c>
      <c r="E971" s="2" t="s">
        <v>46</v>
      </c>
      <c r="F971" s="2" t="s">
        <v>85</v>
      </c>
      <c r="G971">
        <v>2</v>
      </c>
      <c r="H971" s="2" t="s">
        <v>56</v>
      </c>
      <c r="I971">
        <v>71.44</v>
      </c>
      <c r="J971">
        <v>0</v>
      </c>
      <c r="K971">
        <v>0</v>
      </c>
      <c r="L971">
        <v>16.579999999999998</v>
      </c>
      <c r="M971">
        <v>36.6</v>
      </c>
      <c r="N971">
        <v>0</v>
      </c>
      <c r="O971">
        <v>2.37</v>
      </c>
      <c r="P971" s="2" t="s">
        <v>42</v>
      </c>
      <c r="Q971">
        <v>0</v>
      </c>
      <c r="R971">
        <v>71.44</v>
      </c>
      <c r="S971">
        <v>55.55</v>
      </c>
      <c r="T971">
        <v>15.89</v>
      </c>
      <c r="U971">
        <f t="shared" si="15"/>
        <v>0</v>
      </c>
    </row>
    <row r="972" spans="1:21" x14ac:dyDescent="0.25">
      <c r="A972" s="2" t="s">
        <v>1589</v>
      </c>
      <c r="B972" s="2" t="s">
        <v>221</v>
      </c>
      <c r="C972" s="1">
        <v>45620</v>
      </c>
      <c r="D972" s="2" t="s">
        <v>38</v>
      </c>
      <c r="E972" s="2" t="s">
        <v>67</v>
      </c>
      <c r="F972" s="2" t="s">
        <v>85</v>
      </c>
      <c r="G972">
        <v>4</v>
      </c>
      <c r="H972" s="2" t="s">
        <v>41</v>
      </c>
      <c r="I972">
        <v>224.07</v>
      </c>
      <c r="J972">
        <v>5</v>
      </c>
      <c r="K972">
        <v>11.2</v>
      </c>
      <c r="L972">
        <v>50.06</v>
      </c>
      <c r="M972">
        <v>91.37</v>
      </c>
      <c r="N972">
        <v>0</v>
      </c>
      <c r="O972">
        <v>6.47</v>
      </c>
      <c r="P972" s="2" t="s">
        <v>42</v>
      </c>
      <c r="Q972">
        <v>0</v>
      </c>
      <c r="R972">
        <v>212.87</v>
      </c>
      <c r="S972">
        <v>147.9</v>
      </c>
      <c r="T972">
        <v>64.97</v>
      </c>
      <c r="U972">
        <f t="shared" si="15"/>
        <v>0</v>
      </c>
    </row>
    <row r="973" spans="1:21" x14ac:dyDescent="0.25">
      <c r="A973" s="2" t="s">
        <v>1590</v>
      </c>
      <c r="B973" s="2" t="s">
        <v>54</v>
      </c>
      <c r="C973" s="1">
        <v>45781</v>
      </c>
      <c r="D973" s="2" t="s">
        <v>45</v>
      </c>
      <c r="E973" s="2" t="s">
        <v>71</v>
      </c>
      <c r="F973" s="2" t="s">
        <v>85</v>
      </c>
      <c r="G973">
        <v>1</v>
      </c>
      <c r="H973" s="2" t="s">
        <v>56</v>
      </c>
      <c r="I973">
        <v>121.03</v>
      </c>
      <c r="J973">
        <v>0</v>
      </c>
      <c r="K973">
        <v>0</v>
      </c>
      <c r="L973">
        <v>4.78</v>
      </c>
      <c r="M973">
        <v>37.76</v>
      </c>
      <c r="N973">
        <v>0</v>
      </c>
      <c r="O973">
        <v>3.81</v>
      </c>
      <c r="P973" s="2" t="s">
        <v>42</v>
      </c>
      <c r="Q973">
        <v>0</v>
      </c>
      <c r="R973">
        <v>121.03</v>
      </c>
      <c r="S973">
        <v>46.35</v>
      </c>
      <c r="T973">
        <v>74.680000000000007</v>
      </c>
      <c r="U973">
        <f t="shared" si="15"/>
        <v>0</v>
      </c>
    </row>
    <row r="974" spans="1:21" x14ac:dyDescent="0.25">
      <c r="A974" s="2" t="s">
        <v>1591</v>
      </c>
      <c r="B974" s="2" t="s">
        <v>215</v>
      </c>
      <c r="C974" s="1">
        <v>45698</v>
      </c>
      <c r="D974" s="2" t="s">
        <v>38</v>
      </c>
      <c r="E974" s="2" t="s">
        <v>55</v>
      </c>
      <c r="F974" s="2" t="s">
        <v>94</v>
      </c>
      <c r="G974">
        <v>1</v>
      </c>
      <c r="H974" s="2" t="s">
        <v>52</v>
      </c>
      <c r="I974">
        <v>40.89</v>
      </c>
      <c r="J974">
        <v>10</v>
      </c>
      <c r="K974">
        <v>4.09</v>
      </c>
      <c r="L974">
        <v>7.18</v>
      </c>
      <c r="M974">
        <v>11.78</v>
      </c>
      <c r="N974">
        <v>0</v>
      </c>
      <c r="O974">
        <v>1.37</v>
      </c>
      <c r="P974" s="2" t="s">
        <v>42</v>
      </c>
      <c r="Q974">
        <v>0</v>
      </c>
      <c r="R974">
        <v>36.799999999999997</v>
      </c>
      <c r="S974">
        <v>20.329999999999998</v>
      </c>
      <c r="T974">
        <v>16.47</v>
      </c>
      <c r="U974">
        <f t="shared" si="15"/>
        <v>0</v>
      </c>
    </row>
    <row r="975" spans="1:21" x14ac:dyDescent="0.25">
      <c r="A975" s="2" t="s">
        <v>1592</v>
      </c>
      <c r="B975" s="2" t="s">
        <v>1231</v>
      </c>
      <c r="C975" s="1">
        <v>45769</v>
      </c>
      <c r="D975" s="2" t="s">
        <v>59</v>
      </c>
      <c r="E975" s="2" t="s">
        <v>55</v>
      </c>
      <c r="F975" s="2" t="s">
        <v>47</v>
      </c>
      <c r="G975">
        <v>2</v>
      </c>
      <c r="H975" s="2" t="s">
        <v>41</v>
      </c>
      <c r="I975">
        <v>531</v>
      </c>
      <c r="J975">
        <v>25</v>
      </c>
      <c r="K975">
        <v>132.75</v>
      </c>
      <c r="L975">
        <v>37.700000000000003</v>
      </c>
      <c r="M975">
        <v>170.82</v>
      </c>
      <c r="N975">
        <v>59.74</v>
      </c>
      <c r="O975">
        <v>11.85</v>
      </c>
      <c r="P975" s="2" t="s">
        <v>42</v>
      </c>
      <c r="Q975">
        <v>0</v>
      </c>
      <c r="R975">
        <v>398.25</v>
      </c>
      <c r="S975">
        <v>280.11</v>
      </c>
      <c r="T975">
        <v>118.14</v>
      </c>
      <c r="U975">
        <f t="shared" si="15"/>
        <v>0</v>
      </c>
    </row>
    <row r="976" spans="1:21" x14ac:dyDescent="0.25">
      <c r="A976" s="2" t="s">
        <v>1593</v>
      </c>
      <c r="B976" s="2" t="s">
        <v>1594</v>
      </c>
      <c r="C976" s="1">
        <v>45864</v>
      </c>
      <c r="D976" s="2" t="s">
        <v>45</v>
      </c>
      <c r="E976" s="2" t="s">
        <v>55</v>
      </c>
      <c r="F976" s="2" t="s">
        <v>47</v>
      </c>
      <c r="G976">
        <v>3</v>
      </c>
      <c r="H976" s="2" t="s">
        <v>77</v>
      </c>
      <c r="I976">
        <v>91.42</v>
      </c>
      <c r="J976">
        <v>0</v>
      </c>
      <c r="K976">
        <v>0</v>
      </c>
      <c r="L976">
        <v>35.86</v>
      </c>
      <c r="M976">
        <v>49.98</v>
      </c>
      <c r="N976">
        <v>0</v>
      </c>
      <c r="O976">
        <v>2.95</v>
      </c>
      <c r="P976" s="2" t="s">
        <v>42</v>
      </c>
      <c r="Q976">
        <v>0</v>
      </c>
      <c r="R976">
        <v>91.42</v>
      </c>
      <c r="S976">
        <v>88.79</v>
      </c>
      <c r="T976">
        <v>2.63</v>
      </c>
      <c r="U976">
        <f t="shared" si="15"/>
        <v>0</v>
      </c>
    </row>
    <row r="977" spans="1:21" x14ac:dyDescent="0.25">
      <c r="A977" s="2" t="s">
        <v>1595</v>
      </c>
      <c r="B977" s="2" t="s">
        <v>790</v>
      </c>
      <c r="C977" s="1">
        <v>45917</v>
      </c>
      <c r="D977" s="2" t="s">
        <v>59</v>
      </c>
      <c r="E977" s="2" t="s">
        <v>55</v>
      </c>
      <c r="F977" s="2" t="s">
        <v>47</v>
      </c>
      <c r="G977">
        <v>2</v>
      </c>
      <c r="H977" s="2" t="s">
        <v>41</v>
      </c>
      <c r="I977">
        <v>66.66</v>
      </c>
      <c r="J977">
        <v>0</v>
      </c>
      <c r="K977">
        <v>0</v>
      </c>
      <c r="L977">
        <v>36.979999999999997</v>
      </c>
      <c r="M977">
        <v>43.3</v>
      </c>
      <c r="N977">
        <v>10</v>
      </c>
      <c r="O977">
        <v>2.23</v>
      </c>
      <c r="P977" s="2" t="s">
        <v>42</v>
      </c>
      <c r="Q977">
        <v>0</v>
      </c>
      <c r="R977">
        <v>66.66</v>
      </c>
      <c r="S977">
        <v>92.51</v>
      </c>
      <c r="T977">
        <v>-25.85</v>
      </c>
      <c r="U977">
        <f t="shared" si="15"/>
        <v>0</v>
      </c>
    </row>
    <row r="978" spans="1:21" x14ac:dyDescent="0.25">
      <c r="A978" s="2" t="s">
        <v>1596</v>
      </c>
      <c r="B978" s="2" t="s">
        <v>1597</v>
      </c>
      <c r="C978" s="1">
        <v>45854</v>
      </c>
      <c r="D978" s="2" t="s">
        <v>38</v>
      </c>
      <c r="E978" s="2" t="s">
        <v>39</v>
      </c>
      <c r="F978" s="2" t="s">
        <v>94</v>
      </c>
      <c r="G978">
        <v>2</v>
      </c>
      <c r="H978" s="2" t="s">
        <v>74</v>
      </c>
      <c r="I978">
        <v>108.67</v>
      </c>
      <c r="J978">
        <v>0</v>
      </c>
      <c r="K978">
        <v>0</v>
      </c>
      <c r="L978">
        <v>20.04</v>
      </c>
      <c r="M978">
        <v>44.03</v>
      </c>
      <c r="N978">
        <v>0</v>
      </c>
      <c r="O978">
        <v>3.45</v>
      </c>
      <c r="P978" s="2" t="s">
        <v>42</v>
      </c>
      <c r="Q978">
        <v>0</v>
      </c>
      <c r="R978">
        <v>108.67</v>
      </c>
      <c r="S978">
        <v>67.52</v>
      </c>
      <c r="T978">
        <v>41.15</v>
      </c>
      <c r="U978">
        <f t="shared" si="15"/>
        <v>0</v>
      </c>
    </row>
    <row r="979" spans="1:21" x14ac:dyDescent="0.25">
      <c r="A979" s="2" t="s">
        <v>1598</v>
      </c>
      <c r="B979" s="2" t="s">
        <v>1400</v>
      </c>
      <c r="C979" s="1">
        <v>45813</v>
      </c>
      <c r="D979" s="2" t="s">
        <v>59</v>
      </c>
      <c r="E979" s="2" t="s">
        <v>67</v>
      </c>
      <c r="F979" s="2" t="s">
        <v>85</v>
      </c>
      <c r="G979">
        <v>3</v>
      </c>
      <c r="H979" s="2" t="s">
        <v>56</v>
      </c>
      <c r="I979">
        <v>209.24</v>
      </c>
      <c r="J979">
        <v>20</v>
      </c>
      <c r="K979">
        <v>41.85</v>
      </c>
      <c r="L979">
        <v>49.42</v>
      </c>
      <c r="M979">
        <v>73.819999999999993</v>
      </c>
      <c r="N979">
        <v>25.11</v>
      </c>
      <c r="O979">
        <v>5.15</v>
      </c>
      <c r="P979" s="2" t="s">
        <v>42</v>
      </c>
      <c r="Q979">
        <v>0</v>
      </c>
      <c r="R979">
        <v>167.39</v>
      </c>
      <c r="S979">
        <v>153.5</v>
      </c>
      <c r="T979">
        <v>13.89</v>
      </c>
      <c r="U979">
        <f t="shared" si="15"/>
        <v>0</v>
      </c>
    </row>
    <row r="980" spans="1:21" x14ac:dyDescent="0.25">
      <c r="A980" s="2" t="s">
        <v>1599</v>
      </c>
      <c r="B980" s="2" t="s">
        <v>1600</v>
      </c>
      <c r="C980" s="1">
        <v>45724</v>
      </c>
      <c r="D980" s="2" t="s">
        <v>38</v>
      </c>
      <c r="E980" s="2" t="s">
        <v>46</v>
      </c>
      <c r="F980" s="2" t="s">
        <v>51</v>
      </c>
      <c r="G980">
        <v>2</v>
      </c>
      <c r="H980" s="2" t="s">
        <v>64</v>
      </c>
      <c r="I980">
        <v>268.27</v>
      </c>
      <c r="J980">
        <v>0</v>
      </c>
      <c r="K980">
        <v>0</v>
      </c>
      <c r="L980">
        <v>26.88</v>
      </c>
      <c r="M980">
        <v>120.41</v>
      </c>
      <c r="N980">
        <v>0</v>
      </c>
      <c r="O980">
        <v>8.08</v>
      </c>
      <c r="P980" s="2" t="s">
        <v>42</v>
      </c>
      <c r="Q980">
        <v>0</v>
      </c>
      <c r="R980">
        <v>268.27</v>
      </c>
      <c r="S980">
        <v>155.37</v>
      </c>
      <c r="T980">
        <v>112.9</v>
      </c>
      <c r="U980">
        <f t="shared" si="15"/>
        <v>0</v>
      </c>
    </row>
    <row r="981" spans="1:21" x14ac:dyDescent="0.25">
      <c r="A981" s="2" t="s">
        <v>1601</v>
      </c>
      <c r="B981" s="2" t="s">
        <v>1602</v>
      </c>
      <c r="C981" s="1">
        <v>45654</v>
      </c>
      <c r="D981" s="2" t="s">
        <v>45</v>
      </c>
      <c r="E981" s="2" t="s">
        <v>46</v>
      </c>
      <c r="F981" s="2" t="s">
        <v>47</v>
      </c>
      <c r="G981">
        <v>1</v>
      </c>
      <c r="H981" s="2" t="s">
        <v>52</v>
      </c>
      <c r="I981">
        <v>82.29</v>
      </c>
      <c r="J981">
        <v>0</v>
      </c>
      <c r="K981">
        <v>0</v>
      </c>
      <c r="L981">
        <v>13.02</v>
      </c>
      <c r="M981">
        <v>37.65</v>
      </c>
      <c r="N981">
        <v>0</v>
      </c>
      <c r="O981">
        <v>2.69</v>
      </c>
      <c r="P981" s="2" t="s">
        <v>42</v>
      </c>
      <c r="Q981">
        <v>0</v>
      </c>
      <c r="R981">
        <v>82.29</v>
      </c>
      <c r="S981">
        <v>53.36</v>
      </c>
      <c r="T981">
        <v>28.93</v>
      </c>
      <c r="U981">
        <f t="shared" si="15"/>
        <v>0</v>
      </c>
    </row>
    <row r="982" spans="1:21" x14ac:dyDescent="0.25">
      <c r="A982" s="2" t="s">
        <v>1603</v>
      </c>
      <c r="B982" s="2" t="s">
        <v>1604</v>
      </c>
      <c r="C982" s="1">
        <v>45744</v>
      </c>
      <c r="D982" s="2" t="s">
        <v>38</v>
      </c>
      <c r="E982" s="2" t="s">
        <v>39</v>
      </c>
      <c r="F982" s="2" t="s">
        <v>40</v>
      </c>
      <c r="G982">
        <v>2</v>
      </c>
      <c r="H982" s="2" t="s">
        <v>41</v>
      </c>
      <c r="I982">
        <v>104.71</v>
      </c>
      <c r="J982">
        <v>15</v>
      </c>
      <c r="K982">
        <v>15.71</v>
      </c>
      <c r="L982">
        <v>8.52</v>
      </c>
      <c r="M982">
        <v>31.93</v>
      </c>
      <c r="N982">
        <v>0</v>
      </c>
      <c r="O982">
        <v>2.88</v>
      </c>
      <c r="P982" s="2" t="s">
        <v>68</v>
      </c>
      <c r="Q982">
        <v>89</v>
      </c>
      <c r="R982">
        <v>0</v>
      </c>
      <c r="S982">
        <v>43.33</v>
      </c>
      <c r="T982">
        <v>-43.33</v>
      </c>
      <c r="U982">
        <f t="shared" si="15"/>
        <v>0</v>
      </c>
    </row>
    <row r="983" spans="1:21" x14ac:dyDescent="0.25">
      <c r="A983" s="2" t="s">
        <v>1605</v>
      </c>
      <c r="B983" s="2" t="s">
        <v>1573</v>
      </c>
      <c r="C983" s="1">
        <v>45724</v>
      </c>
      <c r="D983" s="2" t="s">
        <v>59</v>
      </c>
      <c r="E983" s="2" t="s">
        <v>67</v>
      </c>
      <c r="F983" s="2" t="s">
        <v>47</v>
      </c>
      <c r="G983">
        <v>2</v>
      </c>
      <c r="H983" s="2" t="s">
        <v>56</v>
      </c>
      <c r="I983">
        <v>125.24</v>
      </c>
      <c r="J983">
        <v>0</v>
      </c>
      <c r="K983">
        <v>0</v>
      </c>
      <c r="L983">
        <v>23.56</v>
      </c>
      <c r="M983">
        <v>61.82</v>
      </c>
      <c r="N983">
        <v>18.79</v>
      </c>
      <c r="O983">
        <v>3.93</v>
      </c>
      <c r="P983" s="2" t="s">
        <v>42</v>
      </c>
      <c r="Q983">
        <v>0</v>
      </c>
      <c r="R983">
        <v>125.24</v>
      </c>
      <c r="S983">
        <v>108.1</v>
      </c>
      <c r="T983">
        <v>17.14</v>
      </c>
      <c r="U983">
        <f t="shared" si="15"/>
        <v>0</v>
      </c>
    </row>
    <row r="984" spans="1:21" x14ac:dyDescent="0.25">
      <c r="A984" s="2" t="s">
        <v>1606</v>
      </c>
      <c r="B984" s="2" t="s">
        <v>1607</v>
      </c>
      <c r="C984" s="1">
        <v>45697</v>
      </c>
      <c r="D984" s="2" t="s">
        <v>45</v>
      </c>
      <c r="E984" s="2" t="s">
        <v>67</v>
      </c>
      <c r="F984" s="2" t="s">
        <v>85</v>
      </c>
      <c r="G984">
        <v>2</v>
      </c>
      <c r="H984" s="2" t="s">
        <v>56</v>
      </c>
      <c r="I984">
        <v>61.13</v>
      </c>
      <c r="J984">
        <v>20</v>
      </c>
      <c r="K984">
        <v>12.23</v>
      </c>
      <c r="L984">
        <v>18.760000000000002</v>
      </c>
      <c r="M984">
        <v>25.22</v>
      </c>
      <c r="N984">
        <v>0</v>
      </c>
      <c r="O984">
        <v>1.72</v>
      </c>
      <c r="P984" s="2" t="s">
        <v>42</v>
      </c>
      <c r="Q984">
        <v>0</v>
      </c>
      <c r="R984">
        <v>48.9</v>
      </c>
      <c r="S984">
        <v>45.7</v>
      </c>
      <c r="T984">
        <v>3.2</v>
      </c>
      <c r="U984">
        <f t="shared" si="15"/>
        <v>1</v>
      </c>
    </row>
    <row r="985" spans="1:21" x14ac:dyDescent="0.25">
      <c r="A985" s="2" t="s">
        <v>1608</v>
      </c>
      <c r="B985" s="2" t="s">
        <v>1609</v>
      </c>
      <c r="C985" s="1">
        <v>45887</v>
      </c>
      <c r="D985" s="2" t="s">
        <v>38</v>
      </c>
      <c r="E985" s="2" t="s">
        <v>46</v>
      </c>
      <c r="F985" s="2" t="s">
        <v>85</v>
      </c>
      <c r="G985">
        <v>1</v>
      </c>
      <c r="H985" s="2" t="s">
        <v>77</v>
      </c>
      <c r="I985">
        <v>16.190000000000001</v>
      </c>
      <c r="J985">
        <v>0</v>
      </c>
      <c r="K985">
        <v>0</v>
      </c>
      <c r="L985">
        <v>14.7</v>
      </c>
      <c r="M985">
        <v>5.89</v>
      </c>
      <c r="N985">
        <v>0</v>
      </c>
      <c r="O985">
        <v>0.77</v>
      </c>
      <c r="P985" s="2" t="s">
        <v>42</v>
      </c>
      <c r="Q985">
        <v>0</v>
      </c>
      <c r="R985">
        <v>16.190000000000001</v>
      </c>
      <c r="S985">
        <v>21.36</v>
      </c>
      <c r="T985">
        <v>-5.17</v>
      </c>
      <c r="U985">
        <f t="shared" si="15"/>
        <v>0</v>
      </c>
    </row>
    <row r="986" spans="1:21" x14ac:dyDescent="0.25">
      <c r="A986" s="2" t="s">
        <v>1610</v>
      </c>
      <c r="B986" s="2" t="s">
        <v>713</v>
      </c>
      <c r="C986" s="1">
        <v>45757</v>
      </c>
      <c r="D986" s="2" t="s">
        <v>38</v>
      </c>
      <c r="E986" s="2" t="s">
        <v>71</v>
      </c>
      <c r="F986" s="2" t="s">
        <v>94</v>
      </c>
      <c r="G986">
        <v>3</v>
      </c>
      <c r="H986" s="2" t="s">
        <v>74</v>
      </c>
      <c r="I986">
        <v>303.06</v>
      </c>
      <c r="J986">
        <v>0</v>
      </c>
      <c r="K986">
        <v>0</v>
      </c>
      <c r="L986">
        <v>47.6</v>
      </c>
      <c r="M986">
        <v>99.47</v>
      </c>
      <c r="N986">
        <v>0</v>
      </c>
      <c r="O986">
        <v>9.09</v>
      </c>
      <c r="P986" s="2" t="s">
        <v>42</v>
      </c>
      <c r="Q986">
        <v>0</v>
      </c>
      <c r="R986">
        <v>303.06</v>
      </c>
      <c r="S986">
        <v>156.16</v>
      </c>
      <c r="T986">
        <v>146.9</v>
      </c>
      <c r="U986">
        <f t="shared" si="15"/>
        <v>0</v>
      </c>
    </row>
    <row r="987" spans="1:21" x14ac:dyDescent="0.25">
      <c r="A987" s="2" t="s">
        <v>1611</v>
      </c>
      <c r="B987" s="2" t="s">
        <v>672</v>
      </c>
      <c r="C987" s="1">
        <v>45932</v>
      </c>
      <c r="D987" s="2" t="s">
        <v>38</v>
      </c>
      <c r="E987" s="2" t="s">
        <v>55</v>
      </c>
      <c r="F987" s="2" t="s">
        <v>51</v>
      </c>
      <c r="G987">
        <v>1</v>
      </c>
      <c r="H987" s="2" t="s">
        <v>56</v>
      </c>
      <c r="I987">
        <v>29.59</v>
      </c>
      <c r="J987">
        <v>0</v>
      </c>
      <c r="K987">
        <v>0</v>
      </c>
      <c r="L987">
        <v>4.7</v>
      </c>
      <c r="M987">
        <v>12.42</v>
      </c>
      <c r="N987">
        <v>0</v>
      </c>
      <c r="O987">
        <v>1.1599999999999999</v>
      </c>
      <c r="P987" s="2" t="s">
        <v>42</v>
      </c>
      <c r="Q987">
        <v>0</v>
      </c>
      <c r="R987">
        <v>29.59</v>
      </c>
      <c r="S987">
        <v>18.28</v>
      </c>
      <c r="T987">
        <v>11.31</v>
      </c>
      <c r="U987">
        <f t="shared" si="15"/>
        <v>0</v>
      </c>
    </row>
    <row r="988" spans="1:21" x14ac:dyDescent="0.25">
      <c r="A988" s="2" t="s">
        <v>1612</v>
      </c>
      <c r="B988" s="2" t="s">
        <v>133</v>
      </c>
      <c r="C988" s="1">
        <v>45795</v>
      </c>
      <c r="D988" s="2" t="s">
        <v>59</v>
      </c>
      <c r="E988" s="2" t="s">
        <v>55</v>
      </c>
      <c r="F988" s="2" t="s">
        <v>94</v>
      </c>
      <c r="G988">
        <v>2</v>
      </c>
      <c r="H988" s="2" t="s">
        <v>56</v>
      </c>
      <c r="I988">
        <v>58.65</v>
      </c>
      <c r="J988">
        <v>10</v>
      </c>
      <c r="K988">
        <v>5.87</v>
      </c>
      <c r="L988">
        <v>15.56</v>
      </c>
      <c r="M988">
        <v>35.9</v>
      </c>
      <c r="N988">
        <v>7.92</v>
      </c>
      <c r="O988">
        <v>1.83</v>
      </c>
      <c r="P988" s="2" t="s">
        <v>42</v>
      </c>
      <c r="Q988">
        <v>0</v>
      </c>
      <c r="R988">
        <v>52.78</v>
      </c>
      <c r="S988">
        <v>61.21</v>
      </c>
      <c r="T988">
        <v>-8.43</v>
      </c>
      <c r="U988">
        <f t="shared" si="15"/>
        <v>0</v>
      </c>
    </row>
    <row r="989" spans="1:21" x14ac:dyDescent="0.25">
      <c r="A989" s="2" t="s">
        <v>1613</v>
      </c>
      <c r="B989" s="2" t="s">
        <v>1395</v>
      </c>
      <c r="C989" s="1">
        <v>45566</v>
      </c>
      <c r="D989" s="2" t="s">
        <v>59</v>
      </c>
      <c r="E989" s="2" t="s">
        <v>46</v>
      </c>
      <c r="F989" s="2" t="s">
        <v>47</v>
      </c>
      <c r="G989">
        <v>2</v>
      </c>
      <c r="H989" s="2" t="s">
        <v>64</v>
      </c>
      <c r="I989">
        <v>91.83</v>
      </c>
      <c r="J989">
        <v>5</v>
      </c>
      <c r="K989">
        <v>4.59</v>
      </c>
      <c r="L989">
        <v>39.380000000000003</v>
      </c>
      <c r="M989">
        <v>39.33</v>
      </c>
      <c r="N989">
        <v>13.09</v>
      </c>
      <c r="O989">
        <v>2.83</v>
      </c>
      <c r="P989" s="2" t="s">
        <v>42</v>
      </c>
      <c r="Q989">
        <v>0</v>
      </c>
      <c r="R989">
        <v>87.24</v>
      </c>
      <c r="S989">
        <v>94.63</v>
      </c>
      <c r="T989">
        <v>-7.39</v>
      </c>
      <c r="U989">
        <f t="shared" si="15"/>
        <v>0</v>
      </c>
    </row>
    <row r="990" spans="1:21" x14ac:dyDescent="0.25">
      <c r="A990" s="2" t="s">
        <v>1614</v>
      </c>
      <c r="B990" s="2" t="s">
        <v>1615</v>
      </c>
      <c r="C990" s="1">
        <v>45809</v>
      </c>
      <c r="D990" s="2" t="s">
        <v>59</v>
      </c>
      <c r="E990" s="2" t="s">
        <v>55</v>
      </c>
      <c r="F990" s="2" t="s">
        <v>85</v>
      </c>
      <c r="G990">
        <v>1</v>
      </c>
      <c r="H990" s="2" t="s">
        <v>41</v>
      </c>
      <c r="I990">
        <v>68.98</v>
      </c>
      <c r="J990">
        <v>0</v>
      </c>
      <c r="K990">
        <v>0</v>
      </c>
      <c r="L990">
        <v>14.54</v>
      </c>
      <c r="M990">
        <v>25.39</v>
      </c>
      <c r="N990">
        <v>10.35</v>
      </c>
      <c r="O990">
        <v>2.2999999999999998</v>
      </c>
      <c r="P990" s="2" t="s">
        <v>42</v>
      </c>
      <c r="Q990">
        <v>0</v>
      </c>
      <c r="R990">
        <v>68.98</v>
      </c>
      <c r="S990">
        <v>52.58</v>
      </c>
      <c r="T990">
        <v>16.399999999999999</v>
      </c>
      <c r="U990">
        <f t="shared" si="15"/>
        <v>0</v>
      </c>
    </row>
    <row r="991" spans="1:21" x14ac:dyDescent="0.25">
      <c r="A991" s="2" t="s">
        <v>1616</v>
      </c>
      <c r="B991" s="2" t="s">
        <v>1617</v>
      </c>
      <c r="C991" s="1">
        <v>45801</v>
      </c>
      <c r="D991" s="2" t="s">
        <v>45</v>
      </c>
      <c r="E991" s="2" t="s">
        <v>46</v>
      </c>
      <c r="F991" s="2" t="s">
        <v>40</v>
      </c>
      <c r="G991">
        <v>2</v>
      </c>
      <c r="H991" s="2" t="s">
        <v>56</v>
      </c>
      <c r="I991">
        <v>528.27</v>
      </c>
      <c r="J991">
        <v>10</v>
      </c>
      <c r="K991">
        <v>52.83</v>
      </c>
      <c r="L991">
        <v>31.8</v>
      </c>
      <c r="M991">
        <v>176.52</v>
      </c>
      <c r="N991">
        <v>0</v>
      </c>
      <c r="O991">
        <v>14.09</v>
      </c>
      <c r="P991" s="2" t="s">
        <v>42</v>
      </c>
      <c r="Q991">
        <v>0</v>
      </c>
      <c r="R991">
        <v>475.44</v>
      </c>
      <c r="S991">
        <v>222.41</v>
      </c>
      <c r="T991">
        <v>253.03</v>
      </c>
      <c r="U991">
        <f t="shared" si="15"/>
        <v>0</v>
      </c>
    </row>
    <row r="992" spans="1:21" x14ac:dyDescent="0.25">
      <c r="A992" s="2" t="s">
        <v>1618</v>
      </c>
      <c r="B992" s="2" t="s">
        <v>1569</v>
      </c>
      <c r="C992" s="1">
        <v>45664</v>
      </c>
      <c r="D992" s="2" t="s">
        <v>38</v>
      </c>
      <c r="E992" s="2" t="s">
        <v>46</v>
      </c>
      <c r="F992" s="2" t="s">
        <v>40</v>
      </c>
      <c r="G992">
        <v>3</v>
      </c>
      <c r="H992" s="2" t="s">
        <v>48</v>
      </c>
      <c r="I992">
        <v>74.17</v>
      </c>
      <c r="J992">
        <v>20</v>
      </c>
      <c r="K992">
        <v>14.83</v>
      </c>
      <c r="L992">
        <v>31.54</v>
      </c>
      <c r="M992">
        <v>32.840000000000003</v>
      </c>
      <c r="N992">
        <v>0</v>
      </c>
      <c r="O992">
        <v>2.02</v>
      </c>
      <c r="P992" s="2" t="s">
        <v>42</v>
      </c>
      <c r="Q992">
        <v>0</v>
      </c>
      <c r="R992">
        <v>59.34</v>
      </c>
      <c r="S992">
        <v>66.400000000000006</v>
      </c>
      <c r="T992">
        <v>-7.06</v>
      </c>
      <c r="U992">
        <f t="shared" si="15"/>
        <v>0</v>
      </c>
    </row>
    <row r="993" spans="1:21" x14ac:dyDescent="0.25">
      <c r="A993" s="2" t="s">
        <v>1619</v>
      </c>
      <c r="B993" s="2" t="s">
        <v>380</v>
      </c>
      <c r="C993" s="1">
        <v>45418</v>
      </c>
      <c r="D993" s="2" t="s">
        <v>59</v>
      </c>
      <c r="E993" s="2" t="s">
        <v>39</v>
      </c>
      <c r="F993" s="2" t="s">
        <v>94</v>
      </c>
      <c r="G993">
        <v>1</v>
      </c>
      <c r="H993" s="2" t="s">
        <v>48</v>
      </c>
      <c r="I993">
        <v>63.78</v>
      </c>
      <c r="J993">
        <v>5</v>
      </c>
      <c r="K993">
        <v>3.19</v>
      </c>
      <c r="L993">
        <v>3.9</v>
      </c>
      <c r="M993">
        <v>23.51</v>
      </c>
      <c r="N993">
        <v>9.09</v>
      </c>
      <c r="O993">
        <v>2.06</v>
      </c>
      <c r="P993" s="2" t="s">
        <v>42</v>
      </c>
      <c r="Q993">
        <v>0</v>
      </c>
      <c r="R993">
        <v>60.59</v>
      </c>
      <c r="S993">
        <v>38.56</v>
      </c>
      <c r="T993">
        <v>22.03</v>
      </c>
      <c r="U993">
        <f t="shared" si="15"/>
        <v>0</v>
      </c>
    </row>
    <row r="994" spans="1:21" x14ac:dyDescent="0.25">
      <c r="A994" s="2" t="s">
        <v>1620</v>
      </c>
      <c r="B994" s="2" t="s">
        <v>93</v>
      </c>
      <c r="C994" s="1">
        <v>45653</v>
      </c>
      <c r="D994" s="2" t="s">
        <v>38</v>
      </c>
      <c r="E994" s="2" t="s">
        <v>71</v>
      </c>
      <c r="F994" s="2" t="s">
        <v>85</v>
      </c>
      <c r="G994">
        <v>4</v>
      </c>
      <c r="H994" s="2" t="s">
        <v>52</v>
      </c>
      <c r="I994">
        <v>322.27</v>
      </c>
      <c r="J994">
        <v>10</v>
      </c>
      <c r="K994">
        <v>32.229999999999997</v>
      </c>
      <c r="L994">
        <v>36.520000000000003</v>
      </c>
      <c r="M994">
        <v>146.07</v>
      </c>
      <c r="N994">
        <v>0</v>
      </c>
      <c r="O994">
        <v>8.7100000000000009</v>
      </c>
      <c r="P994" s="2" t="s">
        <v>42</v>
      </c>
      <c r="Q994">
        <v>0</v>
      </c>
      <c r="R994">
        <v>290.04000000000002</v>
      </c>
      <c r="S994">
        <v>191.3</v>
      </c>
      <c r="T994">
        <v>98.74</v>
      </c>
      <c r="U994">
        <f t="shared" si="15"/>
        <v>0</v>
      </c>
    </row>
    <row r="995" spans="1:21" x14ac:dyDescent="0.25">
      <c r="A995" s="2" t="s">
        <v>1621</v>
      </c>
      <c r="B995" s="2" t="s">
        <v>1622</v>
      </c>
      <c r="C995" s="1">
        <v>45821</v>
      </c>
      <c r="D995" s="2" t="s">
        <v>38</v>
      </c>
      <c r="E995" s="2" t="s">
        <v>46</v>
      </c>
      <c r="F995" s="2" t="s">
        <v>47</v>
      </c>
      <c r="G995">
        <v>2</v>
      </c>
      <c r="H995" s="2" t="s">
        <v>56</v>
      </c>
      <c r="I995">
        <v>208.79</v>
      </c>
      <c r="J995">
        <v>10</v>
      </c>
      <c r="K995">
        <v>20.88</v>
      </c>
      <c r="L995">
        <v>13.96</v>
      </c>
      <c r="M995">
        <v>73.02</v>
      </c>
      <c r="N995">
        <v>0</v>
      </c>
      <c r="O995">
        <v>5.75</v>
      </c>
      <c r="P995" s="2" t="s">
        <v>42</v>
      </c>
      <c r="Q995">
        <v>0</v>
      </c>
      <c r="R995">
        <v>187.91</v>
      </c>
      <c r="S995">
        <v>92.73</v>
      </c>
      <c r="T995">
        <v>95.18</v>
      </c>
      <c r="U995">
        <f t="shared" si="15"/>
        <v>0</v>
      </c>
    </row>
    <row r="996" spans="1:21" x14ac:dyDescent="0.25">
      <c r="A996" s="2" t="s">
        <v>1623</v>
      </c>
      <c r="B996" s="2" t="s">
        <v>1240</v>
      </c>
      <c r="C996" s="1">
        <v>45436</v>
      </c>
      <c r="D996" s="2" t="s">
        <v>45</v>
      </c>
      <c r="E996" s="2" t="s">
        <v>46</v>
      </c>
      <c r="F996" s="2" t="s">
        <v>40</v>
      </c>
      <c r="G996">
        <v>2</v>
      </c>
      <c r="H996" s="2" t="s">
        <v>41</v>
      </c>
      <c r="I996">
        <v>292.45999999999998</v>
      </c>
      <c r="J996">
        <v>0</v>
      </c>
      <c r="K996">
        <v>0</v>
      </c>
      <c r="L996">
        <v>30.8</v>
      </c>
      <c r="M996">
        <v>95.22</v>
      </c>
      <c r="N996">
        <v>0</v>
      </c>
      <c r="O996">
        <v>8.7799999999999994</v>
      </c>
      <c r="P996" s="2" t="s">
        <v>42</v>
      </c>
      <c r="Q996">
        <v>0</v>
      </c>
      <c r="R996">
        <v>292.45999999999998</v>
      </c>
      <c r="S996">
        <v>134.80000000000001</v>
      </c>
      <c r="T996">
        <v>157.66</v>
      </c>
      <c r="U996">
        <f t="shared" si="15"/>
        <v>0</v>
      </c>
    </row>
    <row r="997" spans="1:21" x14ac:dyDescent="0.25">
      <c r="A997" s="2" t="s">
        <v>1624</v>
      </c>
      <c r="B997" s="2" t="s">
        <v>1541</v>
      </c>
      <c r="C997" s="1">
        <v>45635</v>
      </c>
      <c r="D997" s="2" t="s">
        <v>80</v>
      </c>
      <c r="E997" s="2" t="s">
        <v>71</v>
      </c>
      <c r="F997" s="2" t="s">
        <v>94</v>
      </c>
      <c r="G997">
        <v>2</v>
      </c>
      <c r="H997" s="2" t="s">
        <v>111</v>
      </c>
      <c r="I997">
        <v>178.95</v>
      </c>
      <c r="J997">
        <v>0</v>
      </c>
      <c r="K997">
        <v>0</v>
      </c>
      <c r="L997">
        <v>18.2</v>
      </c>
      <c r="M997">
        <v>60.52</v>
      </c>
      <c r="N997">
        <v>14.32</v>
      </c>
      <c r="O997">
        <v>5.49</v>
      </c>
      <c r="P997" s="2" t="s">
        <v>42</v>
      </c>
      <c r="Q997">
        <v>0</v>
      </c>
      <c r="R997">
        <v>178.95</v>
      </c>
      <c r="S997">
        <v>98.53</v>
      </c>
      <c r="T997">
        <v>80.42</v>
      </c>
      <c r="U997">
        <f t="shared" si="15"/>
        <v>0</v>
      </c>
    </row>
    <row r="998" spans="1:21" x14ac:dyDescent="0.25">
      <c r="A998" s="2" t="s">
        <v>1625</v>
      </c>
      <c r="B998" s="2" t="s">
        <v>1416</v>
      </c>
      <c r="C998" s="1">
        <v>45717</v>
      </c>
      <c r="D998" s="2" t="s">
        <v>38</v>
      </c>
      <c r="E998" s="2" t="s">
        <v>46</v>
      </c>
      <c r="F998" s="2" t="s">
        <v>94</v>
      </c>
      <c r="G998">
        <v>2</v>
      </c>
      <c r="H998" s="2" t="s">
        <v>52</v>
      </c>
      <c r="I998">
        <v>465.84</v>
      </c>
      <c r="J998">
        <v>15</v>
      </c>
      <c r="K998">
        <v>69.88</v>
      </c>
      <c r="L998">
        <v>55.42</v>
      </c>
      <c r="M998">
        <v>142.57</v>
      </c>
      <c r="N998">
        <v>0</v>
      </c>
      <c r="O998">
        <v>11.78</v>
      </c>
      <c r="P998" s="2" t="s">
        <v>42</v>
      </c>
      <c r="Q998">
        <v>0</v>
      </c>
      <c r="R998">
        <v>395.96</v>
      </c>
      <c r="S998">
        <v>209.77</v>
      </c>
      <c r="T998">
        <v>186.19</v>
      </c>
      <c r="U998">
        <f t="shared" si="15"/>
        <v>0</v>
      </c>
    </row>
    <row r="999" spans="1:21" x14ac:dyDescent="0.25">
      <c r="A999" s="2" t="s">
        <v>1626</v>
      </c>
      <c r="B999" s="2" t="s">
        <v>1282</v>
      </c>
      <c r="C999" s="1">
        <v>45850</v>
      </c>
      <c r="D999" s="2" t="s">
        <v>45</v>
      </c>
      <c r="E999" s="2" t="s">
        <v>55</v>
      </c>
      <c r="F999" s="2" t="s">
        <v>40</v>
      </c>
      <c r="G999">
        <v>2</v>
      </c>
      <c r="H999" s="2" t="s">
        <v>48</v>
      </c>
      <c r="I999">
        <v>39.71</v>
      </c>
      <c r="J999">
        <v>10</v>
      </c>
      <c r="K999">
        <v>3.97</v>
      </c>
      <c r="L999">
        <v>13.32</v>
      </c>
      <c r="M999">
        <v>15.42</v>
      </c>
      <c r="N999">
        <v>0</v>
      </c>
      <c r="O999">
        <v>1.34</v>
      </c>
      <c r="P999" s="2" t="s">
        <v>42</v>
      </c>
      <c r="Q999">
        <v>0</v>
      </c>
      <c r="R999">
        <v>35.74</v>
      </c>
      <c r="S999">
        <v>30.08</v>
      </c>
      <c r="T999">
        <v>5.66</v>
      </c>
      <c r="U999">
        <f t="shared" si="15"/>
        <v>0</v>
      </c>
    </row>
    <row r="1000" spans="1:21" x14ac:dyDescent="0.25">
      <c r="A1000" s="2" t="s">
        <v>1627</v>
      </c>
      <c r="B1000" s="2" t="s">
        <v>794</v>
      </c>
      <c r="C1000" s="1">
        <v>45645</v>
      </c>
      <c r="D1000" s="2" t="s">
        <v>45</v>
      </c>
      <c r="E1000" s="2" t="s">
        <v>55</v>
      </c>
      <c r="F1000" s="2" t="s">
        <v>47</v>
      </c>
      <c r="G1000">
        <v>1</v>
      </c>
      <c r="H1000" s="2" t="s">
        <v>56</v>
      </c>
      <c r="I1000">
        <v>48.46</v>
      </c>
      <c r="J1000">
        <v>10</v>
      </c>
      <c r="K1000">
        <v>4.8499999999999996</v>
      </c>
      <c r="L1000">
        <v>13.4</v>
      </c>
      <c r="M1000">
        <v>25.94</v>
      </c>
      <c r="N1000">
        <v>0</v>
      </c>
      <c r="O1000">
        <v>1.56</v>
      </c>
      <c r="P1000" s="2" t="s">
        <v>42</v>
      </c>
      <c r="Q1000">
        <v>0</v>
      </c>
      <c r="R1000">
        <v>43.61</v>
      </c>
      <c r="S1000">
        <v>40.9</v>
      </c>
      <c r="T1000">
        <v>2.71</v>
      </c>
      <c r="U1000">
        <f t="shared" si="15"/>
        <v>0</v>
      </c>
    </row>
    <row r="1001" spans="1:21" x14ac:dyDescent="0.25">
      <c r="A1001" s="2" t="s">
        <v>1628</v>
      </c>
      <c r="B1001" s="2" t="s">
        <v>1511</v>
      </c>
      <c r="C1001" s="1">
        <v>45453</v>
      </c>
      <c r="D1001" s="2" t="s">
        <v>59</v>
      </c>
      <c r="E1001" s="2" t="s">
        <v>55</v>
      </c>
      <c r="F1001" s="2" t="s">
        <v>85</v>
      </c>
      <c r="G1001">
        <v>2</v>
      </c>
      <c r="H1001" s="2" t="s">
        <v>56</v>
      </c>
      <c r="I1001">
        <v>116.26</v>
      </c>
      <c r="J1001">
        <v>0</v>
      </c>
      <c r="K1001">
        <v>0</v>
      </c>
      <c r="L1001">
        <v>30.18</v>
      </c>
      <c r="M1001">
        <v>70.19</v>
      </c>
      <c r="N1001">
        <v>17.440000000000001</v>
      </c>
      <c r="O1001">
        <v>3.67</v>
      </c>
      <c r="P1001" s="2" t="s">
        <v>42</v>
      </c>
      <c r="Q1001">
        <v>0</v>
      </c>
      <c r="R1001">
        <v>116.26</v>
      </c>
      <c r="S1001">
        <v>121.48</v>
      </c>
      <c r="T1001">
        <v>-5.22</v>
      </c>
      <c r="U1001">
        <f t="shared" si="15"/>
        <v>0</v>
      </c>
    </row>
    <row r="1002" spans="1:21" x14ac:dyDescent="0.25">
      <c r="A1002" s="2" t="s">
        <v>1629</v>
      </c>
      <c r="B1002" s="2" t="s">
        <v>905</v>
      </c>
      <c r="C1002" s="1">
        <v>45846</v>
      </c>
      <c r="D1002" s="2" t="s">
        <v>38</v>
      </c>
      <c r="E1002" s="2" t="s">
        <v>71</v>
      </c>
      <c r="F1002" s="2" t="s">
        <v>94</v>
      </c>
      <c r="G1002">
        <v>1</v>
      </c>
      <c r="H1002" s="2" t="s">
        <v>74</v>
      </c>
      <c r="I1002">
        <v>106.92</v>
      </c>
      <c r="J1002">
        <v>0</v>
      </c>
      <c r="K1002">
        <v>0</v>
      </c>
      <c r="L1002">
        <v>39.54</v>
      </c>
      <c r="M1002">
        <v>31.32</v>
      </c>
      <c r="N1002">
        <v>0</v>
      </c>
      <c r="O1002">
        <v>3.4</v>
      </c>
      <c r="P1002" s="2" t="s">
        <v>68</v>
      </c>
      <c r="Q1002">
        <v>106.92</v>
      </c>
      <c r="R1002">
        <v>0</v>
      </c>
      <c r="S1002">
        <v>74.260000000000005</v>
      </c>
      <c r="T1002">
        <v>-74.260000000000005</v>
      </c>
      <c r="U1002">
        <f t="shared" si="15"/>
        <v>0</v>
      </c>
    </row>
    <row r="1003" spans="1:21" x14ac:dyDescent="0.25">
      <c r="A1003" s="2" t="s">
        <v>1630</v>
      </c>
      <c r="B1003" s="2" t="s">
        <v>271</v>
      </c>
      <c r="C1003" s="1">
        <v>45841</v>
      </c>
      <c r="D1003" s="2" t="s">
        <v>80</v>
      </c>
      <c r="E1003" s="2" t="s">
        <v>46</v>
      </c>
      <c r="F1003" s="2" t="s">
        <v>47</v>
      </c>
      <c r="G1003">
        <v>1</v>
      </c>
      <c r="H1003" s="2" t="s">
        <v>41</v>
      </c>
      <c r="I1003">
        <v>43.34</v>
      </c>
      <c r="J1003">
        <v>0</v>
      </c>
      <c r="K1003">
        <v>0</v>
      </c>
      <c r="L1003">
        <v>9.58</v>
      </c>
      <c r="M1003">
        <v>15.91</v>
      </c>
      <c r="N1003">
        <v>3.47</v>
      </c>
      <c r="O1003">
        <v>1.56</v>
      </c>
      <c r="P1003" s="2" t="s">
        <v>42</v>
      </c>
      <c r="Q1003">
        <v>0</v>
      </c>
      <c r="R1003">
        <v>43.34</v>
      </c>
      <c r="S1003">
        <v>30.52</v>
      </c>
      <c r="T1003">
        <v>12.82</v>
      </c>
      <c r="U1003">
        <f t="shared" si="15"/>
        <v>0</v>
      </c>
    </row>
    <row r="1004" spans="1:21" x14ac:dyDescent="0.25">
      <c r="A1004" s="2" t="s">
        <v>1631</v>
      </c>
      <c r="B1004" s="2" t="s">
        <v>1632</v>
      </c>
      <c r="C1004" s="1">
        <v>45806</v>
      </c>
      <c r="D1004" s="2" t="s">
        <v>45</v>
      </c>
      <c r="E1004" s="2" t="s">
        <v>46</v>
      </c>
      <c r="F1004" s="2" t="s">
        <v>85</v>
      </c>
      <c r="G1004">
        <v>2</v>
      </c>
      <c r="H1004" s="2" t="s">
        <v>64</v>
      </c>
      <c r="I1004">
        <v>274.86</v>
      </c>
      <c r="J1004">
        <v>0</v>
      </c>
      <c r="K1004">
        <v>0</v>
      </c>
      <c r="L1004">
        <v>26.74</v>
      </c>
      <c r="M1004">
        <v>86.95</v>
      </c>
      <c r="N1004">
        <v>0</v>
      </c>
      <c r="O1004">
        <v>8.27</v>
      </c>
      <c r="P1004" s="2" t="s">
        <v>42</v>
      </c>
      <c r="Q1004">
        <v>0</v>
      </c>
      <c r="R1004">
        <v>274.86</v>
      </c>
      <c r="S1004">
        <v>121.96</v>
      </c>
      <c r="T1004">
        <v>152.9</v>
      </c>
      <c r="U1004">
        <f t="shared" si="15"/>
        <v>1</v>
      </c>
    </row>
    <row r="1005" spans="1:21" x14ac:dyDescent="0.25">
      <c r="A1005" s="2" t="s">
        <v>1633</v>
      </c>
      <c r="B1005" s="2" t="s">
        <v>303</v>
      </c>
      <c r="C1005" s="1">
        <v>45949</v>
      </c>
      <c r="D1005" s="2" t="s">
        <v>38</v>
      </c>
      <c r="E1005" s="2" t="s">
        <v>46</v>
      </c>
      <c r="F1005" s="2" t="s">
        <v>85</v>
      </c>
      <c r="G1005">
        <v>2</v>
      </c>
      <c r="H1005" s="2" t="s">
        <v>41</v>
      </c>
      <c r="I1005">
        <v>77.209999999999994</v>
      </c>
      <c r="J1005">
        <v>0</v>
      </c>
      <c r="K1005">
        <v>0</v>
      </c>
      <c r="L1005">
        <v>15</v>
      </c>
      <c r="M1005">
        <v>25.6</v>
      </c>
      <c r="N1005">
        <v>0</v>
      </c>
      <c r="O1005">
        <v>2.54</v>
      </c>
      <c r="P1005" s="2" t="s">
        <v>42</v>
      </c>
      <c r="Q1005">
        <v>0</v>
      </c>
      <c r="R1005">
        <v>77.209999999999994</v>
      </c>
      <c r="S1005">
        <v>43.14</v>
      </c>
      <c r="T1005">
        <v>34.07</v>
      </c>
      <c r="U1005">
        <f t="shared" si="15"/>
        <v>0</v>
      </c>
    </row>
    <row r="1006" spans="1:21" x14ac:dyDescent="0.25">
      <c r="A1006" s="2" t="s">
        <v>1634</v>
      </c>
      <c r="B1006" s="2" t="s">
        <v>683</v>
      </c>
      <c r="C1006" s="1">
        <v>45867</v>
      </c>
      <c r="D1006" s="2" t="s">
        <v>38</v>
      </c>
      <c r="E1006" s="2" t="s">
        <v>55</v>
      </c>
      <c r="F1006" s="2" t="s">
        <v>40</v>
      </c>
      <c r="G1006">
        <v>1</v>
      </c>
      <c r="H1006" s="2" t="s">
        <v>111</v>
      </c>
      <c r="I1006">
        <v>54.48</v>
      </c>
      <c r="J1006">
        <v>20</v>
      </c>
      <c r="K1006">
        <v>10.9</v>
      </c>
      <c r="L1006">
        <v>10.94</v>
      </c>
      <c r="M1006">
        <v>21.25</v>
      </c>
      <c r="N1006">
        <v>0</v>
      </c>
      <c r="O1006">
        <v>1.56</v>
      </c>
      <c r="P1006" s="2" t="s">
        <v>42</v>
      </c>
      <c r="Q1006">
        <v>0</v>
      </c>
      <c r="R1006">
        <v>43.58</v>
      </c>
      <c r="S1006">
        <v>33.75</v>
      </c>
      <c r="T1006">
        <v>9.83</v>
      </c>
      <c r="U1006">
        <f t="shared" si="15"/>
        <v>0</v>
      </c>
    </row>
    <row r="1007" spans="1:21" x14ac:dyDescent="0.25">
      <c r="A1007" s="2" t="s">
        <v>1635</v>
      </c>
      <c r="B1007" s="2" t="s">
        <v>1211</v>
      </c>
      <c r="C1007" s="1">
        <v>45732</v>
      </c>
      <c r="D1007" s="2" t="s">
        <v>45</v>
      </c>
      <c r="E1007" s="2" t="s">
        <v>39</v>
      </c>
      <c r="F1007" s="2" t="s">
        <v>94</v>
      </c>
      <c r="G1007">
        <v>2</v>
      </c>
      <c r="H1007" s="2" t="s">
        <v>111</v>
      </c>
      <c r="I1007">
        <v>264.13</v>
      </c>
      <c r="J1007">
        <v>20</v>
      </c>
      <c r="K1007">
        <v>52.83</v>
      </c>
      <c r="L1007">
        <v>32.78</v>
      </c>
      <c r="M1007">
        <v>120.96</v>
      </c>
      <c r="N1007">
        <v>0</v>
      </c>
      <c r="O1007">
        <v>6.43</v>
      </c>
      <c r="P1007" s="2" t="s">
        <v>42</v>
      </c>
      <c r="Q1007">
        <v>0</v>
      </c>
      <c r="R1007">
        <v>211.3</v>
      </c>
      <c r="S1007">
        <v>160.16999999999999</v>
      </c>
      <c r="T1007">
        <v>51.13</v>
      </c>
      <c r="U1007">
        <f t="shared" si="15"/>
        <v>0</v>
      </c>
    </row>
    <row r="1008" spans="1:21" x14ac:dyDescent="0.25">
      <c r="A1008" s="2" t="s">
        <v>1636</v>
      </c>
      <c r="B1008" s="2" t="s">
        <v>848</v>
      </c>
      <c r="C1008" s="1">
        <v>45754</v>
      </c>
      <c r="D1008" s="2" t="s">
        <v>38</v>
      </c>
      <c r="E1008" s="2" t="s">
        <v>71</v>
      </c>
      <c r="F1008" s="2" t="s">
        <v>94</v>
      </c>
      <c r="G1008">
        <v>4</v>
      </c>
      <c r="H1008" s="2" t="s">
        <v>64</v>
      </c>
      <c r="I1008">
        <v>425.26</v>
      </c>
      <c r="J1008">
        <v>0</v>
      </c>
      <c r="K1008">
        <v>0</v>
      </c>
      <c r="L1008">
        <v>94.62</v>
      </c>
      <c r="M1008">
        <v>202.93</v>
      </c>
      <c r="N1008">
        <v>0</v>
      </c>
      <c r="O1008">
        <v>12.63</v>
      </c>
      <c r="P1008" s="2" t="s">
        <v>42</v>
      </c>
      <c r="Q1008">
        <v>0</v>
      </c>
      <c r="R1008">
        <v>425.26</v>
      </c>
      <c r="S1008">
        <v>310.18</v>
      </c>
      <c r="T1008">
        <v>115.08</v>
      </c>
      <c r="U1008">
        <f t="shared" si="15"/>
        <v>0</v>
      </c>
    </row>
    <row r="1009" spans="1:21" x14ac:dyDescent="0.25">
      <c r="A1009" s="2" t="s">
        <v>1637</v>
      </c>
      <c r="B1009" s="2" t="s">
        <v>1081</v>
      </c>
      <c r="C1009" s="1">
        <v>45827</v>
      </c>
      <c r="D1009" s="2" t="s">
        <v>59</v>
      </c>
      <c r="E1009" s="2" t="s">
        <v>71</v>
      </c>
      <c r="F1009" s="2" t="s">
        <v>85</v>
      </c>
      <c r="G1009">
        <v>1</v>
      </c>
      <c r="H1009" s="2" t="s">
        <v>111</v>
      </c>
      <c r="I1009">
        <v>149.66</v>
      </c>
      <c r="J1009">
        <v>0</v>
      </c>
      <c r="K1009">
        <v>0</v>
      </c>
      <c r="L1009">
        <v>9.56</v>
      </c>
      <c r="M1009">
        <v>52.3</v>
      </c>
      <c r="N1009">
        <v>22.45</v>
      </c>
      <c r="O1009">
        <v>4.6399999999999997</v>
      </c>
      <c r="P1009" s="2" t="s">
        <v>68</v>
      </c>
      <c r="Q1009">
        <v>149.66</v>
      </c>
      <c r="R1009">
        <v>0</v>
      </c>
      <c r="S1009">
        <v>88.95</v>
      </c>
      <c r="T1009">
        <v>-88.95</v>
      </c>
      <c r="U1009">
        <f t="shared" si="15"/>
        <v>0</v>
      </c>
    </row>
    <row r="1010" spans="1:21" x14ac:dyDescent="0.25">
      <c r="A1010" s="2" t="s">
        <v>1638</v>
      </c>
      <c r="B1010" s="2" t="s">
        <v>1429</v>
      </c>
      <c r="C1010" s="1">
        <v>45601</v>
      </c>
      <c r="D1010" s="2" t="s">
        <v>45</v>
      </c>
      <c r="E1010" s="2" t="s">
        <v>55</v>
      </c>
      <c r="F1010" s="2" t="s">
        <v>40</v>
      </c>
      <c r="G1010">
        <v>4</v>
      </c>
      <c r="H1010" s="2" t="s">
        <v>64</v>
      </c>
      <c r="I1010">
        <v>347.7</v>
      </c>
      <c r="J1010">
        <v>0</v>
      </c>
      <c r="K1010">
        <v>0</v>
      </c>
      <c r="L1010">
        <v>73.84</v>
      </c>
      <c r="M1010">
        <v>138.66999999999999</v>
      </c>
      <c r="N1010">
        <v>0</v>
      </c>
      <c r="O1010">
        <v>10.38</v>
      </c>
      <c r="P1010" s="2" t="s">
        <v>42</v>
      </c>
      <c r="Q1010">
        <v>0</v>
      </c>
      <c r="R1010">
        <v>347.7</v>
      </c>
      <c r="S1010">
        <v>222.89</v>
      </c>
      <c r="T1010">
        <v>124.81</v>
      </c>
      <c r="U1010">
        <f t="shared" si="15"/>
        <v>0</v>
      </c>
    </row>
    <row r="1011" spans="1:21" x14ac:dyDescent="0.25">
      <c r="A1011" s="2" t="s">
        <v>1639</v>
      </c>
      <c r="B1011" s="2" t="s">
        <v>1640</v>
      </c>
      <c r="C1011" s="1">
        <v>45907</v>
      </c>
      <c r="D1011" s="2" t="s">
        <v>59</v>
      </c>
      <c r="E1011" s="2" t="s">
        <v>46</v>
      </c>
      <c r="F1011" s="2" t="s">
        <v>94</v>
      </c>
      <c r="G1011">
        <v>1</v>
      </c>
      <c r="H1011" s="2" t="s">
        <v>74</v>
      </c>
      <c r="I1011">
        <v>124.02</v>
      </c>
      <c r="J1011">
        <v>5</v>
      </c>
      <c r="K1011">
        <v>6.2</v>
      </c>
      <c r="L1011">
        <v>33.54</v>
      </c>
      <c r="M1011">
        <v>65.52</v>
      </c>
      <c r="N1011">
        <v>17.670000000000002</v>
      </c>
      <c r="O1011">
        <v>3.72</v>
      </c>
      <c r="P1011" s="2" t="s">
        <v>42</v>
      </c>
      <c r="Q1011">
        <v>0</v>
      </c>
      <c r="R1011">
        <v>117.82</v>
      </c>
      <c r="S1011">
        <v>120.45</v>
      </c>
      <c r="T1011">
        <v>-2.63</v>
      </c>
      <c r="U1011">
        <f t="shared" si="15"/>
        <v>1</v>
      </c>
    </row>
    <row r="1012" spans="1:21" x14ac:dyDescent="0.25">
      <c r="A1012" s="2" t="s">
        <v>1641</v>
      </c>
      <c r="B1012" s="2" t="s">
        <v>188</v>
      </c>
      <c r="C1012" s="1">
        <v>45696</v>
      </c>
      <c r="D1012" s="2" t="s">
        <v>59</v>
      </c>
      <c r="E1012" s="2" t="s">
        <v>46</v>
      </c>
      <c r="F1012" s="2" t="s">
        <v>47</v>
      </c>
      <c r="G1012">
        <v>1</v>
      </c>
      <c r="H1012" s="2" t="s">
        <v>77</v>
      </c>
      <c r="I1012">
        <v>26.5</v>
      </c>
      <c r="J1012">
        <v>5</v>
      </c>
      <c r="K1012">
        <v>1.32</v>
      </c>
      <c r="L1012">
        <v>5.5</v>
      </c>
      <c r="M1012">
        <v>8.06</v>
      </c>
      <c r="N1012">
        <v>3.78</v>
      </c>
      <c r="O1012">
        <v>1.03</v>
      </c>
      <c r="P1012" s="2" t="s">
        <v>42</v>
      </c>
      <c r="Q1012">
        <v>0</v>
      </c>
      <c r="R1012">
        <v>25.18</v>
      </c>
      <c r="S1012">
        <v>18.37</v>
      </c>
      <c r="T1012">
        <v>6.81</v>
      </c>
      <c r="U1012">
        <f t="shared" si="15"/>
        <v>0</v>
      </c>
    </row>
    <row r="1013" spans="1:21" x14ac:dyDescent="0.25">
      <c r="A1013" s="2" t="s">
        <v>1642</v>
      </c>
      <c r="B1013" s="2" t="s">
        <v>285</v>
      </c>
      <c r="C1013" s="1">
        <v>45982</v>
      </c>
      <c r="D1013" s="2" t="s">
        <v>45</v>
      </c>
      <c r="E1013" s="2" t="s">
        <v>55</v>
      </c>
      <c r="F1013" s="2" t="s">
        <v>47</v>
      </c>
      <c r="G1013">
        <v>1</v>
      </c>
      <c r="H1013" s="2" t="s">
        <v>56</v>
      </c>
      <c r="I1013">
        <v>94.8</v>
      </c>
      <c r="J1013">
        <v>5</v>
      </c>
      <c r="K1013">
        <v>4.74</v>
      </c>
      <c r="L1013">
        <v>23.96</v>
      </c>
      <c r="M1013">
        <v>64.78</v>
      </c>
      <c r="N1013">
        <v>0</v>
      </c>
      <c r="O1013">
        <v>2.91</v>
      </c>
      <c r="P1013" s="2" t="s">
        <v>42</v>
      </c>
      <c r="Q1013">
        <v>0</v>
      </c>
      <c r="R1013">
        <v>90.06</v>
      </c>
      <c r="S1013">
        <v>91.65</v>
      </c>
      <c r="T1013">
        <v>-1.59</v>
      </c>
      <c r="U1013">
        <f t="shared" si="15"/>
        <v>0</v>
      </c>
    </row>
    <row r="1014" spans="1:21" x14ac:dyDescent="0.25">
      <c r="A1014" s="2" t="s">
        <v>1643</v>
      </c>
      <c r="B1014" s="2" t="s">
        <v>1644</v>
      </c>
      <c r="C1014" s="1">
        <v>45571</v>
      </c>
      <c r="D1014" s="2" t="s">
        <v>38</v>
      </c>
      <c r="E1014" s="2" t="s">
        <v>55</v>
      </c>
      <c r="F1014" s="2" t="s">
        <v>94</v>
      </c>
      <c r="G1014">
        <v>1</v>
      </c>
      <c r="H1014" s="2" t="s">
        <v>111</v>
      </c>
      <c r="I1014">
        <v>51.31</v>
      </c>
      <c r="J1014">
        <v>10</v>
      </c>
      <c r="K1014">
        <v>5.13</v>
      </c>
      <c r="L1014">
        <v>10.06</v>
      </c>
      <c r="M1014">
        <v>25.87</v>
      </c>
      <c r="N1014">
        <v>0</v>
      </c>
      <c r="O1014">
        <v>1.64</v>
      </c>
      <c r="P1014" s="2" t="s">
        <v>42</v>
      </c>
      <c r="Q1014">
        <v>0</v>
      </c>
      <c r="R1014">
        <v>46.18</v>
      </c>
      <c r="S1014">
        <v>37.57</v>
      </c>
      <c r="T1014">
        <v>8.61</v>
      </c>
      <c r="U1014">
        <f t="shared" si="15"/>
        <v>0</v>
      </c>
    </row>
    <row r="1015" spans="1:21" x14ac:dyDescent="0.25">
      <c r="A1015" s="2" t="s">
        <v>1645</v>
      </c>
      <c r="B1015" s="2" t="s">
        <v>100</v>
      </c>
      <c r="C1015" s="1">
        <v>45755</v>
      </c>
      <c r="D1015" s="2" t="s">
        <v>45</v>
      </c>
      <c r="E1015" s="2" t="s">
        <v>67</v>
      </c>
      <c r="F1015" s="2" t="s">
        <v>40</v>
      </c>
      <c r="G1015">
        <v>2</v>
      </c>
      <c r="H1015" s="2" t="s">
        <v>52</v>
      </c>
      <c r="I1015">
        <v>238.18</v>
      </c>
      <c r="J1015">
        <v>5</v>
      </c>
      <c r="K1015">
        <v>11.91</v>
      </c>
      <c r="L1015">
        <v>49.84</v>
      </c>
      <c r="M1015">
        <v>137.4</v>
      </c>
      <c r="N1015">
        <v>0</v>
      </c>
      <c r="O1015">
        <v>6.86</v>
      </c>
      <c r="P1015" s="2" t="s">
        <v>42</v>
      </c>
      <c r="Q1015">
        <v>0</v>
      </c>
      <c r="R1015">
        <v>226.27</v>
      </c>
      <c r="S1015">
        <v>194.1</v>
      </c>
      <c r="T1015">
        <v>32.17</v>
      </c>
      <c r="U1015">
        <f t="shared" si="15"/>
        <v>0</v>
      </c>
    </row>
    <row r="1016" spans="1:21" x14ac:dyDescent="0.25">
      <c r="A1016" s="2" t="s">
        <v>1646</v>
      </c>
      <c r="B1016" s="2" t="s">
        <v>1647</v>
      </c>
      <c r="C1016" s="1">
        <v>45688</v>
      </c>
      <c r="D1016" s="2" t="s">
        <v>59</v>
      </c>
      <c r="E1016" s="2" t="s">
        <v>46</v>
      </c>
      <c r="F1016" s="2" t="s">
        <v>40</v>
      </c>
      <c r="G1016">
        <v>1</v>
      </c>
      <c r="H1016" s="2" t="s">
        <v>64</v>
      </c>
      <c r="I1016">
        <v>100.26</v>
      </c>
      <c r="J1016">
        <v>0</v>
      </c>
      <c r="K1016">
        <v>0</v>
      </c>
      <c r="L1016">
        <v>8.44</v>
      </c>
      <c r="M1016">
        <v>63.28</v>
      </c>
      <c r="N1016">
        <v>15.04</v>
      </c>
      <c r="O1016">
        <v>3.21</v>
      </c>
      <c r="P1016" s="2" t="s">
        <v>42</v>
      </c>
      <c r="Q1016">
        <v>0</v>
      </c>
      <c r="R1016">
        <v>100.26</v>
      </c>
      <c r="S1016">
        <v>89.97</v>
      </c>
      <c r="T1016">
        <v>10.29</v>
      </c>
      <c r="U1016">
        <f t="shared" si="15"/>
        <v>0</v>
      </c>
    </row>
    <row r="1017" spans="1:21" x14ac:dyDescent="0.25">
      <c r="A1017" s="2" t="s">
        <v>1648</v>
      </c>
      <c r="B1017" s="2" t="s">
        <v>102</v>
      </c>
      <c r="C1017" s="1">
        <v>45471</v>
      </c>
      <c r="D1017" s="2" t="s">
        <v>38</v>
      </c>
      <c r="E1017" s="2" t="s">
        <v>67</v>
      </c>
      <c r="F1017" s="2" t="s">
        <v>85</v>
      </c>
      <c r="G1017">
        <v>2</v>
      </c>
      <c r="H1017" s="2" t="s">
        <v>41</v>
      </c>
      <c r="I1017">
        <v>347.15</v>
      </c>
      <c r="J1017">
        <v>5</v>
      </c>
      <c r="K1017">
        <v>17.36</v>
      </c>
      <c r="L1017">
        <v>39.5</v>
      </c>
      <c r="M1017">
        <v>110.14</v>
      </c>
      <c r="N1017">
        <v>0</v>
      </c>
      <c r="O1017">
        <v>9.86</v>
      </c>
      <c r="P1017" s="2" t="s">
        <v>42</v>
      </c>
      <c r="Q1017">
        <v>0</v>
      </c>
      <c r="R1017">
        <v>329.79</v>
      </c>
      <c r="S1017">
        <v>159.5</v>
      </c>
      <c r="T1017">
        <v>170.29</v>
      </c>
      <c r="U1017">
        <f t="shared" si="15"/>
        <v>0</v>
      </c>
    </row>
    <row r="1018" spans="1:21" x14ac:dyDescent="0.25">
      <c r="A1018" s="2" t="s">
        <v>1649</v>
      </c>
      <c r="B1018" s="2" t="s">
        <v>1650</v>
      </c>
      <c r="C1018" s="1">
        <v>45737</v>
      </c>
      <c r="D1018" s="2" t="s">
        <v>38</v>
      </c>
      <c r="E1018" s="2" t="s">
        <v>46</v>
      </c>
      <c r="F1018" s="2" t="s">
        <v>40</v>
      </c>
      <c r="G1018">
        <v>1</v>
      </c>
      <c r="H1018" s="2" t="s">
        <v>74</v>
      </c>
      <c r="I1018">
        <v>111.44</v>
      </c>
      <c r="J1018">
        <v>0</v>
      </c>
      <c r="K1018">
        <v>0</v>
      </c>
      <c r="L1018">
        <v>9.02</v>
      </c>
      <c r="M1018">
        <v>36.340000000000003</v>
      </c>
      <c r="N1018">
        <v>0</v>
      </c>
      <c r="O1018">
        <v>3.53</v>
      </c>
      <c r="P1018" s="2" t="s">
        <v>42</v>
      </c>
      <c r="Q1018">
        <v>0</v>
      </c>
      <c r="R1018">
        <v>111.44</v>
      </c>
      <c r="S1018">
        <v>48.89</v>
      </c>
      <c r="T1018">
        <v>62.55</v>
      </c>
      <c r="U1018">
        <f t="shared" si="15"/>
        <v>0</v>
      </c>
    </row>
    <row r="1019" spans="1:21" x14ac:dyDescent="0.25">
      <c r="A1019" s="2" t="s">
        <v>1651</v>
      </c>
      <c r="B1019" s="2" t="s">
        <v>1652</v>
      </c>
      <c r="C1019" s="1">
        <v>45565</v>
      </c>
      <c r="D1019" s="2" t="s">
        <v>45</v>
      </c>
      <c r="E1019" s="2" t="s">
        <v>55</v>
      </c>
      <c r="F1019" s="2" t="s">
        <v>85</v>
      </c>
      <c r="G1019">
        <v>2</v>
      </c>
      <c r="H1019" s="2" t="s">
        <v>77</v>
      </c>
      <c r="I1019">
        <v>111.99</v>
      </c>
      <c r="J1019">
        <v>5</v>
      </c>
      <c r="K1019">
        <v>5.6</v>
      </c>
      <c r="L1019">
        <v>21.96</v>
      </c>
      <c r="M1019">
        <v>32.82</v>
      </c>
      <c r="N1019">
        <v>0</v>
      </c>
      <c r="O1019">
        <v>3.39</v>
      </c>
      <c r="P1019" s="2" t="s">
        <v>42</v>
      </c>
      <c r="Q1019">
        <v>0</v>
      </c>
      <c r="R1019">
        <v>106.39</v>
      </c>
      <c r="S1019">
        <v>58.17</v>
      </c>
      <c r="T1019">
        <v>48.22</v>
      </c>
      <c r="U1019">
        <f t="shared" si="15"/>
        <v>0</v>
      </c>
    </row>
    <row r="1020" spans="1:21" x14ac:dyDescent="0.25">
      <c r="A1020" s="2" t="s">
        <v>1653</v>
      </c>
      <c r="B1020" s="2" t="s">
        <v>93</v>
      </c>
      <c r="C1020" s="1">
        <v>45546</v>
      </c>
      <c r="D1020" s="2" t="s">
        <v>38</v>
      </c>
      <c r="E1020" s="2" t="s">
        <v>71</v>
      </c>
      <c r="F1020" s="2" t="s">
        <v>47</v>
      </c>
      <c r="G1020">
        <v>3</v>
      </c>
      <c r="H1020" s="2" t="s">
        <v>56</v>
      </c>
      <c r="I1020">
        <v>213.74</v>
      </c>
      <c r="J1020">
        <v>20</v>
      </c>
      <c r="K1020">
        <v>42.75</v>
      </c>
      <c r="L1020">
        <v>29.84</v>
      </c>
      <c r="M1020">
        <v>87.27</v>
      </c>
      <c r="N1020">
        <v>0</v>
      </c>
      <c r="O1020">
        <v>5.26</v>
      </c>
      <c r="P1020" s="2" t="s">
        <v>42</v>
      </c>
      <c r="Q1020">
        <v>0</v>
      </c>
      <c r="R1020">
        <v>170.99</v>
      </c>
      <c r="S1020">
        <v>122.37</v>
      </c>
      <c r="T1020">
        <v>48.62</v>
      </c>
      <c r="U1020">
        <f t="shared" si="15"/>
        <v>0</v>
      </c>
    </row>
    <row r="1021" spans="1:21" x14ac:dyDescent="0.25">
      <c r="A1021" s="2" t="s">
        <v>1654</v>
      </c>
      <c r="B1021" s="2" t="s">
        <v>1211</v>
      </c>
      <c r="C1021" s="1">
        <v>45791</v>
      </c>
      <c r="D1021" s="2" t="s">
        <v>59</v>
      </c>
      <c r="E1021" s="2" t="s">
        <v>46</v>
      </c>
      <c r="F1021" s="2" t="s">
        <v>94</v>
      </c>
      <c r="G1021">
        <v>1</v>
      </c>
      <c r="H1021" s="2" t="s">
        <v>41</v>
      </c>
      <c r="I1021">
        <v>35.03</v>
      </c>
      <c r="J1021">
        <v>10</v>
      </c>
      <c r="K1021">
        <v>3.5</v>
      </c>
      <c r="L1021">
        <v>9.98</v>
      </c>
      <c r="M1021">
        <v>11.54</v>
      </c>
      <c r="N1021">
        <v>4.7300000000000004</v>
      </c>
      <c r="O1021">
        <v>1.21</v>
      </c>
      <c r="P1021" s="2" t="s">
        <v>42</v>
      </c>
      <c r="Q1021">
        <v>0</v>
      </c>
      <c r="R1021">
        <v>31.53</v>
      </c>
      <c r="S1021">
        <v>27.46</v>
      </c>
      <c r="T1021">
        <v>4.07</v>
      </c>
      <c r="U1021">
        <f t="shared" si="15"/>
        <v>0</v>
      </c>
    </row>
    <row r="1022" spans="1:21" x14ac:dyDescent="0.25">
      <c r="A1022" s="2" t="s">
        <v>1655</v>
      </c>
      <c r="B1022" s="2" t="s">
        <v>1656</v>
      </c>
      <c r="C1022" s="1">
        <v>45538</v>
      </c>
      <c r="D1022" s="2" t="s">
        <v>38</v>
      </c>
      <c r="E1022" s="2" t="s">
        <v>46</v>
      </c>
      <c r="F1022" s="2" t="s">
        <v>47</v>
      </c>
      <c r="G1022">
        <v>1</v>
      </c>
      <c r="H1022" s="2" t="s">
        <v>77</v>
      </c>
      <c r="I1022">
        <v>23.61</v>
      </c>
      <c r="J1022">
        <v>0</v>
      </c>
      <c r="K1022">
        <v>0</v>
      </c>
      <c r="L1022">
        <v>8.2200000000000006</v>
      </c>
      <c r="M1022">
        <v>7.31</v>
      </c>
      <c r="N1022">
        <v>0</v>
      </c>
      <c r="O1022">
        <v>0.98</v>
      </c>
      <c r="P1022" s="2" t="s">
        <v>42</v>
      </c>
      <c r="Q1022">
        <v>0</v>
      </c>
      <c r="R1022">
        <v>23.61</v>
      </c>
      <c r="S1022">
        <v>16.510000000000002</v>
      </c>
      <c r="T1022">
        <v>7.1</v>
      </c>
      <c r="U1022">
        <f t="shared" si="15"/>
        <v>0</v>
      </c>
    </row>
    <row r="1023" spans="1:21" x14ac:dyDescent="0.25">
      <c r="A1023" s="2" t="s">
        <v>1657</v>
      </c>
      <c r="B1023" s="2" t="s">
        <v>382</v>
      </c>
      <c r="C1023" s="1">
        <v>45658</v>
      </c>
      <c r="D1023" s="2" t="s">
        <v>45</v>
      </c>
      <c r="E1023" s="2" t="s">
        <v>71</v>
      </c>
      <c r="F1023" s="2" t="s">
        <v>94</v>
      </c>
      <c r="G1023">
        <v>1</v>
      </c>
      <c r="H1023" s="2" t="s">
        <v>56</v>
      </c>
      <c r="I1023">
        <v>39.82</v>
      </c>
      <c r="J1023">
        <v>0</v>
      </c>
      <c r="K1023">
        <v>0</v>
      </c>
      <c r="L1023">
        <v>5.66</v>
      </c>
      <c r="M1023">
        <v>24.86</v>
      </c>
      <c r="N1023">
        <v>0</v>
      </c>
      <c r="O1023">
        <v>1.45</v>
      </c>
      <c r="P1023" s="2" t="s">
        <v>42</v>
      </c>
      <c r="Q1023">
        <v>0</v>
      </c>
      <c r="R1023">
        <v>39.82</v>
      </c>
      <c r="S1023">
        <v>31.97</v>
      </c>
      <c r="T1023">
        <v>7.85</v>
      </c>
      <c r="U1023">
        <f t="shared" si="15"/>
        <v>0</v>
      </c>
    </row>
    <row r="1024" spans="1:21" x14ac:dyDescent="0.25">
      <c r="A1024" s="2" t="s">
        <v>1658</v>
      </c>
      <c r="B1024" s="2" t="s">
        <v>852</v>
      </c>
      <c r="C1024" s="1">
        <v>45386</v>
      </c>
      <c r="D1024" s="2" t="s">
        <v>38</v>
      </c>
      <c r="E1024" s="2" t="s">
        <v>46</v>
      </c>
      <c r="F1024" s="2" t="s">
        <v>94</v>
      </c>
      <c r="G1024">
        <v>4</v>
      </c>
      <c r="H1024" s="2" t="s">
        <v>111</v>
      </c>
      <c r="I1024">
        <v>468.77</v>
      </c>
      <c r="J1024">
        <v>5</v>
      </c>
      <c r="K1024">
        <v>23.44</v>
      </c>
      <c r="L1024">
        <v>58.36</v>
      </c>
      <c r="M1024">
        <v>196.12</v>
      </c>
      <c r="N1024">
        <v>0</v>
      </c>
      <c r="O1024">
        <v>13.21</v>
      </c>
      <c r="P1024" s="2" t="s">
        <v>42</v>
      </c>
      <c r="Q1024">
        <v>0</v>
      </c>
      <c r="R1024">
        <v>445.33</v>
      </c>
      <c r="S1024">
        <v>267.69</v>
      </c>
      <c r="T1024">
        <v>177.64</v>
      </c>
      <c r="U1024">
        <f t="shared" si="15"/>
        <v>0</v>
      </c>
    </row>
    <row r="1025" spans="1:21" x14ac:dyDescent="0.25">
      <c r="A1025" s="2" t="s">
        <v>1659</v>
      </c>
      <c r="B1025" s="2" t="s">
        <v>990</v>
      </c>
      <c r="C1025" s="1">
        <v>45638</v>
      </c>
      <c r="D1025" s="2" t="s">
        <v>38</v>
      </c>
      <c r="E1025" s="2" t="s">
        <v>55</v>
      </c>
      <c r="F1025" s="2" t="s">
        <v>40</v>
      </c>
      <c r="G1025">
        <v>3</v>
      </c>
      <c r="H1025" s="2" t="s">
        <v>64</v>
      </c>
      <c r="I1025">
        <v>182.15</v>
      </c>
      <c r="J1025">
        <v>10</v>
      </c>
      <c r="K1025">
        <v>18.21</v>
      </c>
      <c r="L1025">
        <v>45.52</v>
      </c>
      <c r="M1025">
        <v>77.400000000000006</v>
      </c>
      <c r="N1025">
        <v>0</v>
      </c>
      <c r="O1025">
        <v>5.05</v>
      </c>
      <c r="P1025" s="2" t="s">
        <v>42</v>
      </c>
      <c r="Q1025">
        <v>0</v>
      </c>
      <c r="R1025">
        <v>163.94</v>
      </c>
      <c r="S1025">
        <v>127.97</v>
      </c>
      <c r="T1025">
        <v>35.97</v>
      </c>
      <c r="U1025">
        <f t="shared" si="15"/>
        <v>0</v>
      </c>
    </row>
    <row r="1026" spans="1:21" x14ac:dyDescent="0.25">
      <c r="A1026" s="2" t="s">
        <v>1660</v>
      </c>
      <c r="B1026" s="2" t="s">
        <v>138</v>
      </c>
      <c r="C1026" s="1">
        <v>45697</v>
      </c>
      <c r="D1026" s="2" t="s">
        <v>59</v>
      </c>
      <c r="E1026" s="2" t="s">
        <v>71</v>
      </c>
      <c r="F1026" s="2" t="s">
        <v>94</v>
      </c>
      <c r="G1026">
        <v>1</v>
      </c>
      <c r="H1026" s="2" t="s">
        <v>56</v>
      </c>
      <c r="I1026">
        <v>29.16</v>
      </c>
      <c r="J1026">
        <v>25</v>
      </c>
      <c r="K1026">
        <v>7.29</v>
      </c>
      <c r="L1026">
        <v>18.2</v>
      </c>
      <c r="M1026">
        <v>8.7200000000000006</v>
      </c>
      <c r="N1026">
        <v>3.28</v>
      </c>
      <c r="O1026">
        <v>0.93</v>
      </c>
      <c r="P1026" s="2" t="s">
        <v>42</v>
      </c>
      <c r="Q1026">
        <v>0</v>
      </c>
      <c r="R1026">
        <v>21.87</v>
      </c>
      <c r="S1026">
        <v>31.13</v>
      </c>
      <c r="T1026">
        <v>-9.26</v>
      </c>
      <c r="U1026">
        <f t="shared" si="15"/>
        <v>0</v>
      </c>
    </row>
    <row r="1027" spans="1:21" x14ac:dyDescent="0.25">
      <c r="A1027" s="2" t="s">
        <v>1661</v>
      </c>
      <c r="B1027" s="2" t="s">
        <v>355</v>
      </c>
      <c r="C1027" s="1">
        <v>45871</v>
      </c>
      <c r="D1027" s="2" t="s">
        <v>80</v>
      </c>
      <c r="E1027" s="2" t="s">
        <v>46</v>
      </c>
      <c r="F1027" s="2" t="s">
        <v>40</v>
      </c>
      <c r="G1027">
        <v>3</v>
      </c>
      <c r="H1027" s="2" t="s">
        <v>52</v>
      </c>
      <c r="I1027">
        <v>218.06</v>
      </c>
      <c r="J1027">
        <v>0</v>
      </c>
      <c r="K1027">
        <v>0</v>
      </c>
      <c r="L1027">
        <v>67.08</v>
      </c>
      <c r="M1027">
        <v>86.28</v>
      </c>
      <c r="N1027">
        <v>17.440000000000001</v>
      </c>
      <c r="O1027">
        <v>6.62</v>
      </c>
      <c r="P1027" s="2" t="s">
        <v>42</v>
      </c>
      <c r="Q1027">
        <v>0</v>
      </c>
      <c r="R1027">
        <v>218.06</v>
      </c>
      <c r="S1027">
        <v>177.42</v>
      </c>
      <c r="T1027">
        <v>40.64</v>
      </c>
      <c r="U1027">
        <f t="shared" si="15"/>
        <v>0</v>
      </c>
    </row>
    <row r="1028" spans="1:21" x14ac:dyDescent="0.25">
      <c r="A1028" s="2" t="s">
        <v>1662</v>
      </c>
      <c r="B1028" s="2" t="s">
        <v>818</v>
      </c>
      <c r="C1028" s="1">
        <v>45809</v>
      </c>
      <c r="D1028" s="2" t="s">
        <v>59</v>
      </c>
      <c r="E1028" s="2" t="s">
        <v>67</v>
      </c>
      <c r="F1028" s="2" t="s">
        <v>85</v>
      </c>
      <c r="G1028">
        <v>1</v>
      </c>
      <c r="H1028" s="2" t="s">
        <v>77</v>
      </c>
      <c r="I1028">
        <v>61.22</v>
      </c>
      <c r="J1028">
        <v>20</v>
      </c>
      <c r="K1028">
        <v>12.24</v>
      </c>
      <c r="L1028">
        <v>19.8</v>
      </c>
      <c r="M1028">
        <v>18.36</v>
      </c>
      <c r="N1028">
        <v>7.35</v>
      </c>
      <c r="O1028">
        <v>1.72</v>
      </c>
      <c r="P1028" s="2" t="s">
        <v>42</v>
      </c>
      <c r="Q1028">
        <v>0</v>
      </c>
      <c r="R1028">
        <v>48.98</v>
      </c>
      <c r="S1028">
        <v>47.23</v>
      </c>
      <c r="T1028">
        <v>1.75</v>
      </c>
      <c r="U1028">
        <f t="shared" si="15"/>
        <v>0</v>
      </c>
    </row>
    <row r="1029" spans="1:21" x14ac:dyDescent="0.25">
      <c r="A1029" s="2" t="s">
        <v>1663</v>
      </c>
      <c r="B1029" s="2" t="s">
        <v>155</v>
      </c>
      <c r="C1029" s="1">
        <v>45498</v>
      </c>
      <c r="D1029" s="2" t="s">
        <v>45</v>
      </c>
      <c r="E1029" s="2" t="s">
        <v>46</v>
      </c>
      <c r="F1029" s="2" t="s">
        <v>47</v>
      </c>
      <c r="G1029">
        <v>2</v>
      </c>
      <c r="H1029" s="2" t="s">
        <v>52</v>
      </c>
      <c r="I1029">
        <v>199.67</v>
      </c>
      <c r="J1029">
        <v>0</v>
      </c>
      <c r="K1029">
        <v>0</v>
      </c>
      <c r="L1029">
        <v>14.68</v>
      </c>
      <c r="M1029">
        <v>71.44</v>
      </c>
      <c r="N1029">
        <v>0</v>
      </c>
      <c r="O1029">
        <v>6.09</v>
      </c>
      <c r="P1029" s="2" t="s">
        <v>42</v>
      </c>
      <c r="Q1029">
        <v>0</v>
      </c>
      <c r="R1029">
        <v>199.67</v>
      </c>
      <c r="S1029">
        <v>92.21</v>
      </c>
      <c r="T1029">
        <v>107.46</v>
      </c>
      <c r="U1029">
        <f t="shared" ref="U1029:U1092" si="16">IF(P1027="Yes", 1, 0)</f>
        <v>0</v>
      </c>
    </row>
    <row r="1030" spans="1:21" x14ac:dyDescent="0.25">
      <c r="A1030" s="2" t="s">
        <v>1664</v>
      </c>
      <c r="B1030" s="2" t="s">
        <v>207</v>
      </c>
      <c r="C1030" s="1">
        <v>45513</v>
      </c>
      <c r="D1030" s="2" t="s">
        <v>45</v>
      </c>
      <c r="E1030" s="2" t="s">
        <v>71</v>
      </c>
      <c r="F1030" s="2" t="s">
        <v>40</v>
      </c>
      <c r="G1030">
        <v>1</v>
      </c>
      <c r="H1030" s="2" t="s">
        <v>64</v>
      </c>
      <c r="I1030">
        <v>90.19</v>
      </c>
      <c r="J1030">
        <v>20</v>
      </c>
      <c r="K1030">
        <v>18.04</v>
      </c>
      <c r="L1030">
        <v>13.42</v>
      </c>
      <c r="M1030">
        <v>33.04</v>
      </c>
      <c r="N1030">
        <v>0</v>
      </c>
      <c r="O1030">
        <v>2.39</v>
      </c>
      <c r="P1030" s="2" t="s">
        <v>42</v>
      </c>
      <c r="Q1030">
        <v>0</v>
      </c>
      <c r="R1030">
        <v>72.150000000000006</v>
      </c>
      <c r="S1030">
        <v>48.85</v>
      </c>
      <c r="T1030">
        <v>23.3</v>
      </c>
      <c r="U1030">
        <f t="shared" si="16"/>
        <v>0</v>
      </c>
    </row>
    <row r="1031" spans="1:21" x14ac:dyDescent="0.25">
      <c r="A1031" s="2" t="s">
        <v>1665</v>
      </c>
      <c r="B1031" s="2" t="s">
        <v>668</v>
      </c>
      <c r="C1031" s="1">
        <v>45817</v>
      </c>
      <c r="D1031" s="2" t="s">
        <v>45</v>
      </c>
      <c r="E1031" s="2" t="s">
        <v>67</v>
      </c>
      <c r="F1031" s="2" t="s">
        <v>47</v>
      </c>
      <c r="G1031">
        <v>1</v>
      </c>
      <c r="H1031" s="2" t="s">
        <v>56</v>
      </c>
      <c r="I1031">
        <v>49.35</v>
      </c>
      <c r="J1031">
        <v>20</v>
      </c>
      <c r="K1031">
        <v>9.8699999999999992</v>
      </c>
      <c r="L1031">
        <v>8.3800000000000008</v>
      </c>
      <c r="M1031">
        <v>26.77</v>
      </c>
      <c r="N1031">
        <v>0</v>
      </c>
      <c r="O1031">
        <v>1.44</v>
      </c>
      <c r="P1031" s="2" t="s">
        <v>42</v>
      </c>
      <c r="Q1031">
        <v>0</v>
      </c>
      <c r="R1031">
        <v>39.479999999999997</v>
      </c>
      <c r="S1031">
        <v>36.590000000000003</v>
      </c>
      <c r="T1031">
        <v>2.89</v>
      </c>
      <c r="U1031">
        <f t="shared" si="16"/>
        <v>0</v>
      </c>
    </row>
    <row r="1032" spans="1:21" x14ac:dyDescent="0.25">
      <c r="A1032" s="2" t="s">
        <v>1666</v>
      </c>
      <c r="B1032" s="2" t="s">
        <v>661</v>
      </c>
      <c r="C1032" s="1">
        <v>45673</v>
      </c>
      <c r="D1032" s="2" t="s">
        <v>45</v>
      </c>
      <c r="E1032" s="2" t="s">
        <v>55</v>
      </c>
      <c r="F1032" s="2" t="s">
        <v>51</v>
      </c>
      <c r="G1032">
        <v>1</v>
      </c>
      <c r="H1032" s="2" t="s">
        <v>74</v>
      </c>
      <c r="I1032">
        <v>18.440000000000001</v>
      </c>
      <c r="J1032">
        <v>0</v>
      </c>
      <c r="K1032">
        <v>0</v>
      </c>
      <c r="L1032">
        <v>4.62</v>
      </c>
      <c r="M1032">
        <v>5.64</v>
      </c>
      <c r="N1032">
        <v>0</v>
      </c>
      <c r="O1032">
        <v>0.83</v>
      </c>
      <c r="P1032" s="2" t="s">
        <v>42</v>
      </c>
      <c r="Q1032">
        <v>0</v>
      </c>
      <c r="R1032">
        <v>18.440000000000001</v>
      </c>
      <c r="S1032">
        <v>11.09</v>
      </c>
      <c r="T1032">
        <v>7.35</v>
      </c>
      <c r="U1032">
        <f t="shared" si="16"/>
        <v>0</v>
      </c>
    </row>
    <row r="1033" spans="1:21" x14ac:dyDescent="0.25">
      <c r="A1033" s="2" t="s">
        <v>1667</v>
      </c>
      <c r="B1033" s="2" t="s">
        <v>249</v>
      </c>
      <c r="C1033" s="1">
        <v>45752</v>
      </c>
      <c r="D1033" s="2" t="s">
        <v>38</v>
      </c>
      <c r="E1033" s="2" t="s">
        <v>55</v>
      </c>
      <c r="F1033" s="2" t="s">
        <v>47</v>
      </c>
      <c r="G1033">
        <v>1</v>
      </c>
      <c r="H1033" s="2" t="s">
        <v>56</v>
      </c>
      <c r="I1033">
        <v>47.22</v>
      </c>
      <c r="J1033">
        <v>10</v>
      </c>
      <c r="K1033">
        <v>4.72</v>
      </c>
      <c r="L1033">
        <v>5.9</v>
      </c>
      <c r="M1033">
        <v>20.9</v>
      </c>
      <c r="N1033">
        <v>0</v>
      </c>
      <c r="O1033">
        <v>1.53</v>
      </c>
      <c r="P1033" s="2" t="s">
        <v>42</v>
      </c>
      <c r="Q1033">
        <v>0</v>
      </c>
      <c r="R1033">
        <v>42.5</v>
      </c>
      <c r="S1033">
        <v>28.33</v>
      </c>
      <c r="T1033">
        <v>14.17</v>
      </c>
      <c r="U1033">
        <f t="shared" si="16"/>
        <v>0</v>
      </c>
    </row>
    <row r="1034" spans="1:21" x14ac:dyDescent="0.25">
      <c r="A1034" s="2" t="s">
        <v>1668</v>
      </c>
      <c r="B1034" s="2" t="s">
        <v>274</v>
      </c>
      <c r="C1034" s="1">
        <v>45779</v>
      </c>
      <c r="D1034" s="2" t="s">
        <v>59</v>
      </c>
      <c r="E1034" s="2" t="s">
        <v>46</v>
      </c>
      <c r="F1034" s="2" t="s">
        <v>85</v>
      </c>
      <c r="G1034">
        <v>2</v>
      </c>
      <c r="H1034" s="2" t="s">
        <v>111</v>
      </c>
      <c r="I1034">
        <v>168.72</v>
      </c>
      <c r="J1034">
        <v>15</v>
      </c>
      <c r="K1034">
        <v>25.31</v>
      </c>
      <c r="L1034">
        <v>28.9</v>
      </c>
      <c r="M1034">
        <v>63.97</v>
      </c>
      <c r="N1034">
        <v>21.51</v>
      </c>
      <c r="O1034">
        <v>4.46</v>
      </c>
      <c r="P1034" s="2" t="s">
        <v>42</v>
      </c>
      <c r="Q1034">
        <v>0</v>
      </c>
      <c r="R1034">
        <v>143.41</v>
      </c>
      <c r="S1034">
        <v>118.84</v>
      </c>
      <c r="T1034">
        <v>24.57</v>
      </c>
      <c r="U1034">
        <f t="shared" si="16"/>
        <v>0</v>
      </c>
    </row>
    <row r="1035" spans="1:21" x14ac:dyDescent="0.25">
      <c r="A1035" s="2" t="s">
        <v>1669</v>
      </c>
      <c r="B1035" s="2" t="s">
        <v>830</v>
      </c>
      <c r="C1035" s="1">
        <v>45912</v>
      </c>
      <c r="D1035" s="2" t="s">
        <v>45</v>
      </c>
      <c r="E1035" s="2" t="s">
        <v>39</v>
      </c>
      <c r="F1035" s="2" t="s">
        <v>51</v>
      </c>
      <c r="G1035">
        <v>3</v>
      </c>
      <c r="H1035" s="2" t="s">
        <v>41</v>
      </c>
      <c r="I1035">
        <v>519.29999999999995</v>
      </c>
      <c r="J1035">
        <v>0</v>
      </c>
      <c r="K1035">
        <v>0</v>
      </c>
      <c r="L1035">
        <v>43.02</v>
      </c>
      <c r="M1035">
        <v>215.95</v>
      </c>
      <c r="N1035">
        <v>0</v>
      </c>
      <c r="O1035">
        <v>15.36</v>
      </c>
      <c r="P1035" s="2" t="s">
        <v>42</v>
      </c>
      <c r="Q1035">
        <v>0</v>
      </c>
      <c r="R1035">
        <v>519.29999999999995</v>
      </c>
      <c r="S1035">
        <v>274.33</v>
      </c>
      <c r="T1035">
        <v>244.97</v>
      </c>
      <c r="U1035">
        <f t="shared" si="16"/>
        <v>0</v>
      </c>
    </row>
    <row r="1036" spans="1:21" x14ac:dyDescent="0.25">
      <c r="A1036" s="2" t="s">
        <v>1670</v>
      </c>
      <c r="B1036" s="2" t="s">
        <v>392</v>
      </c>
      <c r="C1036" s="1">
        <v>45906</v>
      </c>
      <c r="D1036" s="2" t="s">
        <v>38</v>
      </c>
      <c r="E1036" s="2" t="s">
        <v>46</v>
      </c>
      <c r="F1036" s="2" t="s">
        <v>85</v>
      </c>
      <c r="G1036">
        <v>1</v>
      </c>
      <c r="H1036" s="2" t="s">
        <v>64</v>
      </c>
      <c r="I1036">
        <v>186.84</v>
      </c>
      <c r="J1036">
        <v>20</v>
      </c>
      <c r="K1036">
        <v>37.369999999999997</v>
      </c>
      <c r="L1036">
        <v>31.62</v>
      </c>
      <c r="M1036">
        <v>69.959999999999994</v>
      </c>
      <c r="N1036">
        <v>0</v>
      </c>
      <c r="O1036">
        <v>4.63</v>
      </c>
      <c r="P1036" s="2" t="s">
        <v>42</v>
      </c>
      <c r="Q1036">
        <v>0</v>
      </c>
      <c r="R1036">
        <v>149.47</v>
      </c>
      <c r="S1036">
        <v>106.21</v>
      </c>
      <c r="T1036">
        <v>43.26</v>
      </c>
      <c r="U1036">
        <f t="shared" si="16"/>
        <v>0</v>
      </c>
    </row>
    <row r="1037" spans="1:21" x14ac:dyDescent="0.25">
      <c r="A1037" s="2" t="s">
        <v>1671</v>
      </c>
      <c r="B1037" s="2" t="s">
        <v>1468</v>
      </c>
      <c r="C1037" s="1">
        <v>45876</v>
      </c>
      <c r="D1037" s="2" t="s">
        <v>45</v>
      </c>
      <c r="E1037" s="2" t="s">
        <v>67</v>
      </c>
      <c r="F1037" s="2" t="s">
        <v>85</v>
      </c>
      <c r="G1037">
        <v>4</v>
      </c>
      <c r="H1037" s="2" t="s">
        <v>48</v>
      </c>
      <c r="I1037">
        <v>268.77</v>
      </c>
      <c r="J1037">
        <v>25</v>
      </c>
      <c r="K1037">
        <v>67.19</v>
      </c>
      <c r="L1037">
        <v>55.02</v>
      </c>
      <c r="M1037">
        <v>107.18</v>
      </c>
      <c r="N1037">
        <v>0</v>
      </c>
      <c r="O1037">
        <v>6.15</v>
      </c>
      <c r="P1037" s="2" t="s">
        <v>42</v>
      </c>
      <c r="Q1037">
        <v>0</v>
      </c>
      <c r="R1037">
        <v>201.58</v>
      </c>
      <c r="S1037">
        <v>168.35</v>
      </c>
      <c r="T1037">
        <v>33.229999999999997</v>
      </c>
      <c r="U1037">
        <f t="shared" si="16"/>
        <v>0</v>
      </c>
    </row>
    <row r="1038" spans="1:21" x14ac:dyDescent="0.25">
      <c r="A1038" s="2" t="s">
        <v>1672</v>
      </c>
      <c r="B1038" s="2" t="s">
        <v>694</v>
      </c>
      <c r="C1038" s="1">
        <v>45812</v>
      </c>
      <c r="D1038" s="2" t="s">
        <v>45</v>
      </c>
      <c r="E1038" s="2" t="s">
        <v>71</v>
      </c>
      <c r="F1038" s="2" t="s">
        <v>47</v>
      </c>
      <c r="G1038">
        <v>1</v>
      </c>
      <c r="H1038" s="2" t="s">
        <v>41</v>
      </c>
      <c r="I1038">
        <v>42.25</v>
      </c>
      <c r="J1038">
        <v>5</v>
      </c>
      <c r="K1038">
        <v>2.11</v>
      </c>
      <c r="L1038">
        <v>13.58</v>
      </c>
      <c r="M1038">
        <v>22.95</v>
      </c>
      <c r="N1038">
        <v>0</v>
      </c>
      <c r="O1038">
        <v>1.46</v>
      </c>
      <c r="P1038" s="2" t="s">
        <v>42</v>
      </c>
      <c r="Q1038">
        <v>0</v>
      </c>
      <c r="R1038">
        <v>40.14</v>
      </c>
      <c r="S1038">
        <v>37.99</v>
      </c>
      <c r="T1038">
        <v>2.15</v>
      </c>
      <c r="U1038">
        <f t="shared" si="16"/>
        <v>0</v>
      </c>
    </row>
    <row r="1039" spans="1:21" x14ac:dyDescent="0.25">
      <c r="A1039" s="2" t="s">
        <v>1673</v>
      </c>
      <c r="B1039" s="2" t="s">
        <v>1674</v>
      </c>
      <c r="C1039" s="1">
        <v>45773</v>
      </c>
      <c r="D1039" s="2" t="s">
        <v>45</v>
      </c>
      <c r="E1039" s="2" t="s">
        <v>46</v>
      </c>
      <c r="F1039" s="2" t="s">
        <v>94</v>
      </c>
      <c r="G1039">
        <v>2</v>
      </c>
      <c r="H1039" s="2" t="s">
        <v>74</v>
      </c>
      <c r="I1039">
        <v>298.8</v>
      </c>
      <c r="J1039">
        <v>5</v>
      </c>
      <c r="K1039">
        <v>14.94</v>
      </c>
      <c r="L1039">
        <v>16.420000000000002</v>
      </c>
      <c r="M1039">
        <v>107.02</v>
      </c>
      <c r="N1039">
        <v>0</v>
      </c>
      <c r="O1039">
        <v>8.5299999999999994</v>
      </c>
      <c r="P1039" s="2" t="s">
        <v>42</v>
      </c>
      <c r="Q1039">
        <v>0</v>
      </c>
      <c r="R1039">
        <v>283.86</v>
      </c>
      <c r="S1039">
        <v>131.97</v>
      </c>
      <c r="T1039">
        <v>151.88999999999999</v>
      </c>
      <c r="U1039">
        <f t="shared" si="16"/>
        <v>0</v>
      </c>
    </row>
    <row r="1040" spans="1:21" x14ac:dyDescent="0.25">
      <c r="A1040" s="2" t="s">
        <v>1675</v>
      </c>
      <c r="B1040" s="2" t="s">
        <v>1600</v>
      </c>
      <c r="C1040" s="1">
        <v>45627</v>
      </c>
      <c r="D1040" s="2" t="s">
        <v>45</v>
      </c>
      <c r="E1040" s="2" t="s">
        <v>39</v>
      </c>
      <c r="F1040" s="2" t="s">
        <v>51</v>
      </c>
      <c r="G1040">
        <v>2</v>
      </c>
      <c r="H1040" s="2" t="s">
        <v>64</v>
      </c>
      <c r="I1040">
        <v>89.78</v>
      </c>
      <c r="J1040">
        <v>20</v>
      </c>
      <c r="K1040">
        <v>17.96</v>
      </c>
      <c r="L1040">
        <v>26.04</v>
      </c>
      <c r="M1040">
        <v>46.83</v>
      </c>
      <c r="N1040">
        <v>0</v>
      </c>
      <c r="O1040">
        <v>2.38</v>
      </c>
      <c r="P1040" s="2" t="s">
        <v>42</v>
      </c>
      <c r="Q1040">
        <v>0</v>
      </c>
      <c r="R1040">
        <v>71.819999999999993</v>
      </c>
      <c r="S1040">
        <v>75.25</v>
      </c>
      <c r="T1040">
        <v>-3.43</v>
      </c>
      <c r="U1040">
        <f t="shared" si="16"/>
        <v>0</v>
      </c>
    </row>
    <row r="1041" spans="1:21" x14ac:dyDescent="0.25">
      <c r="A1041" s="2" t="s">
        <v>1676</v>
      </c>
      <c r="B1041" s="2" t="s">
        <v>443</v>
      </c>
      <c r="C1041" s="1">
        <v>45830</v>
      </c>
      <c r="D1041" s="2" t="s">
        <v>59</v>
      </c>
      <c r="E1041" s="2" t="s">
        <v>67</v>
      </c>
      <c r="F1041" s="2" t="s">
        <v>51</v>
      </c>
      <c r="G1041">
        <v>2</v>
      </c>
      <c r="H1041" s="2" t="s">
        <v>74</v>
      </c>
      <c r="I1041">
        <v>109.98</v>
      </c>
      <c r="J1041">
        <v>10</v>
      </c>
      <c r="K1041">
        <v>11</v>
      </c>
      <c r="L1041">
        <v>19</v>
      </c>
      <c r="M1041">
        <v>43.86</v>
      </c>
      <c r="N1041">
        <v>14.85</v>
      </c>
      <c r="O1041">
        <v>3.17</v>
      </c>
      <c r="P1041" s="2" t="s">
        <v>68</v>
      </c>
      <c r="Q1041">
        <v>98.98</v>
      </c>
      <c r="R1041">
        <v>0</v>
      </c>
      <c r="S1041">
        <v>80.88</v>
      </c>
      <c r="T1041">
        <v>-80.88</v>
      </c>
      <c r="U1041">
        <f t="shared" si="16"/>
        <v>0</v>
      </c>
    </row>
    <row r="1042" spans="1:21" x14ac:dyDescent="0.25">
      <c r="A1042" s="2" t="s">
        <v>1677</v>
      </c>
      <c r="B1042" s="2" t="s">
        <v>1187</v>
      </c>
      <c r="C1042" s="1">
        <v>45617</v>
      </c>
      <c r="D1042" s="2" t="s">
        <v>59</v>
      </c>
      <c r="E1042" s="2" t="s">
        <v>46</v>
      </c>
      <c r="F1042" s="2" t="s">
        <v>85</v>
      </c>
      <c r="G1042">
        <v>2</v>
      </c>
      <c r="H1042" s="2" t="s">
        <v>74</v>
      </c>
      <c r="I1042">
        <v>43.35</v>
      </c>
      <c r="J1042">
        <v>10</v>
      </c>
      <c r="K1042">
        <v>4.33</v>
      </c>
      <c r="L1042">
        <v>26.04</v>
      </c>
      <c r="M1042">
        <v>19.53</v>
      </c>
      <c r="N1042">
        <v>5.85</v>
      </c>
      <c r="O1042">
        <v>1.43</v>
      </c>
      <c r="P1042" s="2" t="s">
        <v>42</v>
      </c>
      <c r="Q1042">
        <v>0</v>
      </c>
      <c r="R1042">
        <v>39.020000000000003</v>
      </c>
      <c r="S1042">
        <v>52.85</v>
      </c>
      <c r="T1042">
        <v>-13.83</v>
      </c>
      <c r="U1042">
        <f t="shared" si="16"/>
        <v>0</v>
      </c>
    </row>
    <row r="1043" spans="1:21" x14ac:dyDescent="0.25">
      <c r="A1043" s="2" t="s">
        <v>1678</v>
      </c>
      <c r="B1043" s="2" t="s">
        <v>1679</v>
      </c>
      <c r="C1043" s="1">
        <v>45587</v>
      </c>
      <c r="D1043" s="2" t="s">
        <v>45</v>
      </c>
      <c r="E1043" s="2" t="s">
        <v>71</v>
      </c>
      <c r="F1043" s="2" t="s">
        <v>51</v>
      </c>
      <c r="G1043">
        <v>2</v>
      </c>
      <c r="H1043" s="2" t="s">
        <v>52</v>
      </c>
      <c r="I1043">
        <v>394.71</v>
      </c>
      <c r="J1043">
        <v>10</v>
      </c>
      <c r="K1043">
        <v>39.47</v>
      </c>
      <c r="L1043">
        <v>23.68</v>
      </c>
      <c r="M1043">
        <v>145.31</v>
      </c>
      <c r="N1043">
        <v>0</v>
      </c>
      <c r="O1043">
        <v>10.6</v>
      </c>
      <c r="P1043" s="2" t="s">
        <v>42</v>
      </c>
      <c r="Q1043">
        <v>0</v>
      </c>
      <c r="R1043">
        <v>355.24</v>
      </c>
      <c r="S1043">
        <v>179.59</v>
      </c>
      <c r="T1043">
        <v>175.65</v>
      </c>
      <c r="U1043">
        <f t="shared" si="16"/>
        <v>1</v>
      </c>
    </row>
    <row r="1044" spans="1:21" x14ac:dyDescent="0.25">
      <c r="A1044" s="2" t="s">
        <v>1680</v>
      </c>
      <c r="B1044" s="2" t="s">
        <v>713</v>
      </c>
      <c r="C1044" s="1">
        <v>45726</v>
      </c>
      <c r="D1044" s="2" t="s">
        <v>45</v>
      </c>
      <c r="E1044" s="2" t="s">
        <v>46</v>
      </c>
      <c r="F1044" s="2" t="s">
        <v>40</v>
      </c>
      <c r="G1044">
        <v>2</v>
      </c>
      <c r="H1044" s="2" t="s">
        <v>48</v>
      </c>
      <c r="I1044">
        <v>89.81</v>
      </c>
      <c r="J1044">
        <v>0</v>
      </c>
      <c r="K1044">
        <v>0</v>
      </c>
      <c r="L1044">
        <v>14.6</v>
      </c>
      <c r="M1044">
        <v>51.03</v>
      </c>
      <c r="N1044">
        <v>0</v>
      </c>
      <c r="O1044">
        <v>2.9</v>
      </c>
      <c r="P1044" s="2" t="s">
        <v>42</v>
      </c>
      <c r="Q1044">
        <v>0</v>
      </c>
      <c r="R1044">
        <v>89.81</v>
      </c>
      <c r="S1044">
        <v>68.53</v>
      </c>
      <c r="T1044">
        <v>21.28</v>
      </c>
      <c r="U1044">
        <f t="shared" si="16"/>
        <v>0</v>
      </c>
    </row>
    <row r="1045" spans="1:21" x14ac:dyDescent="0.25">
      <c r="A1045" s="2" t="s">
        <v>1681</v>
      </c>
      <c r="B1045" s="2" t="s">
        <v>1100</v>
      </c>
      <c r="C1045" s="1">
        <v>45522</v>
      </c>
      <c r="D1045" s="2" t="s">
        <v>80</v>
      </c>
      <c r="E1045" s="2" t="s">
        <v>71</v>
      </c>
      <c r="F1045" s="2" t="s">
        <v>94</v>
      </c>
      <c r="G1045">
        <v>1</v>
      </c>
      <c r="H1045" s="2" t="s">
        <v>64</v>
      </c>
      <c r="I1045">
        <v>47.2</v>
      </c>
      <c r="J1045">
        <v>0</v>
      </c>
      <c r="K1045">
        <v>0</v>
      </c>
      <c r="L1045">
        <v>10.94</v>
      </c>
      <c r="M1045">
        <v>25.59</v>
      </c>
      <c r="N1045">
        <v>3.78</v>
      </c>
      <c r="O1045">
        <v>1.67</v>
      </c>
      <c r="P1045" s="2" t="s">
        <v>42</v>
      </c>
      <c r="Q1045">
        <v>0</v>
      </c>
      <c r="R1045">
        <v>47.2</v>
      </c>
      <c r="S1045">
        <v>41.98</v>
      </c>
      <c r="T1045">
        <v>5.22</v>
      </c>
      <c r="U1045">
        <f t="shared" si="16"/>
        <v>0</v>
      </c>
    </row>
    <row r="1046" spans="1:21" x14ac:dyDescent="0.25">
      <c r="A1046" s="2" t="s">
        <v>1682</v>
      </c>
      <c r="B1046" s="2" t="s">
        <v>1311</v>
      </c>
      <c r="C1046" s="1">
        <v>45449</v>
      </c>
      <c r="D1046" s="2" t="s">
        <v>45</v>
      </c>
      <c r="E1046" s="2" t="s">
        <v>67</v>
      </c>
      <c r="F1046" s="2" t="s">
        <v>85</v>
      </c>
      <c r="G1046">
        <v>1</v>
      </c>
      <c r="H1046" s="2" t="s">
        <v>64</v>
      </c>
      <c r="I1046">
        <v>40.89</v>
      </c>
      <c r="J1046">
        <v>20</v>
      </c>
      <c r="K1046">
        <v>8.18</v>
      </c>
      <c r="L1046">
        <v>15.1</v>
      </c>
      <c r="M1046">
        <v>16.21</v>
      </c>
      <c r="N1046">
        <v>0</v>
      </c>
      <c r="O1046">
        <v>1.25</v>
      </c>
      <c r="P1046" s="2" t="s">
        <v>42</v>
      </c>
      <c r="Q1046">
        <v>0</v>
      </c>
      <c r="R1046">
        <v>32.71</v>
      </c>
      <c r="S1046">
        <v>32.56</v>
      </c>
      <c r="T1046">
        <v>0.15</v>
      </c>
      <c r="U1046">
        <f t="shared" si="16"/>
        <v>0</v>
      </c>
    </row>
    <row r="1047" spans="1:21" x14ac:dyDescent="0.25">
      <c r="A1047" s="2" t="s">
        <v>1683</v>
      </c>
      <c r="B1047" s="2" t="s">
        <v>1282</v>
      </c>
      <c r="C1047" s="1">
        <v>45839</v>
      </c>
      <c r="D1047" s="2" t="s">
        <v>38</v>
      </c>
      <c r="E1047" s="2" t="s">
        <v>67</v>
      </c>
      <c r="F1047" s="2" t="s">
        <v>85</v>
      </c>
      <c r="G1047">
        <v>1</v>
      </c>
      <c r="H1047" s="2" t="s">
        <v>77</v>
      </c>
      <c r="I1047">
        <v>10</v>
      </c>
      <c r="J1047">
        <v>0</v>
      </c>
      <c r="K1047">
        <v>0</v>
      </c>
      <c r="L1047">
        <v>6.14</v>
      </c>
      <c r="M1047">
        <v>3.35</v>
      </c>
      <c r="N1047">
        <v>0</v>
      </c>
      <c r="O1047">
        <v>0.59</v>
      </c>
      <c r="P1047" s="2" t="s">
        <v>42</v>
      </c>
      <c r="Q1047">
        <v>0</v>
      </c>
      <c r="R1047">
        <v>10</v>
      </c>
      <c r="S1047">
        <v>10.08</v>
      </c>
      <c r="T1047">
        <v>-0.08</v>
      </c>
      <c r="U1047">
        <f t="shared" si="16"/>
        <v>0</v>
      </c>
    </row>
    <row r="1048" spans="1:21" x14ac:dyDescent="0.25">
      <c r="A1048" s="2" t="s">
        <v>1684</v>
      </c>
      <c r="B1048" s="2" t="s">
        <v>271</v>
      </c>
      <c r="C1048" s="1">
        <v>45465</v>
      </c>
      <c r="D1048" s="2" t="s">
        <v>45</v>
      </c>
      <c r="E1048" s="2" t="s">
        <v>46</v>
      </c>
      <c r="F1048" s="2" t="s">
        <v>40</v>
      </c>
      <c r="G1048">
        <v>4</v>
      </c>
      <c r="H1048" s="2" t="s">
        <v>64</v>
      </c>
      <c r="I1048">
        <v>314.26</v>
      </c>
      <c r="J1048">
        <v>0</v>
      </c>
      <c r="K1048">
        <v>0</v>
      </c>
      <c r="L1048">
        <v>72.260000000000005</v>
      </c>
      <c r="M1048">
        <v>117.47</v>
      </c>
      <c r="N1048">
        <v>0</v>
      </c>
      <c r="O1048">
        <v>9.41</v>
      </c>
      <c r="P1048" s="2" t="s">
        <v>42</v>
      </c>
      <c r="Q1048">
        <v>0</v>
      </c>
      <c r="R1048">
        <v>314.26</v>
      </c>
      <c r="S1048">
        <v>199.14</v>
      </c>
      <c r="T1048">
        <v>115.12</v>
      </c>
      <c r="U1048">
        <f t="shared" si="16"/>
        <v>0</v>
      </c>
    </row>
    <row r="1049" spans="1:21" x14ac:dyDescent="0.25">
      <c r="A1049" s="2" t="s">
        <v>1685</v>
      </c>
      <c r="B1049" s="2" t="s">
        <v>583</v>
      </c>
      <c r="C1049" s="1">
        <v>45927</v>
      </c>
      <c r="D1049" s="2" t="s">
        <v>80</v>
      </c>
      <c r="E1049" s="2" t="s">
        <v>71</v>
      </c>
      <c r="F1049" s="2" t="s">
        <v>51</v>
      </c>
      <c r="G1049">
        <v>2</v>
      </c>
      <c r="H1049" s="2" t="s">
        <v>48</v>
      </c>
      <c r="I1049">
        <v>79.11</v>
      </c>
      <c r="J1049">
        <v>0</v>
      </c>
      <c r="K1049">
        <v>0</v>
      </c>
      <c r="L1049">
        <v>24.2</v>
      </c>
      <c r="M1049">
        <v>41.25</v>
      </c>
      <c r="N1049">
        <v>6.33</v>
      </c>
      <c r="O1049">
        <v>2.59</v>
      </c>
      <c r="P1049" s="2" t="s">
        <v>42</v>
      </c>
      <c r="Q1049">
        <v>0</v>
      </c>
      <c r="R1049">
        <v>79.11</v>
      </c>
      <c r="S1049">
        <v>74.37</v>
      </c>
      <c r="T1049">
        <v>4.74</v>
      </c>
      <c r="U1049">
        <f t="shared" si="16"/>
        <v>0</v>
      </c>
    </row>
    <row r="1050" spans="1:21" x14ac:dyDescent="0.25">
      <c r="A1050" s="2" t="s">
        <v>1686</v>
      </c>
      <c r="B1050" s="2" t="s">
        <v>1687</v>
      </c>
      <c r="C1050" s="1">
        <v>45912</v>
      </c>
      <c r="D1050" s="2" t="s">
        <v>38</v>
      </c>
      <c r="E1050" s="2" t="s">
        <v>46</v>
      </c>
      <c r="F1050" s="2" t="s">
        <v>94</v>
      </c>
      <c r="G1050">
        <v>2</v>
      </c>
      <c r="H1050" s="2" t="s">
        <v>56</v>
      </c>
      <c r="I1050">
        <v>227.36</v>
      </c>
      <c r="J1050">
        <v>5</v>
      </c>
      <c r="K1050">
        <v>11.37</v>
      </c>
      <c r="L1050">
        <v>23.52</v>
      </c>
      <c r="M1050">
        <v>90.2</v>
      </c>
      <c r="N1050">
        <v>0</v>
      </c>
      <c r="O1050">
        <v>6.56</v>
      </c>
      <c r="P1050" s="2" t="s">
        <v>42</v>
      </c>
      <c r="Q1050">
        <v>0</v>
      </c>
      <c r="R1050">
        <v>215.99</v>
      </c>
      <c r="S1050">
        <v>120.28</v>
      </c>
      <c r="T1050">
        <v>95.71</v>
      </c>
      <c r="U1050">
        <f t="shared" si="16"/>
        <v>0</v>
      </c>
    </row>
    <row r="1051" spans="1:21" x14ac:dyDescent="0.25">
      <c r="A1051" s="2" t="s">
        <v>1688</v>
      </c>
      <c r="B1051" s="2" t="s">
        <v>1541</v>
      </c>
      <c r="C1051" s="1">
        <v>45527</v>
      </c>
      <c r="D1051" s="2" t="s">
        <v>59</v>
      </c>
      <c r="E1051" s="2" t="s">
        <v>39</v>
      </c>
      <c r="F1051" s="2" t="s">
        <v>94</v>
      </c>
      <c r="G1051">
        <v>1</v>
      </c>
      <c r="H1051" s="2" t="s">
        <v>77</v>
      </c>
      <c r="I1051">
        <v>47.22</v>
      </c>
      <c r="J1051">
        <v>0</v>
      </c>
      <c r="K1051">
        <v>0</v>
      </c>
      <c r="L1051">
        <v>16.440000000000001</v>
      </c>
      <c r="M1051">
        <v>14.62</v>
      </c>
      <c r="N1051">
        <v>7.08</v>
      </c>
      <c r="O1051">
        <v>1.67</v>
      </c>
      <c r="P1051" s="2" t="s">
        <v>42</v>
      </c>
      <c r="Q1051">
        <v>0</v>
      </c>
      <c r="R1051">
        <v>47.22</v>
      </c>
      <c r="S1051">
        <v>39.81</v>
      </c>
      <c r="T1051">
        <v>7.41</v>
      </c>
      <c r="U1051">
        <f t="shared" si="16"/>
        <v>0</v>
      </c>
    </row>
    <row r="1052" spans="1:21" x14ac:dyDescent="0.25">
      <c r="A1052" s="2" t="s">
        <v>1689</v>
      </c>
      <c r="B1052" s="2" t="s">
        <v>1690</v>
      </c>
      <c r="C1052" s="1">
        <v>45847</v>
      </c>
      <c r="D1052" s="2" t="s">
        <v>59</v>
      </c>
      <c r="E1052" s="2" t="s">
        <v>71</v>
      </c>
      <c r="F1052" s="2" t="s">
        <v>40</v>
      </c>
      <c r="G1052">
        <v>2</v>
      </c>
      <c r="H1052" s="2" t="s">
        <v>56</v>
      </c>
      <c r="I1052">
        <v>63.34</v>
      </c>
      <c r="J1052">
        <v>15</v>
      </c>
      <c r="K1052">
        <v>9.5</v>
      </c>
      <c r="L1052">
        <v>16.52</v>
      </c>
      <c r="M1052">
        <v>28.87</v>
      </c>
      <c r="N1052">
        <v>8.08</v>
      </c>
      <c r="O1052">
        <v>1.86</v>
      </c>
      <c r="P1052" s="2" t="s">
        <v>42</v>
      </c>
      <c r="Q1052">
        <v>0</v>
      </c>
      <c r="R1052">
        <v>53.84</v>
      </c>
      <c r="S1052">
        <v>55.33</v>
      </c>
      <c r="T1052">
        <v>-1.49</v>
      </c>
      <c r="U1052">
        <f t="shared" si="16"/>
        <v>0</v>
      </c>
    </row>
    <row r="1053" spans="1:21" x14ac:dyDescent="0.25">
      <c r="A1053" s="2" t="s">
        <v>1691</v>
      </c>
      <c r="B1053" s="2" t="s">
        <v>199</v>
      </c>
      <c r="C1053" s="1">
        <v>45889</v>
      </c>
      <c r="D1053" s="2" t="s">
        <v>45</v>
      </c>
      <c r="E1053" s="2" t="s">
        <v>46</v>
      </c>
      <c r="F1053" s="2" t="s">
        <v>94</v>
      </c>
      <c r="G1053">
        <v>1</v>
      </c>
      <c r="H1053" s="2" t="s">
        <v>64</v>
      </c>
      <c r="I1053">
        <v>13.66</v>
      </c>
      <c r="J1053">
        <v>0</v>
      </c>
      <c r="K1053">
        <v>0</v>
      </c>
      <c r="L1053">
        <v>10.62</v>
      </c>
      <c r="M1053">
        <v>4.6900000000000004</v>
      </c>
      <c r="N1053">
        <v>0</v>
      </c>
      <c r="O1053">
        <v>0.7</v>
      </c>
      <c r="P1053" s="2" t="s">
        <v>42</v>
      </c>
      <c r="Q1053">
        <v>0</v>
      </c>
      <c r="R1053">
        <v>13.66</v>
      </c>
      <c r="S1053">
        <v>16.010000000000002</v>
      </c>
      <c r="T1053">
        <v>-2.35</v>
      </c>
      <c r="U1053">
        <f t="shared" si="16"/>
        <v>0</v>
      </c>
    </row>
    <row r="1054" spans="1:21" x14ac:dyDescent="0.25">
      <c r="A1054" s="2" t="s">
        <v>1692</v>
      </c>
      <c r="B1054" s="2" t="s">
        <v>380</v>
      </c>
      <c r="C1054" s="1">
        <v>45899</v>
      </c>
      <c r="D1054" s="2" t="s">
        <v>59</v>
      </c>
      <c r="E1054" s="2" t="s">
        <v>55</v>
      </c>
      <c r="F1054" s="2" t="s">
        <v>51</v>
      </c>
      <c r="G1054">
        <v>1</v>
      </c>
      <c r="H1054" s="2" t="s">
        <v>64</v>
      </c>
      <c r="I1054">
        <v>20.57</v>
      </c>
      <c r="J1054">
        <v>0</v>
      </c>
      <c r="K1054">
        <v>0</v>
      </c>
      <c r="L1054">
        <v>7.02</v>
      </c>
      <c r="M1054">
        <v>7.36</v>
      </c>
      <c r="N1054">
        <v>3.09</v>
      </c>
      <c r="O1054">
        <v>0.9</v>
      </c>
      <c r="P1054" s="2" t="s">
        <v>42</v>
      </c>
      <c r="Q1054">
        <v>0</v>
      </c>
      <c r="R1054">
        <v>20.57</v>
      </c>
      <c r="S1054">
        <v>18.37</v>
      </c>
      <c r="T1054">
        <v>2.2000000000000002</v>
      </c>
      <c r="U1054">
        <f t="shared" si="16"/>
        <v>0</v>
      </c>
    </row>
    <row r="1055" spans="1:21" x14ac:dyDescent="0.25">
      <c r="A1055" s="2" t="s">
        <v>1693</v>
      </c>
      <c r="B1055" s="2" t="s">
        <v>1694</v>
      </c>
      <c r="C1055" s="1">
        <v>45616</v>
      </c>
      <c r="D1055" s="2" t="s">
        <v>38</v>
      </c>
      <c r="E1055" s="2" t="s">
        <v>71</v>
      </c>
      <c r="F1055" s="2" t="s">
        <v>51</v>
      </c>
      <c r="G1055">
        <v>1</v>
      </c>
      <c r="H1055" s="2" t="s">
        <v>64</v>
      </c>
      <c r="I1055">
        <v>120.56</v>
      </c>
      <c r="J1055">
        <v>5</v>
      </c>
      <c r="K1055">
        <v>6.03</v>
      </c>
      <c r="L1055">
        <v>28.6</v>
      </c>
      <c r="M1055">
        <v>60.42</v>
      </c>
      <c r="N1055">
        <v>0</v>
      </c>
      <c r="O1055">
        <v>3.62</v>
      </c>
      <c r="P1055" s="2" t="s">
        <v>42</v>
      </c>
      <c r="Q1055">
        <v>0</v>
      </c>
      <c r="R1055">
        <v>114.53</v>
      </c>
      <c r="S1055">
        <v>92.64</v>
      </c>
      <c r="T1055">
        <v>21.89</v>
      </c>
      <c r="U1055">
        <f t="shared" si="16"/>
        <v>0</v>
      </c>
    </row>
    <row r="1056" spans="1:21" x14ac:dyDescent="0.25">
      <c r="A1056" s="2" t="s">
        <v>1695</v>
      </c>
      <c r="B1056" s="2" t="s">
        <v>305</v>
      </c>
      <c r="C1056" s="1">
        <v>45771</v>
      </c>
      <c r="D1056" s="2" t="s">
        <v>38</v>
      </c>
      <c r="E1056" s="2" t="s">
        <v>71</v>
      </c>
      <c r="F1056" s="2" t="s">
        <v>94</v>
      </c>
      <c r="G1056">
        <v>1</v>
      </c>
      <c r="H1056" s="2" t="s">
        <v>56</v>
      </c>
      <c r="I1056">
        <v>49.35</v>
      </c>
      <c r="J1056">
        <v>15</v>
      </c>
      <c r="K1056">
        <v>7.4</v>
      </c>
      <c r="L1056">
        <v>8.3800000000000008</v>
      </c>
      <c r="M1056">
        <v>26.77</v>
      </c>
      <c r="N1056">
        <v>0</v>
      </c>
      <c r="O1056">
        <v>1.52</v>
      </c>
      <c r="P1056" s="2" t="s">
        <v>42</v>
      </c>
      <c r="Q1056">
        <v>0</v>
      </c>
      <c r="R1056">
        <v>41.95</v>
      </c>
      <c r="S1056">
        <v>36.67</v>
      </c>
      <c r="T1056">
        <v>5.28</v>
      </c>
      <c r="U1056">
        <f t="shared" si="16"/>
        <v>0</v>
      </c>
    </row>
    <row r="1057" spans="1:21" x14ac:dyDescent="0.25">
      <c r="A1057" s="2" t="s">
        <v>1696</v>
      </c>
      <c r="B1057" s="2" t="s">
        <v>1697</v>
      </c>
      <c r="C1057" s="1">
        <v>45731</v>
      </c>
      <c r="D1057" s="2" t="s">
        <v>38</v>
      </c>
      <c r="E1057" s="2" t="s">
        <v>46</v>
      </c>
      <c r="F1057" s="2" t="s">
        <v>94</v>
      </c>
      <c r="G1057">
        <v>1</v>
      </c>
      <c r="H1057" s="2" t="s">
        <v>56</v>
      </c>
      <c r="I1057">
        <v>11.99</v>
      </c>
      <c r="J1057">
        <v>20</v>
      </c>
      <c r="K1057">
        <v>2.4</v>
      </c>
      <c r="L1057">
        <v>10.3</v>
      </c>
      <c r="M1057">
        <v>6.88</v>
      </c>
      <c r="N1057">
        <v>0</v>
      </c>
      <c r="O1057">
        <v>0.57999999999999996</v>
      </c>
      <c r="P1057" s="2" t="s">
        <v>42</v>
      </c>
      <c r="Q1057">
        <v>0</v>
      </c>
      <c r="R1057">
        <v>9.59</v>
      </c>
      <c r="S1057">
        <v>17.760000000000002</v>
      </c>
      <c r="T1057">
        <v>-8.17</v>
      </c>
      <c r="U1057">
        <f t="shared" si="16"/>
        <v>0</v>
      </c>
    </row>
    <row r="1058" spans="1:21" x14ac:dyDescent="0.25">
      <c r="A1058" s="2" t="s">
        <v>1698</v>
      </c>
      <c r="B1058" s="2" t="s">
        <v>842</v>
      </c>
      <c r="C1058" s="1">
        <v>45839</v>
      </c>
      <c r="D1058" s="2" t="s">
        <v>45</v>
      </c>
      <c r="E1058" s="2" t="s">
        <v>46</v>
      </c>
      <c r="F1058" s="2" t="s">
        <v>51</v>
      </c>
      <c r="G1058">
        <v>2</v>
      </c>
      <c r="H1058" s="2" t="s">
        <v>52</v>
      </c>
      <c r="I1058">
        <v>88.41</v>
      </c>
      <c r="J1058">
        <v>10</v>
      </c>
      <c r="K1058">
        <v>8.84</v>
      </c>
      <c r="L1058">
        <v>27.48</v>
      </c>
      <c r="M1058">
        <v>29</v>
      </c>
      <c r="N1058">
        <v>0</v>
      </c>
      <c r="O1058">
        <v>2.61</v>
      </c>
      <c r="P1058" s="2" t="s">
        <v>42</v>
      </c>
      <c r="Q1058">
        <v>0</v>
      </c>
      <c r="R1058">
        <v>79.569999999999993</v>
      </c>
      <c r="S1058">
        <v>59.09</v>
      </c>
      <c r="T1058">
        <v>20.48</v>
      </c>
      <c r="U1058">
        <f t="shared" si="16"/>
        <v>0</v>
      </c>
    </row>
    <row r="1059" spans="1:21" x14ac:dyDescent="0.25">
      <c r="A1059" s="2" t="s">
        <v>1699</v>
      </c>
      <c r="B1059" s="2" t="s">
        <v>705</v>
      </c>
      <c r="C1059" s="1">
        <v>45849</v>
      </c>
      <c r="D1059" s="2" t="s">
        <v>38</v>
      </c>
      <c r="E1059" s="2" t="s">
        <v>46</v>
      </c>
      <c r="F1059" s="2" t="s">
        <v>51</v>
      </c>
      <c r="G1059">
        <v>1</v>
      </c>
      <c r="H1059" s="2" t="s">
        <v>41</v>
      </c>
      <c r="I1059">
        <v>126.75</v>
      </c>
      <c r="J1059">
        <v>0</v>
      </c>
      <c r="K1059">
        <v>0</v>
      </c>
      <c r="L1059">
        <v>40.74</v>
      </c>
      <c r="M1059">
        <v>68.849999999999994</v>
      </c>
      <c r="N1059">
        <v>0</v>
      </c>
      <c r="O1059">
        <v>3.98</v>
      </c>
      <c r="P1059" s="2" t="s">
        <v>42</v>
      </c>
      <c r="Q1059">
        <v>0</v>
      </c>
      <c r="R1059">
        <v>126.75</v>
      </c>
      <c r="S1059">
        <v>113.57</v>
      </c>
      <c r="T1059">
        <v>13.18</v>
      </c>
      <c r="U1059">
        <f t="shared" si="16"/>
        <v>0</v>
      </c>
    </row>
    <row r="1060" spans="1:21" x14ac:dyDescent="0.25">
      <c r="A1060" s="2" t="s">
        <v>1700</v>
      </c>
      <c r="B1060" s="2" t="s">
        <v>547</v>
      </c>
      <c r="C1060" s="1">
        <v>45514</v>
      </c>
      <c r="D1060" s="2" t="s">
        <v>38</v>
      </c>
      <c r="E1060" s="2" t="s">
        <v>71</v>
      </c>
      <c r="F1060" s="2" t="s">
        <v>51</v>
      </c>
      <c r="G1060">
        <v>2</v>
      </c>
      <c r="H1060" s="2" t="s">
        <v>56</v>
      </c>
      <c r="I1060">
        <v>309.24</v>
      </c>
      <c r="J1060">
        <v>10</v>
      </c>
      <c r="K1060">
        <v>30.92</v>
      </c>
      <c r="L1060">
        <v>33.36</v>
      </c>
      <c r="M1060">
        <v>133.68</v>
      </c>
      <c r="N1060">
        <v>0</v>
      </c>
      <c r="O1060">
        <v>8.3699999999999992</v>
      </c>
      <c r="P1060" s="2" t="s">
        <v>42</v>
      </c>
      <c r="Q1060">
        <v>0</v>
      </c>
      <c r="R1060">
        <v>278.32</v>
      </c>
      <c r="S1060">
        <v>175.41</v>
      </c>
      <c r="T1060">
        <v>102.91</v>
      </c>
      <c r="U1060">
        <f t="shared" si="16"/>
        <v>0</v>
      </c>
    </row>
    <row r="1061" spans="1:21" x14ac:dyDescent="0.25">
      <c r="A1061" s="2" t="s">
        <v>1701</v>
      </c>
      <c r="B1061" s="2" t="s">
        <v>1149</v>
      </c>
      <c r="C1061" s="1">
        <v>45395</v>
      </c>
      <c r="D1061" s="2" t="s">
        <v>80</v>
      </c>
      <c r="E1061" s="2" t="s">
        <v>71</v>
      </c>
      <c r="F1061" s="2" t="s">
        <v>51</v>
      </c>
      <c r="G1061">
        <v>1</v>
      </c>
      <c r="H1061" s="2" t="s">
        <v>111</v>
      </c>
      <c r="I1061">
        <v>73.72</v>
      </c>
      <c r="J1061">
        <v>5</v>
      </c>
      <c r="K1061">
        <v>3.69</v>
      </c>
      <c r="L1061">
        <v>11</v>
      </c>
      <c r="M1061">
        <v>39.340000000000003</v>
      </c>
      <c r="N1061">
        <v>5.6</v>
      </c>
      <c r="O1061">
        <v>2.33</v>
      </c>
      <c r="P1061" s="2" t="s">
        <v>42</v>
      </c>
      <c r="Q1061">
        <v>0</v>
      </c>
      <c r="R1061">
        <v>70.03</v>
      </c>
      <c r="S1061">
        <v>58.27</v>
      </c>
      <c r="T1061">
        <v>11.76</v>
      </c>
      <c r="U1061">
        <f t="shared" si="16"/>
        <v>0</v>
      </c>
    </row>
    <row r="1062" spans="1:21" x14ac:dyDescent="0.25">
      <c r="A1062" s="2" t="s">
        <v>1702</v>
      </c>
      <c r="B1062" s="2" t="s">
        <v>37</v>
      </c>
      <c r="C1062" s="1">
        <v>45771</v>
      </c>
      <c r="D1062" s="2" t="s">
        <v>45</v>
      </c>
      <c r="E1062" s="2" t="s">
        <v>71</v>
      </c>
      <c r="F1062" s="2" t="s">
        <v>47</v>
      </c>
      <c r="G1062">
        <v>1</v>
      </c>
      <c r="H1062" s="2" t="s">
        <v>41</v>
      </c>
      <c r="I1062">
        <v>56.08</v>
      </c>
      <c r="J1062">
        <v>0</v>
      </c>
      <c r="K1062">
        <v>0</v>
      </c>
      <c r="L1062">
        <v>13.42</v>
      </c>
      <c r="M1062">
        <v>29.44</v>
      </c>
      <c r="N1062">
        <v>0</v>
      </c>
      <c r="O1062">
        <v>1.93</v>
      </c>
      <c r="P1062" s="2" t="s">
        <v>42</v>
      </c>
      <c r="Q1062">
        <v>0</v>
      </c>
      <c r="R1062">
        <v>56.08</v>
      </c>
      <c r="S1062">
        <v>44.79</v>
      </c>
      <c r="T1062">
        <v>11.29</v>
      </c>
      <c r="U1062">
        <f t="shared" si="16"/>
        <v>0</v>
      </c>
    </row>
    <row r="1063" spans="1:21" x14ac:dyDescent="0.25">
      <c r="A1063" s="2" t="s">
        <v>1703</v>
      </c>
      <c r="B1063" s="2" t="s">
        <v>1704</v>
      </c>
      <c r="C1063" s="1">
        <v>45462</v>
      </c>
      <c r="D1063" s="2" t="s">
        <v>59</v>
      </c>
      <c r="E1063" s="2" t="s">
        <v>71</v>
      </c>
      <c r="F1063" s="2" t="s">
        <v>94</v>
      </c>
      <c r="G1063">
        <v>2</v>
      </c>
      <c r="H1063" s="2" t="s">
        <v>41</v>
      </c>
      <c r="I1063">
        <v>170.58</v>
      </c>
      <c r="J1063">
        <v>15</v>
      </c>
      <c r="K1063">
        <v>25.59</v>
      </c>
      <c r="L1063">
        <v>36.74</v>
      </c>
      <c r="M1063">
        <v>93.55</v>
      </c>
      <c r="N1063">
        <v>21.75</v>
      </c>
      <c r="O1063">
        <v>4.5</v>
      </c>
      <c r="P1063" s="2" t="s">
        <v>42</v>
      </c>
      <c r="Q1063">
        <v>0</v>
      </c>
      <c r="R1063">
        <v>144.99</v>
      </c>
      <c r="S1063">
        <v>156.54</v>
      </c>
      <c r="T1063">
        <v>-11.55</v>
      </c>
      <c r="U1063">
        <f t="shared" si="16"/>
        <v>0</v>
      </c>
    </row>
    <row r="1064" spans="1:21" x14ac:dyDescent="0.25">
      <c r="A1064" s="2" t="s">
        <v>1705</v>
      </c>
      <c r="B1064" s="2" t="s">
        <v>289</v>
      </c>
      <c r="C1064" s="1">
        <v>45802</v>
      </c>
      <c r="D1064" s="2" t="s">
        <v>45</v>
      </c>
      <c r="E1064" s="2" t="s">
        <v>71</v>
      </c>
      <c r="F1064" s="2" t="s">
        <v>85</v>
      </c>
      <c r="G1064">
        <v>1</v>
      </c>
      <c r="H1064" s="2" t="s">
        <v>74</v>
      </c>
      <c r="I1064">
        <v>66.05</v>
      </c>
      <c r="J1064">
        <v>5</v>
      </c>
      <c r="K1064">
        <v>3.3</v>
      </c>
      <c r="L1064">
        <v>14.86</v>
      </c>
      <c r="M1064">
        <v>23.44</v>
      </c>
      <c r="N1064">
        <v>0</v>
      </c>
      <c r="O1064">
        <v>2.12</v>
      </c>
      <c r="P1064" s="2" t="s">
        <v>42</v>
      </c>
      <c r="Q1064">
        <v>0</v>
      </c>
      <c r="R1064">
        <v>62.75</v>
      </c>
      <c r="S1064">
        <v>40.42</v>
      </c>
      <c r="T1064">
        <v>22.33</v>
      </c>
      <c r="U1064">
        <f t="shared" si="16"/>
        <v>0</v>
      </c>
    </row>
    <row r="1065" spans="1:21" x14ac:dyDescent="0.25">
      <c r="A1065" s="2" t="s">
        <v>1706</v>
      </c>
      <c r="B1065" s="2" t="s">
        <v>1057</v>
      </c>
      <c r="C1065" s="1">
        <v>45798</v>
      </c>
      <c r="D1065" s="2" t="s">
        <v>59</v>
      </c>
      <c r="E1065" s="2" t="s">
        <v>46</v>
      </c>
      <c r="F1065" s="2" t="s">
        <v>94</v>
      </c>
      <c r="G1065">
        <v>1</v>
      </c>
      <c r="H1065" s="2" t="s">
        <v>64</v>
      </c>
      <c r="I1065">
        <v>64.56</v>
      </c>
      <c r="J1065">
        <v>10</v>
      </c>
      <c r="K1065">
        <v>6.46</v>
      </c>
      <c r="L1065">
        <v>4.8600000000000003</v>
      </c>
      <c r="M1065">
        <v>32.67</v>
      </c>
      <c r="N1065">
        <v>8.7100000000000009</v>
      </c>
      <c r="O1065">
        <v>1.98</v>
      </c>
      <c r="P1065" s="2" t="s">
        <v>42</v>
      </c>
      <c r="Q1065">
        <v>0</v>
      </c>
      <c r="R1065">
        <v>58.1</v>
      </c>
      <c r="S1065">
        <v>48.22</v>
      </c>
      <c r="T1065">
        <v>9.8800000000000008</v>
      </c>
      <c r="U1065">
        <f t="shared" si="16"/>
        <v>0</v>
      </c>
    </row>
    <row r="1066" spans="1:21" x14ac:dyDescent="0.25">
      <c r="A1066" s="2" t="s">
        <v>1707</v>
      </c>
      <c r="B1066" s="2" t="s">
        <v>698</v>
      </c>
      <c r="C1066" s="1">
        <v>45845</v>
      </c>
      <c r="D1066" s="2" t="s">
        <v>80</v>
      </c>
      <c r="E1066" s="2" t="s">
        <v>55</v>
      </c>
      <c r="F1066" s="2" t="s">
        <v>94</v>
      </c>
      <c r="G1066">
        <v>2</v>
      </c>
      <c r="H1066" s="2" t="s">
        <v>77</v>
      </c>
      <c r="I1066">
        <v>35.700000000000003</v>
      </c>
      <c r="J1066">
        <v>0</v>
      </c>
      <c r="K1066">
        <v>0</v>
      </c>
      <c r="L1066">
        <v>28.02</v>
      </c>
      <c r="M1066">
        <v>15.99</v>
      </c>
      <c r="N1066">
        <v>2.86</v>
      </c>
      <c r="O1066">
        <v>1.34</v>
      </c>
      <c r="P1066" s="2" t="s">
        <v>42</v>
      </c>
      <c r="Q1066">
        <v>0</v>
      </c>
      <c r="R1066">
        <v>35.700000000000003</v>
      </c>
      <c r="S1066">
        <v>48.21</v>
      </c>
      <c r="T1066">
        <v>-12.51</v>
      </c>
      <c r="U1066">
        <f t="shared" si="16"/>
        <v>0</v>
      </c>
    </row>
    <row r="1067" spans="1:21" x14ac:dyDescent="0.25">
      <c r="A1067" s="2" t="s">
        <v>1708</v>
      </c>
      <c r="B1067" s="2" t="s">
        <v>1096</v>
      </c>
      <c r="C1067" s="1">
        <v>45791</v>
      </c>
      <c r="D1067" s="2" t="s">
        <v>80</v>
      </c>
      <c r="E1067" s="2" t="s">
        <v>46</v>
      </c>
      <c r="F1067" s="2" t="s">
        <v>47</v>
      </c>
      <c r="G1067">
        <v>4</v>
      </c>
      <c r="H1067" s="2" t="s">
        <v>74</v>
      </c>
      <c r="I1067">
        <v>261.92</v>
      </c>
      <c r="J1067">
        <v>10</v>
      </c>
      <c r="K1067">
        <v>26.19</v>
      </c>
      <c r="L1067">
        <v>58.52</v>
      </c>
      <c r="M1067">
        <v>119.94</v>
      </c>
      <c r="N1067">
        <v>18.86</v>
      </c>
      <c r="O1067">
        <v>7.14</v>
      </c>
      <c r="P1067" s="2" t="s">
        <v>42</v>
      </c>
      <c r="Q1067">
        <v>0</v>
      </c>
      <c r="R1067">
        <v>235.73</v>
      </c>
      <c r="S1067">
        <v>204.46</v>
      </c>
      <c r="T1067">
        <v>31.27</v>
      </c>
      <c r="U1067">
        <f t="shared" si="16"/>
        <v>0</v>
      </c>
    </row>
    <row r="1068" spans="1:21" x14ac:dyDescent="0.25">
      <c r="A1068" s="2" t="s">
        <v>1709</v>
      </c>
      <c r="B1068" s="2" t="s">
        <v>229</v>
      </c>
      <c r="C1068" s="1">
        <v>45846</v>
      </c>
      <c r="D1068" s="2" t="s">
        <v>45</v>
      </c>
      <c r="E1068" s="2" t="s">
        <v>67</v>
      </c>
      <c r="F1068" s="2" t="s">
        <v>85</v>
      </c>
      <c r="G1068">
        <v>1</v>
      </c>
      <c r="H1068" s="2" t="s">
        <v>56</v>
      </c>
      <c r="I1068">
        <v>121.03</v>
      </c>
      <c r="J1068">
        <v>5</v>
      </c>
      <c r="K1068">
        <v>6.05</v>
      </c>
      <c r="L1068">
        <v>4.78</v>
      </c>
      <c r="M1068">
        <v>37.76</v>
      </c>
      <c r="N1068">
        <v>0</v>
      </c>
      <c r="O1068">
        <v>3.63</v>
      </c>
      <c r="P1068" s="2" t="s">
        <v>42</v>
      </c>
      <c r="Q1068">
        <v>0</v>
      </c>
      <c r="R1068">
        <v>114.98</v>
      </c>
      <c r="S1068">
        <v>46.17</v>
      </c>
      <c r="T1068">
        <v>68.81</v>
      </c>
      <c r="U1068">
        <f t="shared" si="16"/>
        <v>0</v>
      </c>
    </row>
    <row r="1069" spans="1:21" x14ac:dyDescent="0.25">
      <c r="A1069" s="2" t="s">
        <v>1710</v>
      </c>
      <c r="B1069" s="2" t="s">
        <v>435</v>
      </c>
      <c r="C1069" s="1">
        <v>45926</v>
      </c>
      <c r="D1069" s="2" t="s">
        <v>45</v>
      </c>
      <c r="E1069" s="2" t="s">
        <v>46</v>
      </c>
      <c r="F1069" s="2" t="s">
        <v>47</v>
      </c>
      <c r="G1069">
        <v>1</v>
      </c>
      <c r="H1069" s="2" t="s">
        <v>74</v>
      </c>
      <c r="I1069">
        <v>66.05</v>
      </c>
      <c r="J1069">
        <v>10</v>
      </c>
      <c r="K1069">
        <v>6.61</v>
      </c>
      <c r="L1069">
        <v>14.86</v>
      </c>
      <c r="M1069">
        <v>23.44</v>
      </c>
      <c r="N1069">
        <v>0</v>
      </c>
      <c r="O1069">
        <v>2.02</v>
      </c>
      <c r="P1069" s="2" t="s">
        <v>42</v>
      </c>
      <c r="Q1069">
        <v>0</v>
      </c>
      <c r="R1069">
        <v>59.44</v>
      </c>
      <c r="S1069">
        <v>40.32</v>
      </c>
      <c r="T1069">
        <v>19.12</v>
      </c>
      <c r="U1069">
        <f t="shared" si="16"/>
        <v>0</v>
      </c>
    </row>
    <row r="1070" spans="1:21" x14ac:dyDescent="0.25">
      <c r="A1070" s="2" t="s">
        <v>1711</v>
      </c>
      <c r="B1070" s="2" t="s">
        <v>1697</v>
      </c>
      <c r="C1070" s="1">
        <v>45670</v>
      </c>
      <c r="D1070" s="2" t="s">
        <v>59</v>
      </c>
      <c r="E1070" s="2" t="s">
        <v>46</v>
      </c>
      <c r="F1070" s="2" t="s">
        <v>47</v>
      </c>
      <c r="G1070">
        <v>2</v>
      </c>
      <c r="H1070" s="2" t="s">
        <v>52</v>
      </c>
      <c r="I1070">
        <v>188.02</v>
      </c>
      <c r="J1070">
        <v>10</v>
      </c>
      <c r="K1070">
        <v>18.8</v>
      </c>
      <c r="L1070">
        <v>35.520000000000003</v>
      </c>
      <c r="M1070">
        <v>96.16</v>
      </c>
      <c r="N1070">
        <v>25.38</v>
      </c>
      <c r="O1070">
        <v>5.21</v>
      </c>
      <c r="P1070" s="2" t="s">
        <v>42</v>
      </c>
      <c r="Q1070">
        <v>0</v>
      </c>
      <c r="R1070">
        <v>169.22</v>
      </c>
      <c r="S1070">
        <v>162.27000000000001</v>
      </c>
      <c r="T1070">
        <v>6.95</v>
      </c>
      <c r="U1070">
        <f t="shared" si="16"/>
        <v>0</v>
      </c>
    </row>
    <row r="1071" spans="1:21" x14ac:dyDescent="0.25">
      <c r="A1071" s="2" t="s">
        <v>1712</v>
      </c>
      <c r="B1071" s="2" t="s">
        <v>1713</v>
      </c>
      <c r="C1071" s="1">
        <v>45667</v>
      </c>
      <c r="D1071" s="2" t="s">
        <v>45</v>
      </c>
      <c r="E1071" s="2" t="s">
        <v>46</v>
      </c>
      <c r="F1071" s="2" t="s">
        <v>40</v>
      </c>
      <c r="G1071">
        <v>4</v>
      </c>
      <c r="H1071" s="2" t="s">
        <v>77</v>
      </c>
      <c r="I1071">
        <v>791.31</v>
      </c>
      <c r="J1071">
        <v>10</v>
      </c>
      <c r="K1071">
        <v>79.13</v>
      </c>
      <c r="L1071">
        <v>74.900000000000006</v>
      </c>
      <c r="M1071">
        <v>331.37</v>
      </c>
      <c r="N1071">
        <v>0</v>
      </c>
      <c r="O1071">
        <v>20.95</v>
      </c>
      <c r="P1071" s="2" t="s">
        <v>42</v>
      </c>
      <c r="Q1071">
        <v>0</v>
      </c>
      <c r="R1071">
        <v>712.18</v>
      </c>
      <c r="S1071">
        <v>427.22</v>
      </c>
      <c r="T1071">
        <v>284.95999999999998</v>
      </c>
      <c r="U1071">
        <f t="shared" si="16"/>
        <v>0</v>
      </c>
    </row>
    <row r="1072" spans="1:21" x14ac:dyDescent="0.25">
      <c r="A1072" s="2" t="s">
        <v>1714</v>
      </c>
      <c r="B1072" s="2" t="s">
        <v>1288</v>
      </c>
      <c r="C1072" s="1">
        <v>45780</v>
      </c>
      <c r="D1072" s="2" t="s">
        <v>45</v>
      </c>
      <c r="E1072" s="2" t="s">
        <v>71</v>
      </c>
      <c r="F1072" s="2" t="s">
        <v>85</v>
      </c>
      <c r="G1072">
        <v>1</v>
      </c>
      <c r="H1072" s="2" t="s">
        <v>64</v>
      </c>
      <c r="I1072">
        <v>141.6</v>
      </c>
      <c r="J1072">
        <v>5</v>
      </c>
      <c r="K1072">
        <v>7.08</v>
      </c>
      <c r="L1072">
        <v>32.82</v>
      </c>
      <c r="M1072">
        <v>76.77</v>
      </c>
      <c r="N1072">
        <v>0</v>
      </c>
      <c r="O1072">
        <v>4.2</v>
      </c>
      <c r="P1072" s="2" t="s">
        <v>42</v>
      </c>
      <c r="Q1072">
        <v>0</v>
      </c>
      <c r="R1072">
        <v>134.52000000000001</v>
      </c>
      <c r="S1072">
        <v>113.79</v>
      </c>
      <c r="T1072">
        <v>20.73</v>
      </c>
      <c r="U1072">
        <f t="shared" si="16"/>
        <v>0</v>
      </c>
    </row>
    <row r="1073" spans="1:21" x14ac:dyDescent="0.25">
      <c r="A1073" s="2" t="s">
        <v>1715</v>
      </c>
      <c r="B1073" s="2" t="s">
        <v>764</v>
      </c>
      <c r="C1073" s="1">
        <v>45629</v>
      </c>
      <c r="D1073" s="2" t="s">
        <v>38</v>
      </c>
      <c r="E1073" s="2" t="s">
        <v>46</v>
      </c>
      <c r="F1073" s="2" t="s">
        <v>94</v>
      </c>
      <c r="G1073">
        <v>1</v>
      </c>
      <c r="H1073" s="2" t="s">
        <v>48</v>
      </c>
      <c r="I1073">
        <v>56.49</v>
      </c>
      <c r="J1073">
        <v>10</v>
      </c>
      <c r="K1073">
        <v>5.65</v>
      </c>
      <c r="L1073">
        <v>29.7</v>
      </c>
      <c r="M1073">
        <v>33.119999999999997</v>
      </c>
      <c r="N1073">
        <v>0</v>
      </c>
      <c r="O1073">
        <v>1.77</v>
      </c>
      <c r="P1073" s="2" t="s">
        <v>42</v>
      </c>
      <c r="Q1073">
        <v>0</v>
      </c>
      <c r="R1073">
        <v>50.84</v>
      </c>
      <c r="S1073">
        <v>64.59</v>
      </c>
      <c r="T1073">
        <v>-13.75</v>
      </c>
      <c r="U1073">
        <f t="shared" si="16"/>
        <v>0</v>
      </c>
    </row>
    <row r="1074" spans="1:21" x14ac:dyDescent="0.25">
      <c r="A1074" s="2" t="s">
        <v>1716</v>
      </c>
      <c r="B1074" s="2" t="s">
        <v>621</v>
      </c>
      <c r="C1074" s="1">
        <v>45890</v>
      </c>
      <c r="D1074" s="2" t="s">
        <v>38</v>
      </c>
      <c r="E1074" s="2" t="s">
        <v>46</v>
      </c>
      <c r="F1074" s="2" t="s">
        <v>94</v>
      </c>
      <c r="G1074">
        <v>4</v>
      </c>
      <c r="H1074" s="2" t="s">
        <v>77</v>
      </c>
      <c r="I1074">
        <v>251.67</v>
      </c>
      <c r="J1074">
        <v>0</v>
      </c>
      <c r="K1074">
        <v>0</v>
      </c>
      <c r="L1074">
        <v>70.319999999999993</v>
      </c>
      <c r="M1074">
        <v>110.09</v>
      </c>
      <c r="N1074">
        <v>0</v>
      </c>
      <c r="O1074">
        <v>7.6</v>
      </c>
      <c r="P1074" s="2" t="s">
        <v>42</v>
      </c>
      <c r="Q1074">
        <v>0</v>
      </c>
      <c r="R1074">
        <v>251.67</v>
      </c>
      <c r="S1074">
        <v>188.01</v>
      </c>
      <c r="T1074">
        <v>63.66</v>
      </c>
      <c r="U1074">
        <f t="shared" si="16"/>
        <v>0</v>
      </c>
    </row>
    <row r="1075" spans="1:21" x14ac:dyDescent="0.25">
      <c r="A1075" s="2" t="s">
        <v>1717</v>
      </c>
      <c r="B1075" s="2" t="s">
        <v>1718</v>
      </c>
      <c r="C1075" s="1">
        <v>45564</v>
      </c>
      <c r="D1075" s="2" t="s">
        <v>38</v>
      </c>
      <c r="E1075" s="2" t="s">
        <v>71</v>
      </c>
      <c r="F1075" s="2" t="s">
        <v>94</v>
      </c>
      <c r="G1075">
        <v>5</v>
      </c>
      <c r="H1075" s="2" t="s">
        <v>74</v>
      </c>
      <c r="I1075">
        <v>412.58</v>
      </c>
      <c r="J1075">
        <v>0</v>
      </c>
      <c r="K1075">
        <v>0</v>
      </c>
      <c r="L1075">
        <v>44.68</v>
      </c>
      <c r="M1075">
        <v>148.88999999999999</v>
      </c>
      <c r="N1075">
        <v>0</v>
      </c>
      <c r="O1075">
        <v>12.26</v>
      </c>
      <c r="P1075" s="2" t="s">
        <v>42</v>
      </c>
      <c r="Q1075">
        <v>0</v>
      </c>
      <c r="R1075">
        <v>412.58</v>
      </c>
      <c r="S1075">
        <v>205.83</v>
      </c>
      <c r="T1075">
        <v>206.75</v>
      </c>
      <c r="U1075">
        <f t="shared" si="16"/>
        <v>0</v>
      </c>
    </row>
    <row r="1076" spans="1:21" x14ac:dyDescent="0.25">
      <c r="A1076" s="2" t="s">
        <v>1719</v>
      </c>
      <c r="B1076" s="2" t="s">
        <v>104</v>
      </c>
      <c r="C1076" s="1">
        <v>45950</v>
      </c>
      <c r="D1076" s="2" t="s">
        <v>38</v>
      </c>
      <c r="E1076" s="2" t="s">
        <v>55</v>
      </c>
      <c r="F1076" s="2" t="s">
        <v>94</v>
      </c>
      <c r="G1076">
        <v>1</v>
      </c>
      <c r="H1076" s="2" t="s">
        <v>48</v>
      </c>
      <c r="I1076">
        <v>24.02</v>
      </c>
      <c r="J1076">
        <v>15</v>
      </c>
      <c r="K1076">
        <v>3.6</v>
      </c>
      <c r="L1076">
        <v>3.98</v>
      </c>
      <c r="M1076">
        <v>10.75</v>
      </c>
      <c r="N1076">
        <v>0</v>
      </c>
      <c r="O1076">
        <v>0.89</v>
      </c>
      <c r="P1076" s="2" t="s">
        <v>42</v>
      </c>
      <c r="Q1076">
        <v>0</v>
      </c>
      <c r="R1076">
        <v>20.420000000000002</v>
      </c>
      <c r="S1076">
        <v>15.62</v>
      </c>
      <c r="T1076">
        <v>4.8</v>
      </c>
      <c r="U1076">
        <f t="shared" si="16"/>
        <v>0</v>
      </c>
    </row>
    <row r="1077" spans="1:21" x14ac:dyDescent="0.25">
      <c r="A1077" s="2" t="s">
        <v>1720</v>
      </c>
      <c r="B1077" s="2" t="s">
        <v>1721</v>
      </c>
      <c r="C1077" s="1">
        <v>45779</v>
      </c>
      <c r="D1077" s="2" t="s">
        <v>80</v>
      </c>
      <c r="E1077" s="2" t="s">
        <v>46</v>
      </c>
      <c r="F1077" s="2" t="s">
        <v>94</v>
      </c>
      <c r="G1077">
        <v>4</v>
      </c>
      <c r="H1077" s="2" t="s">
        <v>52</v>
      </c>
      <c r="I1077">
        <v>204.39</v>
      </c>
      <c r="J1077">
        <v>0</v>
      </c>
      <c r="K1077">
        <v>0</v>
      </c>
      <c r="L1077">
        <v>67.459999999999994</v>
      </c>
      <c r="M1077">
        <v>92.7</v>
      </c>
      <c r="N1077">
        <v>16.350000000000001</v>
      </c>
      <c r="O1077">
        <v>6.23</v>
      </c>
      <c r="P1077" s="2" t="s">
        <v>42</v>
      </c>
      <c r="Q1077">
        <v>0</v>
      </c>
      <c r="R1077">
        <v>204.39</v>
      </c>
      <c r="S1077">
        <v>182.74</v>
      </c>
      <c r="T1077">
        <v>21.65</v>
      </c>
      <c r="U1077">
        <f t="shared" si="16"/>
        <v>0</v>
      </c>
    </row>
    <row r="1078" spans="1:21" x14ac:dyDescent="0.25">
      <c r="A1078" s="2" t="s">
        <v>1722</v>
      </c>
      <c r="B1078" s="2" t="s">
        <v>312</v>
      </c>
      <c r="C1078" s="1">
        <v>45976</v>
      </c>
      <c r="D1078" s="2" t="s">
        <v>45</v>
      </c>
      <c r="E1078" s="2" t="s">
        <v>46</v>
      </c>
      <c r="F1078" s="2" t="s">
        <v>94</v>
      </c>
      <c r="G1078">
        <v>2</v>
      </c>
      <c r="H1078" s="2" t="s">
        <v>48</v>
      </c>
      <c r="I1078">
        <v>118.42</v>
      </c>
      <c r="J1078">
        <v>5</v>
      </c>
      <c r="K1078">
        <v>5.92</v>
      </c>
      <c r="L1078">
        <v>30.46</v>
      </c>
      <c r="M1078">
        <v>51.35</v>
      </c>
      <c r="N1078">
        <v>0</v>
      </c>
      <c r="O1078">
        <v>3.56</v>
      </c>
      <c r="P1078" s="2" t="s">
        <v>42</v>
      </c>
      <c r="Q1078">
        <v>0</v>
      </c>
      <c r="R1078">
        <v>112.5</v>
      </c>
      <c r="S1078">
        <v>85.37</v>
      </c>
      <c r="T1078">
        <v>27.13</v>
      </c>
      <c r="U1078">
        <f t="shared" si="16"/>
        <v>0</v>
      </c>
    </row>
    <row r="1079" spans="1:21" x14ac:dyDescent="0.25">
      <c r="A1079" s="2" t="s">
        <v>1723</v>
      </c>
      <c r="B1079" s="2" t="s">
        <v>1240</v>
      </c>
      <c r="C1079" s="1">
        <v>45664</v>
      </c>
      <c r="D1079" s="2" t="s">
        <v>59</v>
      </c>
      <c r="E1079" s="2" t="s">
        <v>67</v>
      </c>
      <c r="F1079" s="2" t="s">
        <v>94</v>
      </c>
      <c r="G1079">
        <v>2</v>
      </c>
      <c r="H1079" s="2" t="s">
        <v>74</v>
      </c>
      <c r="I1079">
        <v>74.69</v>
      </c>
      <c r="J1079">
        <v>0</v>
      </c>
      <c r="K1079">
        <v>0</v>
      </c>
      <c r="L1079">
        <v>14.98</v>
      </c>
      <c r="M1079">
        <v>22.83</v>
      </c>
      <c r="N1079">
        <v>11.2</v>
      </c>
      <c r="O1079">
        <v>2.4700000000000002</v>
      </c>
      <c r="P1079" s="2" t="s">
        <v>42</v>
      </c>
      <c r="Q1079">
        <v>0</v>
      </c>
      <c r="R1079">
        <v>74.69</v>
      </c>
      <c r="S1079">
        <v>51.48</v>
      </c>
      <c r="T1079">
        <v>23.21</v>
      </c>
      <c r="U1079">
        <f t="shared" si="16"/>
        <v>0</v>
      </c>
    </row>
    <row r="1080" spans="1:21" x14ac:dyDescent="0.25">
      <c r="A1080" s="2" t="s">
        <v>1724</v>
      </c>
      <c r="B1080" s="2" t="s">
        <v>1725</v>
      </c>
      <c r="C1080" s="1">
        <v>45847</v>
      </c>
      <c r="D1080" s="2" t="s">
        <v>45</v>
      </c>
      <c r="E1080" s="2" t="s">
        <v>46</v>
      </c>
      <c r="F1080" s="2" t="s">
        <v>94</v>
      </c>
      <c r="G1080">
        <v>1</v>
      </c>
      <c r="H1080" s="2" t="s">
        <v>56</v>
      </c>
      <c r="I1080">
        <v>53.21</v>
      </c>
      <c r="J1080">
        <v>10</v>
      </c>
      <c r="K1080">
        <v>5.32</v>
      </c>
      <c r="L1080">
        <v>3.98</v>
      </c>
      <c r="M1080">
        <v>36.39</v>
      </c>
      <c r="N1080">
        <v>0</v>
      </c>
      <c r="O1080">
        <v>1.69</v>
      </c>
      <c r="P1080" s="2" t="s">
        <v>42</v>
      </c>
      <c r="Q1080">
        <v>0</v>
      </c>
      <c r="R1080">
        <v>47.89</v>
      </c>
      <c r="S1080">
        <v>42.06</v>
      </c>
      <c r="T1080">
        <v>5.83</v>
      </c>
      <c r="U1080">
        <f t="shared" si="16"/>
        <v>0</v>
      </c>
    </row>
    <row r="1081" spans="1:21" x14ac:dyDescent="0.25">
      <c r="A1081" s="2" t="s">
        <v>1726</v>
      </c>
      <c r="B1081" s="2" t="s">
        <v>1038</v>
      </c>
      <c r="C1081" s="1">
        <v>45705</v>
      </c>
      <c r="D1081" s="2" t="s">
        <v>45</v>
      </c>
      <c r="E1081" s="2" t="s">
        <v>55</v>
      </c>
      <c r="F1081" s="2" t="s">
        <v>47</v>
      </c>
      <c r="G1081">
        <v>2</v>
      </c>
      <c r="H1081" s="2" t="s">
        <v>77</v>
      </c>
      <c r="I1081">
        <v>28.34</v>
      </c>
      <c r="J1081">
        <v>0</v>
      </c>
      <c r="K1081">
        <v>0</v>
      </c>
      <c r="L1081">
        <v>19.88</v>
      </c>
      <c r="M1081">
        <v>12.6</v>
      </c>
      <c r="N1081">
        <v>0</v>
      </c>
      <c r="O1081">
        <v>1.1200000000000001</v>
      </c>
      <c r="P1081" s="2" t="s">
        <v>42</v>
      </c>
      <c r="Q1081">
        <v>0</v>
      </c>
      <c r="R1081">
        <v>28.34</v>
      </c>
      <c r="S1081">
        <v>33.6</v>
      </c>
      <c r="T1081">
        <v>-5.26</v>
      </c>
      <c r="U1081">
        <f t="shared" si="16"/>
        <v>0</v>
      </c>
    </row>
    <row r="1082" spans="1:21" x14ac:dyDescent="0.25">
      <c r="A1082" s="2" t="s">
        <v>1727</v>
      </c>
      <c r="B1082" s="2" t="s">
        <v>481</v>
      </c>
      <c r="C1082" s="1">
        <v>45956</v>
      </c>
      <c r="D1082" s="2" t="s">
        <v>38</v>
      </c>
      <c r="E1082" s="2" t="s">
        <v>55</v>
      </c>
      <c r="F1082" s="2" t="s">
        <v>51</v>
      </c>
      <c r="G1082">
        <v>1</v>
      </c>
      <c r="H1082" s="2" t="s">
        <v>52</v>
      </c>
      <c r="I1082">
        <v>73.680000000000007</v>
      </c>
      <c r="J1082">
        <v>10</v>
      </c>
      <c r="K1082">
        <v>7.37</v>
      </c>
      <c r="L1082">
        <v>8.86</v>
      </c>
      <c r="M1082">
        <v>22.41</v>
      </c>
      <c r="N1082">
        <v>0</v>
      </c>
      <c r="O1082">
        <v>2.2200000000000002</v>
      </c>
      <c r="P1082" s="2" t="s">
        <v>68</v>
      </c>
      <c r="Q1082">
        <v>66.31</v>
      </c>
      <c r="R1082">
        <v>0</v>
      </c>
      <c r="S1082">
        <v>33.49</v>
      </c>
      <c r="T1082">
        <v>-33.49</v>
      </c>
      <c r="U1082">
        <f t="shared" si="16"/>
        <v>0</v>
      </c>
    </row>
    <row r="1083" spans="1:21" x14ac:dyDescent="0.25">
      <c r="A1083" s="2" t="s">
        <v>1728</v>
      </c>
      <c r="B1083" s="2" t="s">
        <v>1729</v>
      </c>
      <c r="C1083" s="1">
        <v>45914</v>
      </c>
      <c r="D1083" s="2" t="s">
        <v>38</v>
      </c>
      <c r="E1083" s="2" t="s">
        <v>71</v>
      </c>
      <c r="F1083" s="2" t="s">
        <v>51</v>
      </c>
      <c r="G1083">
        <v>5</v>
      </c>
      <c r="H1083" s="2" t="s">
        <v>64</v>
      </c>
      <c r="I1083">
        <v>250.35</v>
      </c>
      <c r="J1083">
        <v>15</v>
      </c>
      <c r="K1083">
        <v>37.549999999999997</v>
      </c>
      <c r="L1083">
        <v>67.08</v>
      </c>
      <c r="M1083">
        <v>142.49</v>
      </c>
      <c r="N1083">
        <v>0</v>
      </c>
      <c r="O1083">
        <v>6.47</v>
      </c>
      <c r="P1083" s="2" t="s">
        <v>42</v>
      </c>
      <c r="Q1083">
        <v>0</v>
      </c>
      <c r="R1083">
        <v>212.8</v>
      </c>
      <c r="S1083">
        <v>216.04</v>
      </c>
      <c r="T1083">
        <v>-3.24</v>
      </c>
      <c r="U1083">
        <f t="shared" si="16"/>
        <v>0</v>
      </c>
    </row>
    <row r="1084" spans="1:21" x14ac:dyDescent="0.25">
      <c r="A1084" s="2" t="s">
        <v>1730</v>
      </c>
      <c r="B1084" s="2" t="s">
        <v>76</v>
      </c>
      <c r="C1084" s="1">
        <v>45946</v>
      </c>
      <c r="D1084" s="2" t="s">
        <v>80</v>
      </c>
      <c r="E1084" s="2" t="s">
        <v>46</v>
      </c>
      <c r="F1084" s="2" t="s">
        <v>51</v>
      </c>
      <c r="G1084">
        <v>1</v>
      </c>
      <c r="H1084" s="2" t="s">
        <v>41</v>
      </c>
      <c r="I1084">
        <v>42.25</v>
      </c>
      <c r="J1084">
        <v>5</v>
      </c>
      <c r="K1084">
        <v>2.11</v>
      </c>
      <c r="L1084">
        <v>13.58</v>
      </c>
      <c r="M1084">
        <v>22.95</v>
      </c>
      <c r="N1084">
        <v>3.21</v>
      </c>
      <c r="O1084">
        <v>1.46</v>
      </c>
      <c r="P1084" s="2" t="s">
        <v>42</v>
      </c>
      <c r="Q1084">
        <v>0</v>
      </c>
      <c r="R1084">
        <v>40.14</v>
      </c>
      <c r="S1084">
        <v>41.2</v>
      </c>
      <c r="T1084">
        <v>-1.06</v>
      </c>
      <c r="U1084">
        <f t="shared" si="16"/>
        <v>1</v>
      </c>
    </row>
    <row r="1085" spans="1:21" x14ac:dyDescent="0.25">
      <c r="A1085" s="2" t="s">
        <v>1731</v>
      </c>
      <c r="B1085" s="2" t="s">
        <v>929</v>
      </c>
      <c r="C1085" s="1">
        <v>45844</v>
      </c>
      <c r="D1085" s="2" t="s">
        <v>38</v>
      </c>
      <c r="E1085" s="2" t="s">
        <v>55</v>
      </c>
      <c r="F1085" s="2" t="s">
        <v>85</v>
      </c>
      <c r="G1085">
        <v>1</v>
      </c>
      <c r="H1085" s="2" t="s">
        <v>111</v>
      </c>
      <c r="I1085">
        <v>71.83</v>
      </c>
      <c r="J1085">
        <v>0</v>
      </c>
      <c r="K1085">
        <v>0</v>
      </c>
      <c r="L1085">
        <v>10.14</v>
      </c>
      <c r="M1085">
        <v>47.56</v>
      </c>
      <c r="N1085">
        <v>0</v>
      </c>
      <c r="O1085">
        <v>2.38</v>
      </c>
      <c r="P1085" s="2" t="s">
        <v>42</v>
      </c>
      <c r="Q1085">
        <v>0</v>
      </c>
      <c r="R1085">
        <v>71.83</v>
      </c>
      <c r="S1085">
        <v>60.08</v>
      </c>
      <c r="T1085">
        <v>11.75</v>
      </c>
      <c r="U1085">
        <f t="shared" si="16"/>
        <v>0</v>
      </c>
    </row>
    <row r="1086" spans="1:21" x14ac:dyDescent="0.25">
      <c r="A1086" s="2" t="s">
        <v>1732</v>
      </c>
      <c r="B1086" s="2" t="s">
        <v>734</v>
      </c>
      <c r="C1086" s="1">
        <v>45462</v>
      </c>
      <c r="D1086" s="2" t="s">
        <v>38</v>
      </c>
      <c r="E1086" s="2" t="s">
        <v>46</v>
      </c>
      <c r="F1086" s="2" t="s">
        <v>40</v>
      </c>
      <c r="G1086">
        <v>1</v>
      </c>
      <c r="H1086" s="2" t="s">
        <v>74</v>
      </c>
      <c r="I1086">
        <v>111.44</v>
      </c>
      <c r="J1086">
        <v>10</v>
      </c>
      <c r="K1086">
        <v>11.14</v>
      </c>
      <c r="L1086">
        <v>9.02</v>
      </c>
      <c r="M1086">
        <v>36.340000000000003</v>
      </c>
      <c r="N1086">
        <v>0</v>
      </c>
      <c r="O1086">
        <v>3.21</v>
      </c>
      <c r="P1086" s="2" t="s">
        <v>42</v>
      </c>
      <c r="Q1086">
        <v>0</v>
      </c>
      <c r="R1086">
        <v>100.3</v>
      </c>
      <c r="S1086">
        <v>48.57</v>
      </c>
      <c r="T1086">
        <v>51.73</v>
      </c>
      <c r="U1086">
        <f t="shared" si="16"/>
        <v>0</v>
      </c>
    </row>
    <row r="1087" spans="1:21" x14ac:dyDescent="0.25">
      <c r="A1087" s="2" t="s">
        <v>1733</v>
      </c>
      <c r="B1087" s="2" t="s">
        <v>225</v>
      </c>
      <c r="C1087" s="1">
        <v>45599</v>
      </c>
      <c r="D1087" s="2" t="s">
        <v>80</v>
      </c>
      <c r="E1087" s="2" t="s">
        <v>71</v>
      </c>
      <c r="F1087" s="2" t="s">
        <v>47</v>
      </c>
      <c r="G1087">
        <v>2</v>
      </c>
      <c r="H1087" s="2" t="s">
        <v>64</v>
      </c>
      <c r="I1087">
        <v>156.79</v>
      </c>
      <c r="J1087">
        <v>20</v>
      </c>
      <c r="K1087">
        <v>31.36</v>
      </c>
      <c r="L1087">
        <v>32.82</v>
      </c>
      <c r="M1087">
        <v>54.53</v>
      </c>
      <c r="N1087">
        <v>10.029999999999999</v>
      </c>
      <c r="O1087">
        <v>3.94</v>
      </c>
      <c r="P1087" s="2" t="s">
        <v>42</v>
      </c>
      <c r="Q1087">
        <v>0</v>
      </c>
      <c r="R1087">
        <v>125.43</v>
      </c>
      <c r="S1087">
        <v>101.32</v>
      </c>
      <c r="T1087">
        <v>24.11</v>
      </c>
      <c r="U1087">
        <f t="shared" si="16"/>
        <v>0</v>
      </c>
    </row>
    <row r="1088" spans="1:21" x14ac:dyDescent="0.25">
      <c r="A1088" s="2" t="s">
        <v>1734</v>
      </c>
      <c r="B1088" s="2" t="s">
        <v>131</v>
      </c>
      <c r="C1088" s="1">
        <v>45672</v>
      </c>
      <c r="D1088" s="2" t="s">
        <v>38</v>
      </c>
      <c r="E1088" s="2" t="s">
        <v>46</v>
      </c>
      <c r="F1088" s="2" t="s">
        <v>40</v>
      </c>
      <c r="G1088">
        <v>1</v>
      </c>
      <c r="H1088" s="2" t="s">
        <v>56</v>
      </c>
      <c r="I1088">
        <v>29.59</v>
      </c>
      <c r="J1088">
        <v>0</v>
      </c>
      <c r="K1088">
        <v>0</v>
      </c>
      <c r="L1088">
        <v>4.7</v>
      </c>
      <c r="M1088">
        <v>12.42</v>
      </c>
      <c r="N1088">
        <v>0</v>
      </c>
      <c r="O1088">
        <v>1.1599999999999999</v>
      </c>
      <c r="P1088" s="2" t="s">
        <v>42</v>
      </c>
      <c r="Q1088">
        <v>0</v>
      </c>
      <c r="R1088">
        <v>29.59</v>
      </c>
      <c r="S1088">
        <v>18.28</v>
      </c>
      <c r="T1088">
        <v>11.31</v>
      </c>
      <c r="U1088">
        <f t="shared" si="16"/>
        <v>0</v>
      </c>
    </row>
    <row r="1089" spans="1:21" x14ac:dyDescent="0.25">
      <c r="A1089" s="2" t="s">
        <v>1735</v>
      </c>
      <c r="B1089" s="2" t="s">
        <v>747</v>
      </c>
      <c r="C1089" s="1">
        <v>45379</v>
      </c>
      <c r="D1089" s="2" t="s">
        <v>45</v>
      </c>
      <c r="E1089" s="2" t="s">
        <v>46</v>
      </c>
      <c r="F1089" s="2" t="s">
        <v>47</v>
      </c>
      <c r="G1089">
        <v>1</v>
      </c>
      <c r="H1089" s="2" t="s">
        <v>111</v>
      </c>
      <c r="I1089">
        <v>62.18</v>
      </c>
      <c r="J1089">
        <v>0</v>
      </c>
      <c r="K1089">
        <v>0</v>
      </c>
      <c r="L1089">
        <v>6.06</v>
      </c>
      <c r="M1089">
        <v>26.96</v>
      </c>
      <c r="N1089">
        <v>0</v>
      </c>
      <c r="O1089">
        <v>2.1</v>
      </c>
      <c r="P1089" s="2" t="s">
        <v>42</v>
      </c>
      <c r="Q1089">
        <v>0</v>
      </c>
      <c r="R1089">
        <v>62.18</v>
      </c>
      <c r="S1089">
        <v>35.119999999999997</v>
      </c>
      <c r="T1089">
        <v>27.06</v>
      </c>
      <c r="U1089">
        <f t="shared" si="16"/>
        <v>0</v>
      </c>
    </row>
    <row r="1090" spans="1:21" x14ac:dyDescent="0.25">
      <c r="A1090" s="2" t="s">
        <v>1736</v>
      </c>
      <c r="B1090" s="2" t="s">
        <v>880</v>
      </c>
      <c r="C1090" s="1">
        <v>45570</v>
      </c>
      <c r="D1090" s="2" t="s">
        <v>45</v>
      </c>
      <c r="E1090" s="2" t="s">
        <v>46</v>
      </c>
      <c r="F1090" s="2" t="s">
        <v>85</v>
      </c>
      <c r="G1090">
        <v>2</v>
      </c>
      <c r="H1090" s="2" t="s">
        <v>64</v>
      </c>
      <c r="I1090">
        <v>150.72</v>
      </c>
      <c r="J1090">
        <v>0</v>
      </c>
      <c r="K1090">
        <v>0</v>
      </c>
      <c r="L1090">
        <v>27.78</v>
      </c>
      <c r="M1090">
        <v>67.83</v>
      </c>
      <c r="N1090">
        <v>0</v>
      </c>
      <c r="O1090">
        <v>4.67</v>
      </c>
      <c r="P1090" s="2" t="s">
        <v>42</v>
      </c>
      <c r="Q1090">
        <v>0</v>
      </c>
      <c r="R1090">
        <v>150.72</v>
      </c>
      <c r="S1090">
        <v>100.28</v>
      </c>
      <c r="T1090">
        <v>50.44</v>
      </c>
      <c r="U1090">
        <f t="shared" si="16"/>
        <v>0</v>
      </c>
    </row>
    <row r="1091" spans="1:21" x14ac:dyDescent="0.25">
      <c r="A1091" s="2" t="s">
        <v>1737</v>
      </c>
      <c r="B1091" s="2" t="s">
        <v>392</v>
      </c>
      <c r="C1091" s="1">
        <v>45694</v>
      </c>
      <c r="D1091" s="2" t="s">
        <v>45</v>
      </c>
      <c r="E1091" s="2" t="s">
        <v>71</v>
      </c>
      <c r="F1091" s="2" t="s">
        <v>47</v>
      </c>
      <c r="G1091">
        <v>1</v>
      </c>
      <c r="H1091" s="2" t="s">
        <v>111</v>
      </c>
      <c r="I1091">
        <v>31.38</v>
      </c>
      <c r="J1091">
        <v>0</v>
      </c>
      <c r="K1091">
        <v>0</v>
      </c>
      <c r="L1091">
        <v>18.68</v>
      </c>
      <c r="M1091">
        <v>9.34</v>
      </c>
      <c r="N1091">
        <v>0</v>
      </c>
      <c r="O1091">
        <v>1.21</v>
      </c>
      <c r="P1091" s="2" t="s">
        <v>42</v>
      </c>
      <c r="Q1091">
        <v>0</v>
      </c>
      <c r="R1091">
        <v>31.38</v>
      </c>
      <c r="S1091">
        <v>29.23</v>
      </c>
      <c r="T1091">
        <v>2.15</v>
      </c>
      <c r="U1091">
        <f t="shared" si="16"/>
        <v>0</v>
      </c>
    </row>
    <row r="1092" spans="1:21" x14ac:dyDescent="0.25">
      <c r="A1092" s="2" t="s">
        <v>1738</v>
      </c>
      <c r="B1092" s="2" t="s">
        <v>259</v>
      </c>
      <c r="C1092" s="1">
        <v>45795</v>
      </c>
      <c r="D1092" s="2" t="s">
        <v>45</v>
      </c>
      <c r="E1092" s="2" t="s">
        <v>46</v>
      </c>
      <c r="F1092" s="2" t="s">
        <v>51</v>
      </c>
      <c r="G1092">
        <v>1</v>
      </c>
      <c r="H1092" s="2" t="s">
        <v>74</v>
      </c>
      <c r="I1092">
        <v>28.96</v>
      </c>
      <c r="J1092">
        <v>10</v>
      </c>
      <c r="K1092">
        <v>2.9</v>
      </c>
      <c r="L1092">
        <v>9.02</v>
      </c>
      <c r="M1092">
        <v>8.3000000000000007</v>
      </c>
      <c r="N1092">
        <v>0</v>
      </c>
      <c r="O1092">
        <v>1.06</v>
      </c>
      <c r="P1092" s="2" t="s">
        <v>42</v>
      </c>
      <c r="Q1092">
        <v>0</v>
      </c>
      <c r="R1092">
        <v>26.06</v>
      </c>
      <c r="S1092">
        <v>18.38</v>
      </c>
      <c r="T1092">
        <v>7.68</v>
      </c>
      <c r="U1092">
        <f t="shared" si="16"/>
        <v>0</v>
      </c>
    </row>
    <row r="1093" spans="1:21" x14ac:dyDescent="0.25">
      <c r="A1093" s="2" t="s">
        <v>1739</v>
      </c>
      <c r="B1093" s="2" t="s">
        <v>1106</v>
      </c>
      <c r="C1093" s="1">
        <v>45534</v>
      </c>
      <c r="D1093" s="2" t="s">
        <v>59</v>
      </c>
      <c r="E1093" s="2" t="s">
        <v>55</v>
      </c>
      <c r="F1093" s="2" t="s">
        <v>47</v>
      </c>
      <c r="G1093">
        <v>2</v>
      </c>
      <c r="H1093" s="2" t="s">
        <v>41</v>
      </c>
      <c r="I1093">
        <v>118.17</v>
      </c>
      <c r="J1093">
        <v>15</v>
      </c>
      <c r="K1093">
        <v>17.73</v>
      </c>
      <c r="L1093">
        <v>14.36</v>
      </c>
      <c r="M1093">
        <v>42.06</v>
      </c>
      <c r="N1093">
        <v>15.07</v>
      </c>
      <c r="O1093">
        <v>3.21</v>
      </c>
      <c r="P1093" s="2" t="s">
        <v>42</v>
      </c>
      <c r="Q1093">
        <v>0</v>
      </c>
      <c r="R1093">
        <v>100.44</v>
      </c>
      <c r="S1093">
        <v>74.7</v>
      </c>
      <c r="T1093">
        <v>25.74</v>
      </c>
      <c r="U1093">
        <f t="shared" ref="U1093:U1156" si="17">IF(P1091="Yes", 1, 0)</f>
        <v>0</v>
      </c>
    </row>
    <row r="1094" spans="1:21" x14ac:dyDescent="0.25">
      <c r="A1094" s="2" t="s">
        <v>1740</v>
      </c>
      <c r="B1094" s="2" t="s">
        <v>742</v>
      </c>
      <c r="C1094" s="1">
        <v>45463</v>
      </c>
      <c r="D1094" s="2" t="s">
        <v>59</v>
      </c>
      <c r="E1094" s="2" t="s">
        <v>55</v>
      </c>
      <c r="F1094" s="2" t="s">
        <v>94</v>
      </c>
      <c r="G1094">
        <v>2</v>
      </c>
      <c r="H1094" s="2" t="s">
        <v>41</v>
      </c>
      <c r="I1094">
        <v>285.38</v>
      </c>
      <c r="J1094">
        <v>0</v>
      </c>
      <c r="K1094">
        <v>0</v>
      </c>
      <c r="L1094">
        <v>18.84</v>
      </c>
      <c r="M1094">
        <v>92.69</v>
      </c>
      <c r="N1094">
        <v>42.81</v>
      </c>
      <c r="O1094">
        <v>8.58</v>
      </c>
      <c r="P1094" s="2" t="s">
        <v>42</v>
      </c>
      <c r="Q1094">
        <v>0</v>
      </c>
      <c r="R1094">
        <v>285.38</v>
      </c>
      <c r="S1094">
        <v>162.91999999999999</v>
      </c>
      <c r="T1094">
        <v>122.46</v>
      </c>
      <c r="U1094">
        <f t="shared" si="17"/>
        <v>0</v>
      </c>
    </row>
    <row r="1095" spans="1:21" x14ac:dyDescent="0.25">
      <c r="A1095" s="2" t="s">
        <v>1741</v>
      </c>
      <c r="B1095" s="2" t="s">
        <v>1742</v>
      </c>
      <c r="C1095" s="1">
        <v>45785</v>
      </c>
      <c r="D1095" s="2" t="s">
        <v>59</v>
      </c>
      <c r="E1095" s="2" t="s">
        <v>46</v>
      </c>
      <c r="F1095" s="2" t="s">
        <v>47</v>
      </c>
      <c r="G1095">
        <v>1</v>
      </c>
      <c r="H1095" s="2" t="s">
        <v>64</v>
      </c>
      <c r="I1095">
        <v>90.19</v>
      </c>
      <c r="J1095">
        <v>25</v>
      </c>
      <c r="K1095">
        <v>22.55</v>
      </c>
      <c r="L1095">
        <v>13.42</v>
      </c>
      <c r="M1095">
        <v>33.04</v>
      </c>
      <c r="N1095">
        <v>10.15</v>
      </c>
      <c r="O1095">
        <v>2.2599999999999998</v>
      </c>
      <c r="P1095" s="2" t="s">
        <v>42</v>
      </c>
      <c r="Q1095">
        <v>0</v>
      </c>
      <c r="R1095">
        <v>67.64</v>
      </c>
      <c r="S1095">
        <v>58.87</v>
      </c>
      <c r="T1095">
        <v>8.77</v>
      </c>
      <c r="U1095">
        <f t="shared" si="17"/>
        <v>0</v>
      </c>
    </row>
    <row r="1096" spans="1:21" x14ac:dyDescent="0.25">
      <c r="A1096" s="2" t="s">
        <v>1743</v>
      </c>
      <c r="B1096" s="2" t="s">
        <v>70</v>
      </c>
      <c r="C1096" s="1">
        <v>45634</v>
      </c>
      <c r="D1096" s="2" t="s">
        <v>45</v>
      </c>
      <c r="E1096" s="2" t="s">
        <v>46</v>
      </c>
      <c r="F1096" s="2" t="s">
        <v>94</v>
      </c>
      <c r="G1096">
        <v>2</v>
      </c>
      <c r="H1096" s="2" t="s">
        <v>64</v>
      </c>
      <c r="I1096">
        <v>162.77000000000001</v>
      </c>
      <c r="J1096">
        <v>25</v>
      </c>
      <c r="K1096">
        <v>40.69</v>
      </c>
      <c r="L1096">
        <v>42.96</v>
      </c>
      <c r="M1096">
        <v>104.53</v>
      </c>
      <c r="N1096">
        <v>0</v>
      </c>
      <c r="O1096">
        <v>3.84</v>
      </c>
      <c r="P1096" s="2" t="s">
        <v>42</v>
      </c>
      <c r="Q1096">
        <v>0</v>
      </c>
      <c r="R1096">
        <v>122.08</v>
      </c>
      <c r="S1096">
        <v>151.33000000000001</v>
      </c>
      <c r="T1096">
        <v>-29.25</v>
      </c>
      <c r="U1096">
        <f t="shared" si="17"/>
        <v>0</v>
      </c>
    </row>
    <row r="1097" spans="1:21" x14ac:dyDescent="0.25">
      <c r="A1097" s="2" t="s">
        <v>1744</v>
      </c>
      <c r="B1097" s="2" t="s">
        <v>1745</v>
      </c>
      <c r="C1097" s="1">
        <v>45385</v>
      </c>
      <c r="D1097" s="2" t="s">
        <v>45</v>
      </c>
      <c r="E1097" s="2" t="s">
        <v>71</v>
      </c>
      <c r="F1097" s="2" t="s">
        <v>85</v>
      </c>
      <c r="G1097">
        <v>2</v>
      </c>
      <c r="H1097" s="2" t="s">
        <v>77</v>
      </c>
      <c r="I1097">
        <v>28.38</v>
      </c>
      <c r="J1097">
        <v>15</v>
      </c>
      <c r="K1097">
        <v>4.26</v>
      </c>
      <c r="L1097">
        <v>11.96</v>
      </c>
      <c r="M1097">
        <v>12.35</v>
      </c>
      <c r="N1097">
        <v>0</v>
      </c>
      <c r="O1097">
        <v>1</v>
      </c>
      <c r="P1097" s="2" t="s">
        <v>42</v>
      </c>
      <c r="Q1097">
        <v>0</v>
      </c>
      <c r="R1097">
        <v>24.12</v>
      </c>
      <c r="S1097">
        <v>25.31</v>
      </c>
      <c r="T1097">
        <v>-1.19</v>
      </c>
      <c r="U1097">
        <f t="shared" si="17"/>
        <v>0</v>
      </c>
    </row>
    <row r="1098" spans="1:21" x14ac:dyDescent="0.25">
      <c r="A1098" s="2" t="s">
        <v>1746</v>
      </c>
      <c r="B1098" s="2" t="s">
        <v>1240</v>
      </c>
      <c r="C1098" s="1">
        <v>45580</v>
      </c>
      <c r="D1098" s="2" t="s">
        <v>45</v>
      </c>
      <c r="E1098" s="2" t="s">
        <v>46</v>
      </c>
      <c r="F1098" s="2" t="s">
        <v>94</v>
      </c>
      <c r="G1098">
        <v>1</v>
      </c>
      <c r="H1098" s="2" t="s">
        <v>52</v>
      </c>
      <c r="I1098">
        <v>138.24</v>
      </c>
      <c r="J1098">
        <v>5</v>
      </c>
      <c r="K1098">
        <v>6.91</v>
      </c>
      <c r="L1098">
        <v>18.2</v>
      </c>
      <c r="M1098">
        <v>41.76</v>
      </c>
      <c r="N1098">
        <v>0</v>
      </c>
      <c r="O1098">
        <v>4.1100000000000003</v>
      </c>
      <c r="P1098" s="2" t="s">
        <v>68</v>
      </c>
      <c r="Q1098">
        <v>131.33000000000001</v>
      </c>
      <c r="R1098">
        <v>0</v>
      </c>
      <c r="S1098">
        <v>64.069999999999993</v>
      </c>
      <c r="T1098">
        <v>-64.069999999999993</v>
      </c>
      <c r="U1098">
        <f t="shared" si="17"/>
        <v>0</v>
      </c>
    </row>
    <row r="1099" spans="1:21" x14ac:dyDescent="0.25">
      <c r="A1099" s="2" t="s">
        <v>1747</v>
      </c>
      <c r="B1099" s="2" t="s">
        <v>93</v>
      </c>
      <c r="C1099" s="1">
        <v>45895</v>
      </c>
      <c r="D1099" s="2" t="s">
        <v>80</v>
      </c>
      <c r="E1099" s="2" t="s">
        <v>39</v>
      </c>
      <c r="F1099" s="2" t="s">
        <v>47</v>
      </c>
      <c r="G1099">
        <v>4</v>
      </c>
      <c r="H1099" s="2" t="s">
        <v>77</v>
      </c>
      <c r="I1099">
        <v>171.12</v>
      </c>
      <c r="J1099">
        <v>0</v>
      </c>
      <c r="K1099">
        <v>0</v>
      </c>
      <c r="L1099">
        <v>44.94</v>
      </c>
      <c r="M1099">
        <v>61.38</v>
      </c>
      <c r="N1099">
        <v>13.69</v>
      </c>
      <c r="O1099">
        <v>5.26</v>
      </c>
      <c r="P1099" s="2" t="s">
        <v>42</v>
      </c>
      <c r="Q1099">
        <v>0</v>
      </c>
      <c r="R1099">
        <v>171.12</v>
      </c>
      <c r="S1099">
        <v>125.27</v>
      </c>
      <c r="T1099">
        <v>45.85</v>
      </c>
      <c r="U1099">
        <f t="shared" si="17"/>
        <v>0</v>
      </c>
    </row>
    <row r="1100" spans="1:21" x14ac:dyDescent="0.25">
      <c r="A1100" s="2" t="s">
        <v>1748</v>
      </c>
      <c r="B1100" s="2" t="s">
        <v>1375</v>
      </c>
      <c r="C1100" s="1">
        <v>45548</v>
      </c>
      <c r="D1100" s="2" t="s">
        <v>38</v>
      </c>
      <c r="E1100" s="2" t="s">
        <v>46</v>
      </c>
      <c r="F1100" s="2" t="s">
        <v>85</v>
      </c>
      <c r="G1100">
        <v>2</v>
      </c>
      <c r="H1100" s="2" t="s">
        <v>56</v>
      </c>
      <c r="I1100">
        <v>80.56</v>
      </c>
      <c r="J1100">
        <v>5</v>
      </c>
      <c r="K1100">
        <v>4.03</v>
      </c>
      <c r="L1100">
        <v>18.28</v>
      </c>
      <c r="M1100">
        <v>35.01</v>
      </c>
      <c r="N1100">
        <v>0</v>
      </c>
      <c r="O1100">
        <v>2.52</v>
      </c>
      <c r="P1100" s="2" t="s">
        <v>42</v>
      </c>
      <c r="Q1100">
        <v>0</v>
      </c>
      <c r="R1100">
        <v>76.53</v>
      </c>
      <c r="S1100">
        <v>55.81</v>
      </c>
      <c r="T1100">
        <v>20.72</v>
      </c>
      <c r="U1100">
        <f t="shared" si="17"/>
        <v>1</v>
      </c>
    </row>
    <row r="1101" spans="1:21" x14ac:dyDescent="0.25">
      <c r="A1101" s="2" t="s">
        <v>1749</v>
      </c>
      <c r="B1101" s="2" t="s">
        <v>1679</v>
      </c>
      <c r="C1101" s="1">
        <v>45855</v>
      </c>
      <c r="D1101" s="2" t="s">
        <v>45</v>
      </c>
      <c r="E1101" s="2" t="s">
        <v>46</v>
      </c>
      <c r="F1101" s="2" t="s">
        <v>47</v>
      </c>
      <c r="G1101">
        <v>1</v>
      </c>
      <c r="H1101" s="2" t="s">
        <v>77</v>
      </c>
      <c r="I1101">
        <v>10</v>
      </c>
      <c r="J1101">
        <v>20</v>
      </c>
      <c r="K1101">
        <v>2</v>
      </c>
      <c r="L1101">
        <v>6.14</v>
      </c>
      <c r="M1101">
        <v>3.35</v>
      </c>
      <c r="N1101">
        <v>0</v>
      </c>
      <c r="O1101">
        <v>0.53</v>
      </c>
      <c r="P1101" s="2" t="s">
        <v>42</v>
      </c>
      <c r="Q1101">
        <v>0</v>
      </c>
      <c r="R1101">
        <v>8</v>
      </c>
      <c r="S1101">
        <v>10.02</v>
      </c>
      <c r="T1101">
        <v>-2.02</v>
      </c>
      <c r="U1101">
        <f t="shared" si="17"/>
        <v>0</v>
      </c>
    </row>
    <row r="1102" spans="1:21" x14ac:dyDescent="0.25">
      <c r="A1102" s="2" t="s">
        <v>1750</v>
      </c>
      <c r="B1102" s="2" t="s">
        <v>685</v>
      </c>
      <c r="C1102" s="1">
        <v>45587</v>
      </c>
      <c r="D1102" s="2" t="s">
        <v>38</v>
      </c>
      <c r="E1102" s="2" t="s">
        <v>46</v>
      </c>
      <c r="F1102" s="2" t="s">
        <v>94</v>
      </c>
      <c r="G1102">
        <v>3</v>
      </c>
      <c r="H1102" s="2" t="s">
        <v>52</v>
      </c>
      <c r="I1102">
        <v>198.75</v>
      </c>
      <c r="J1102">
        <v>0</v>
      </c>
      <c r="K1102">
        <v>0</v>
      </c>
      <c r="L1102">
        <v>41.52</v>
      </c>
      <c r="M1102">
        <v>92.52</v>
      </c>
      <c r="N1102">
        <v>0</v>
      </c>
      <c r="O1102">
        <v>6.06</v>
      </c>
      <c r="P1102" s="2" t="s">
        <v>68</v>
      </c>
      <c r="Q1102">
        <v>198.75</v>
      </c>
      <c r="R1102">
        <v>0</v>
      </c>
      <c r="S1102">
        <v>140.1</v>
      </c>
      <c r="T1102">
        <v>-140.1</v>
      </c>
      <c r="U1102">
        <f t="shared" si="17"/>
        <v>0</v>
      </c>
    </row>
    <row r="1103" spans="1:21" x14ac:dyDescent="0.25">
      <c r="A1103" s="2" t="s">
        <v>1751</v>
      </c>
      <c r="B1103" s="2" t="s">
        <v>149</v>
      </c>
      <c r="C1103" s="1">
        <v>45486</v>
      </c>
      <c r="D1103" s="2" t="s">
        <v>45</v>
      </c>
      <c r="E1103" s="2" t="s">
        <v>55</v>
      </c>
      <c r="F1103" s="2" t="s">
        <v>85</v>
      </c>
      <c r="G1103">
        <v>1</v>
      </c>
      <c r="H1103" s="2" t="s">
        <v>111</v>
      </c>
      <c r="I1103">
        <v>114.16</v>
      </c>
      <c r="J1103">
        <v>10</v>
      </c>
      <c r="K1103">
        <v>11.42</v>
      </c>
      <c r="L1103">
        <v>22.52</v>
      </c>
      <c r="M1103">
        <v>53.3</v>
      </c>
      <c r="N1103">
        <v>0</v>
      </c>
      <c r="O1103">
        <v>3.28</v>
      </c>
      <c r="P1103" s="2" t="s">
        <v>42</v>
      </c>
      <c r="Q1103">
        <v>0</v>
      </c>
      <c r="R1103">
        <v>102.74</v>
      </c>
      <c r="S1103">
        <v>79.099999999999994</v>
      </c>
      <c r="T1103">
        <v>23.64</v>
      </c>
      <c r="U1103">
        <f t="shared" si="17"/>
        <v>0</v>
      </c>
    </row>
    <row r="1104" spans="1:21" x14ac:dyDescent="0.25">
      <c r="A1104" s="2" t="s">
        <v>1752</v>
      </c>
      <c r="B1104" s="2" t="s">
        <v>580</v>
      </c>
      <c r="C1104" s="1">
        <v>45597</v>
      </c>
      <c r="D1104" s="2" t="s">
        <v>59</v>
      </c>
      <c r="E1104" s="2" t="s">
        <v>46</v>
      </c>
      <c r="F1104" s="2" t="s">
        <v>40</v>
      </c>
      <c r="G1104">
        <v>2</v>
      </c>
      <c r="H1104" s="2" t="s">
        <v>77</v>
      </c>
      <c r="I1104">
        <v>168.24</v>
      </c>
      <c r="J1104">
        <v>0</v>
      </c>
      <c r="K1104">
        <v>0</v>
      </c>
      <c r="L1104">
        <v>34.799999999999997</v>
      </c>
      <c r="M1104">
        <v>88.72</v>
      </c>
      <c r="N1104">
        <v>25.24</v>
      </c>
      <c r="O1104">
        <v>5.18</v>
      </c>
      <c r="P1104" s="2" t="s">
        <v>42</v>
      </c>
      <c r="Q1104">
        <v>0</v>
      </c>
      <c r="R1104">
        <v>168.24</v>
      </c>
      <c r="S1104">
        <v>153.94</v>
      </c>
      <c r="T1104">
        <v>14.3</v>
      </c>
      <c r="U1104">
        <f t="shared" si="17"/>
        <v>1</v>
      </c>
    </row>
    <row r="1105" spans="1:21" x14ac:dyDescent="0.25">
      <c r="A1105" s="2" t="s">
        <v>1753</v>
      </c>
      <c r="B1105" s="2" t="s">
        <v>1754</v>
      </c>
      <c r="C1105" s="1">
        <v>45904</v>
      </c>
      <c r="D1105" s="2" t="s">
        <v>45</v>
      </c>
      <c r="E1105" s="2" t="s">
        <v>55</v>
      </c>
      <c r="F1105" s="2" t="s">
        <v>40</v>
      </c>
      <c r="G1105">
        <v>1</v>
      </c>
      <c r="H1105" s="2" t="s">
        <v>74</v>
      </c>
      <c r="I1105">
        <v>52.69</v>
      </c>
      <c r="J1105">
        <v>15</v>
      </c>
      <c r="K1105">
        <v>7.9</v>
      </c>
      <c r="L1105">
        <v>5.82</v>
      </c>
      <c r="M1105">
        <v>23.14</v>
      </c>
      <c r="N1105">
        <v>0</v>
      </c>
      <c r="O1105">
        <v>1.6</v>
      </c>
      <c r="P1105" s="2" t="s">
        <v>42</v>
      </c>
      <c r="Q1105">
        <v>0</v>
      </c>
      <c r="R1105">
        <v>44.79</v>
      </c>
      <c r="S1105">
        <v>30.56</v>
      </c>
      <c r="T1105">
        <v>14.23</v>
      </c>
      <c r="U1105">
        <f t="shared" si="17"/>
        <v>0</v>
      </c>
    </row>
    <row r="1106" spans="1:21" x14ac:dyDescent="0.25">
      <c r="A1106" s="2" t="s">
        <v>1755</v>
      </c>
      <c r="B1106" s="2" t="s">
        <v>1756</v>
      </c>
      <c r="C1106" s="1">
        <v>45722</v>
      </c>
      <c r="D1106" s="2" t="s">
        <v>59</v>
      </c>
      <c r="E1106" s="2" t="s">
        <v>71</v>
      </c>
      <c r="F1106" s="2" t="s">
        <v>51</v>
      </c>
      <c r="G1106">
        <v>1</v>
      </c>
      <c r="H1106" s="2" t="s">
        <v>77</v>
      </c>
      <c r="I1106">
        <v>10</v>
      </c>
      <c r="J1106">
        <v>20</v>
      </c>
      <c r="K1106">
        <v>2</v>
      </c>
      <c r="L1106">
        <v>6.14</v>
      </c>
      <c r="M1106">
        <v>3.35</v>
      </c>
      <c r="N1106">
        <v>1.2</v>
      </c>
      <c r="O1106">
        <v>0.53</v>
      </c>
      <c r="P1106" s="2" t="s">
        <v>42</v>
      </c>
      <c r="Q1106">
        <v>0</v>
      </c>
      <c r="R1106">
        <v>8</v>
      </c>
      <c r="S1106">
        <v>11.22</v>
      </c>
      <c r="T1106">
        <v>-3.22</v>
      </c>
      <c r="U1106">
        <f t="shared" si="17"/>
        <v>0</v>
      </c>
    </row>
    <row r="1107" spans="1:21" x14ac:dyDescent="0.25">
      <c r="A1107" s="2" t="s">
        <v>1757</v>
      </c>
      <c r="B1107" s="2" t="s">
        <v>1302</v>
      </c>
      <c r="C1107" s="1">
        <v>45736</v>
      </c>
      <c r="D1107" s="2" t="s">
        <v>45</v>
      </c>
      <c r="E1107" s="2" t="s">
        <v>39</v>
      </c>
      <c r="F1107" s="2" t="s">
        <v>40</v>
      </c>
      <c r="G1107">
        <v>2</v>
      </c>
      <c r="H1107" s="2" t="s">
        <v>41</v>
      </c>
      <c r="I1107">
        <v>113.9</v>
      </c>
      <c r="J1107">
        <v>0</v>
      </c>
      <c r="K1107">
        <v>0</v>
      </c>
      <c r="L1107">
        <v>17.3</v>
      </c>
      <c r="M1107">
        <v>47.73</v>
      </c>
      <c r="N1107">
        <v>0</v>
      </c>
      <c r="O1107">
        <v>3.6</v>
      </c>
      <c r="P1107" s="2" t="s">
        <v>42</v>
      </c>
      <c r="Q1107">
        <v>0</v>
      </c>
      <c r="R1107">
        <v>113.9</v>
      </c>
      <c r="S1107">
        <v>68.63</v>
      </c>
      <c r="T1107">
        <v>45.27</v>
      </c>
      <c r="U1107">
        <f t="shared" si="17"/>
        <v>0</v>
      </c>
    </row>
    <row r="1108" spans="1:21" x14ac:dyDescent="0.25">
      <c r="A1108" s="2" t="s">
        <v>1758</v>
      </c>
      <c r="B1108" s="2" t="s">
        <v>1759</v>
      </c>
      <c r="C1108" s="1">
        <v>45829</v>
      </c>
      <c r="D1108" s="2" t="s">
        <v>59</v>
      </c>
      <c r="E1108" s="2" t="s">
        <v>46</v>
      </c>
      <c r="F1108" s="2" t="s">
        <v>51</v>
      </c>
      <c r="G1108">
        <v>1</v>
      </c>
      <c r="H1108" s="2" t="s">
        <v>77</v>
      </c>
      <c r="I1108">
        <v>31.87</v>
      </c>
      <c r="J1108">
        <v>0</v>
      </c>
      <c r="K1108">
        <v>0</v>
      </c>
      <c r="L1108">
        <v>9.58</v>
      </c>
      <c r="M1108">
        <v>10.3</v>
      </c>
      <c r="N1108">
        <v>4.78</v>
      </c>
      <c r="O1108">
        <v>1.22</v>
      </c>
      <c r="P1108" s="2" t="s">
        <v>42</v>
      </c>
      <c r="Q1108">
        <v>0</v>
      </c>
      <c r="R1108">
        <v>31.87</v>
      </c>
      <c r="S1108">
        <v>25.88</v>
      </c>
      <c r="T1108">
        <v>5.99</v>
      </c>
      <c r="U1108">
        <f t="shared" si="17"/>
        <v>0</v>
      </c>
    </row>
    <row r="1109" spans="1:21" x14ac:dyDescent="0.25">
      <c r="A1109" s="2" t="s">
        <v>1760</v>
      </c>
      <c r="B1109" s="2" t="s">
        <v>1742</v>
      </c>
      <c r="C1109" s="1">
        <v>45576</v>
      </c>
      <c r="D1109" s="2" t="s">
        <v>38</v>
      </c>
      <c r="E1109" s="2" t="s">
        <v>46</v>
      </c>
      <c r="F1109" s="2" t="s">
        <v>85</v>
      </c>
      <c r="G1109">
        <v>1</v>
      </c>
      <c r="H1109" s="2" t="s">
        <v>41</v>
      </c>
      <c r="I1109">
        <v>68.98</v>
      </c>
      <c r="J1109">
        <v>0</v>
      </c>
      <c r="K1109">
        <v>0</v>
      </c>
      <c r="L1109">
        <v>14.54</v>
      </c>
      <c r="M1109">
        <v>25.39</v>
      </c>
      <c r="N1109">
        <v>0</v>
      </c>
      <c r="O1109">
        <v>2.2999999999999998</v>
      </c>
      <c r="P1109" s="2" t="s">
        <v>42</v>
      </c>
      <c r="Q1109">
        <v>0</v>
      </c>
      <c r="R1109">
        <v>68.98</v>
      </c>
      <c r="S1109">
        <v>42.23</v>
      </c>
      <c r="T1109">
        <v>26.75</v>
      </c>
      <c r="U1109">
        <f t="shared" si="17"/>
        <v>0</v>
      </c>
    </row>
    <row r="1110" spans="1:21" x14ac:dyDescent="0.25">
      <c r="A1110" s="2" t="s">
        <v>1761</v>
      </c>
      <c r="B1110" s="2" t="s">
        <v>1762</v>
      </c>
      <c r="C1110" s="1">
        <v>45837</v>
      </c>
      <c r="D1110" s="2" t="s">
        <v>80</v>
      </c>
      <c r="E1110" s="2" t="s">
        <v>71</v>
      </c>
      <c r="F1110" s="2" t="s">
        <v>51</v>
      </c>
      <c r="G1110">
        <v>1</v>
      </c>
      <c r="H1110" s="2" t="s">
        <v>74</v>
      </c>
      <c r="I1110">
        <v>11.52</v>
      </c>
      <c r="J1110">
        <v>15</v>
      </c>
      <c r="K1110">
        <v>1.73</v>
      </c>
      <c r="L1110">
        <v>7.58</v>
      </c>
      <c r="M1110">
        <v>3.71</v>
      </c>
      <c r="N1110">
        <v>0.78</v>
      </c>
      <c r="O1110">
        <v>0.57999999999999996</v>
      </c>
      <c r="P1110" s="2" t="s">
        <v>42</v>
      </c>
      <c r="Q1110">
        <v>0</v>
      </c>
      <c r="R1110">
        <v>9.7899999999999991</v>
      </c>
      <c r="S1110">
        <v>12.65</v>
      </c>
      <c r="T1110">
        <v>-2.86</v>
      </c>
      <c r="U1110">
        <f t="shared" si="17"/>
        <v>0</v>
      </c>
    </row>
    <row r="1111" spans="1:21" x14ac:dyDescent="0.25">
      <c r="A1111" s="2" t="s">
        <v>1763</v>
      </c>
      <c r="B1111" s="2" t="s">
        <v>1764</v>
      </c>
      <c r="C1111" s="1">
        <v>45526</v>
      </c>
      <c r="D1111" s="2" t="s">
        <v>59</v>
      </c>
      <c r="E1111" s="2" t="s">
        <v>46</v>
      </c>
      <c r="F1111" s="2" t="s">
        <v>47</v>
      </c>
      <c r="G1111">
        <v>3</v>
      </c>
      <c r="H1111" s="2" t="s">
        <v>52</v>
      </c>
      <c r="I1111">
        <v>273.64999999999998</v>
      </c>
      <c r="J1111">
        <v>15</v>
      </c>
      <c r="K1111">
        <v>41.05</v>
      </c>
      <c r="L1111">
        <v>31.22</v>
      </c>
      <c r="M1111">
        <v>95.48</v>
      </c>
      <c r="N1111">
        <v>34.89</v>
      </c>
      <c r="O1111">
        <v>7.05</v>
      </c>
      <c r="P1111" s="2" t="s">
        <v>42</v>
      </c>
      <c r="Q1111">
        <v>0</v>
      </c>
      <c r="R1111">
        <v>232.6</v>
      </c>
      <c r="S1111">
        <v>168.64</v>
      </c>
      <c r="T1111">
        <v>63.96</v>
      </c>
      <c r="U1111">
        <f t="shared" si="17"/>
        <v>0</v>
      </c>
    </row>
    <row r="1112" spans="1:21" x14ac:dyDescent="0.25">
      <c r="A1112" s="2" t="s">
        <v>1765</v>
      </c>
      <c r="B1112" s="2" t="s">
        <v>490</v>
      </c>
      <c r="C1112" s="1">
        <v>45714</v>
      </c>
      <c r="D1112" s="2" t="s">
        <v>38</v>
      </c>
      <c r="E1112" s="2" t="s">
        <v>46</v>
      </c>
      <c r="F1112" s="2" t="s">
        <v>51</v>
      </c>
      <c r="G1112">
        <v>1</v>
      </c>
      <c r="H1112" s="2" t="s">
        <v>111</v>
      </c>
      <c r="I1112">
        <v>329.7</v>
      </c>
      <c r="J1112">
        <v>0</v>
      </c>
      <c r="K1112">
        <v>0</v>
      </c>
      <c r="L1112">
        <v>9.4</v>
      </c>
      <c r="M1112">
        <v>99.76</v>
      </c>
      <c r="N1112">
        <v>0</v>
      </c>
      <c r="O1112">
        <v>9.86</v>
      </c>
      <c r="P1112" s="2" t="s">
        <v>42</v>
      </c>
      <c r="Q1112">
        <v>0</v>
      </c>
      <c r="R1112">
        <v>329.7</v>
      </c>
      <c r="S1112">
        <v>119.02</v>
      </c>
      <c r="T1112">
        <v>210.68</v>
      </c>
      <c r="U1112">
        <f t="shared" si="17"/>
        <v>0</v>
      </c>
    </row>
    <row r="1113" spans="1:21" x14ac:dyDescent="0.25">
      <c r="A1113" s="2" t="s">
        <v>1766</v>
      </c>
      <c r="B1113" s="2" t="s">
        <v>1767</v>
      </c>
      <c r="C1113" s="1">
        <v>45735</v>
      </c>
      <c r="D1113" s="2" t="s">
        <v>38</v>
      </c>
      <c r="E1113" s="2" t="s">
        <v>46</v>
      </c>
      <c r="F1113" s="2" t="s">
        <v>94</v>
      </c>
      <c r="G1113">
        <v>1</v>
      </c>
      <c r="H1113" s="2" t="s">
        <v>74</v>
      </c>
      <c r="I1113">
        <v>136.04</v>
      </c>
      <c r="J1113">
        <v>10</v>
      </c>
      <c r="K1113">
        <v>13.6</v>
      </c>
      <c r="L1113">
        <v>6.3</v>
      </c>
      <c r="M1113">
        <v>39.68</v>
      </c>
      <c r="N1113">
        <v>0</v>
      </c>
      <c r="O1113">
        <v>3.85</v>
      </c>
      <c r="P1113" s="2" t="s">
        <v>42</v>
      </c>
      <c r="Q1113">
        <v>0</v>
      </c>
      <c r="R1113">
        <v>122.44</v>
      </c>
      <c r="S1113">
        <v>49.83</v>
      </c>
      <c r="T1113">
        <v>72.61</v>
      </c>
      <c r="U1113">
        <f t="shared" si="17"/>
        <v>0</v>
      </c>
    </row>
    <row r="1114" spans="1:21" x14ac:dyDescent="0.25">
      <c r="A1114" s="2" t="s">
        <v>1768</v>
      </c>
      <c r="B1114" s="2" t="s">
        <v>1015</v>
      </c>
      <c r="C1114" s="1">
        <v>45748</v>
      </c>
      <c r="D1114" s="2" t="s">
        <v>38</v>
      </c>
      <c r="E1114" s="2" t="s">
        <v>71</v>
      </c>
      <c r="F1114" s="2" t="s">
        <v>47</v>
      </c>
      <c r="G1114">
        <v>1</v>
      </c>
      <c r="H1114" s="2" t="s">
        <v>74</v>
      </c>
      <c r="I1114">
        <v>408.12</v>
      </c>
      <c r="J1114">
        <v>10</v>
      </c>
      <c r="K1114">
        <v>40.81</v>
      </c>
      <c r="L1114">
        <v>18.899999999999999</v>
      </c>
      <c r="M1114">
        <v>119.04</v>
      </c>
      <c r="N1114">
        <v>0</v>
      </c>
      <c r="O1114">
        <v>10.95</v>
      </c>
      <c r="P1114" s="2" t="s">
        <v>42</v>
      </c>
      <c r="Q1114">
        <v>0</v>
      </c>
      <c r="R1114">
        <v>367.31</v>
      </c>
      <c r="S1114">
        <v>148.88999999999999</v>
      </c>
      <c r="T1114">
        <v>218.42</v>
      </c>
      <c r="U1114">
        <f t="shared" si="17"/>
        <v>0</v>
      </c>
    </row>
    <row r="1115" spans="1:21" x14ac:dyDescent="0.25">
      <c r="A1115" s="2" t="s">
        <v>1769</v>
      </c>
      <c r="B1115" s="2" t="s">
        <v>370</v>
      </c>
      <c r="C1115" s="1">
        <v>45579</v>
      </c>
      <c r="D1115" s="2" t="s">
        <v>80</v>
      </c>
      <c r="E1115" s="2" t="s">
        <v>71</v>
      </c>
      <c r="F1115" s="2" t="s">
        <v>94</v>
      </c>
      <c r="G1115">
        <v>2</v>
      </c>
      <c r="H1115" s="2" t="s">
        <v>74</v>
      </c>
      <c r="I1115">
        <v>248.16</v>
      </c>
      <c r="J1115">
        <v>0</v>
      </c>
      <c r="K1115">
        <v>0</v>
      </c>
      <c r="L1115">
        <v>32.18</v>
      </c>
      <c r="M1115">
        <v>123.44</v>
      </c>
      <c r="N1115">
        <v>19.850000000000001</v>
      </c>
      <c r="O1115">
        <v>7.5</v>
      </c>
      <c r="P1115" s="2" t="s">
        <v>42</v>
      </c>
      <c r="Q1115">
        <v>0</v>
      </c>
      <c r="R1115">
        <v>248.16</v>
      </c>
      <c r="S1115">
        <v>182.97</v>
      </c>
      <c r="T1115">
        <v>65.19</v>
      </c>
      <c r="U1115">
        <f t="shared" si="17"/>
        <v>0</v>
      </c>
    </row>
    <row r="1116" spans="1:21" x14ac:dyDescent="0.25">
      <c r="A1116" s="2" t="s">
        <v>1770</v>
      </c>
      <c r="B1116" s="2" t="s">
        <v>76</v>
      </c>
      <c r="C1116" s="1">
        <v>45719</v>
      </c>
      <c r="D1116" s="2" t="s">
        <v>38</v>
      </c>
      <c r="E1116" s="2" t="s">
        <v>71</v>
      </c>
      <c r="F1116" s="2" t="s">
        <v>85</v>
      </c>
      <c r="G1116">
        <v>4</v>
      </c>
      <c r="H1116" s="2" t="s">
        <v>56</v>
      </c>
      <c r="I1116">
        <v>198.43</v>
      </c>
      <c r="J1116">
        <v>0</v>
      </c>
      <c r="K1116">
        <v>0</v>
      </c>
      <c r="L1116">
        <v>75.319999999999993</v>
      </c>
      <c r="M1116">
        <v>95.19</v>
      </c>
      <c r="N1116">
        <v>0</v>
      </c>
      <c r="O1116">
        <v>6.05</v>
      </c>
      <c r="P1116" s="2" t="s">
        <v>42</v>
      </c>
      <c r="Q1116">
        <v>0</v>
      </c>
      <c r="R1116">
        <v>198.43</v>
      </c>
      <c r="S1116">
        <v>176.56</v>
      </c>
      <c r="T1116">
        <v>21.87</v>
      </c>
      <c r="U1116">
        <f t="shared" si="17"/>
        <v>0</v>
      </c>
    </row>
    <row r="1117" spans="1:21" x14ac:dyDescent="0.25">
      <c r="A1117" s="2" t="s">
        <v>1771</v>
      </c>
      <c r="B1117" s="2" t="s">
        <v>249</v>
      </c>
      <c r="C1117" s="1">
        <v>45864</v>
      </c>
      <c r="D1117" s="2" t="s">
        <v>45</v>
      </c>
      <c r="E1117" s="2" t="s">
        <v>67</v>
      </c>
      <c r="F1117" s="2" t="s">
        <v>85</v>
      </c>
      <c r="G1117">
        <v>1</v>
      </c>
      <c r="H1117" s="2" t="s">
        <v>64</v>
      </c>
      <c r="I1117">
        <v>56</v>
      </c>
      <c r="J1117">
        <v>20</v>
      </c>
      <c r="K1117">
        <v>11.2</v>
      </c>
      <c r="L1117">
        <v>12.86</v>
      </c>
      <c r="M1117">
        <v>19.82</v>
      </c>
      <c r="N1117">
        <v>0</v>
      </c>
      <c r="O1117">
        <v>1.6</v>
      </c>
      <c r="P1117" s="2" t="s">
        <v>42</v>
      </c>
      <c r="Q1117">
        <v>0</v>
      </c>
      <c r="R1117">
        <v>44.8</v>
      </c>
      <c r="S1117">
        <v>34.28</v>
      </c>
      <c r="T1117">
        <v>10.52</v>
      </c>
      <c r="U1117">
        <f t="shared" si="17"/>
        <v>0</v>
      </c>
    </row>
    <row r="1118" spans="1:21" x14ac:dyDescent="0.25">
      <c r="A1118" s="2" t="s">
        <v>1772</v>
      </c>
      <c r="B1118" s="2" t="s">
        <v>1773</v>
      </c>
      <c r="C1118" s="1">
        <v>45821</v>
      </c>
      <c r="D1118" s="2" t="s">
        <v>38</v>
      </c>
      <c r="E1118" s="2" t="s">
        <v>71</v>
      </c>
      <c r="F1118" s="2" t="s">
        <v>85</v>
      </c>
      <c r="G1118">
        <v>1</v>
      </c>
      <c r="H1118" s="2" t="s">
        <v>56</v>
      </c>
      <c r="I1118">
        <v>41.97</v>
      </c>
      <c r="J1118">
        <v>5</v>
      </c>
      <c r="K1118">
        <v>2.1</v>
      </c>
      <c r="L1118">
        <v>13.42</v>
      </c>
      <c r="M1118">
        <v>12.24</v>
      </c>
      <c r="N1118">
        <v>0</v>
      </c>
      <c r="O1118">
        <v>1.46</v>
      </c>
      <c r="P1118" s="2" t="s">
        <v>42</v>
      </c>
      <c r="Q1118">
        <v>0</v>
      </c>
      <c r="R1118">
        <v>39.869999999999997</v>
      </c>
      <c r="S1118">
        <v>27.12</v>
      </c>
      <c r="T1118">
        <v>12.75</v>
      </c>
      <c r="U1118">
        <f t="shared" si="17"/>
        <v>0</v>
      </c>
    </row>
    <row r="1119" spans="1:21" x14ac:dyDescent="0.25">
      <c r="A1119" s="2" t="s">
        <v>1774</v>
      </c>
      <c r="B1119" s="2" t="s">
        <v>1416</v>
      </c>
      <c r="C1119" s="1">
        <v>45458</v>
      </c>
      <c r="D1119" s="2" t="s">
        <v>45</v>
      </c>
      <c r="E1119" s="2" t="s">
        <v>46</v>
      </c>
      <c r="F1119" s="2" t="s">
        <v>94</v>
      </c>
      <c r="G1119">
        <v>3</v>
      </c>
      <c r="H1119" s="2" t="s">
        <v>77</v>
      </c>
      <c r="I1119">
        <v>62.03</v>
      </c>
      <c r="J1119">
        <v>0</v>
      </c>
      <c r="K1119">
        <v>0</v>
      </c>
      <c r="L1119">
        <v>30.08</v>
      </c>
      <c r="M1119">
        <v>25.92</v>
      </c>
      <c r="N1119">
        <v>0</v>
      </c>
      <c r="O1119">
        <v>2.1</v>
      </c>
      <c r="P1119" s="2" t="s">
        <v>42</v>
      </c>
      <c r="Q1119">
        <v>0</v>
      </c>
      <c r="R1119">
        <v>62.03</v>
      </c>
      <c r="S1119">
        <v>58.1</v>
      </c>
      <c r="T1119">
        <v>3.93</v>
      </c>
      <c r="U1119">
        <f t="shared" si="17"/>
        <v>0</v>
      </c>
    </row>
    <row r="1120" spans="1:21" x14ac:dyDescent="0.25">
      <c r="A1120" s="2" t="s">
        <v>1775</v>
      </c>
      <c r="B1120" s="2" t="s">
        <v>498</v>
      </c>
      <c r="C1120" s="1">
        <v>45740</v>
      </c>
      <c r="D1120" s="2" t="s">
        <v>59</v>
      </c>
      <c r="E1120" s="2" t="s">
        <v>55</v>
      </c>
      <c r="F1120" s="2" t="s">
        <v>85</v>
      </c>
      <c r="G1120">
        <v>1</v>
      </c>
      <c r="H1120" s="2" t="s">
        <v>77</v>
      </c>
      <c r="I1120">
        <v>17.64</v>
      </c>
      <c r="J1120">
        <v>5</v>
      </c>
      <c r="K1120">
        <v>0.88</v>
      </c>
      <c r="L1120">
        <v>15.42</v>
      </c>
      <c r="M1120">
        <v>10.55</v>
      </c>
      <c r="N1120">
        <v>2.5099999999999998</v>
      </c>
      <c r="O1120">
        <v>0.79</v>
      </c>
      <c r="P1120" s="2" t="s">
        <v>42</v>
      </c>
      <c r="Q1120">
        <v>0</v>
      </c>
      <c r="R1120">
        <v>16.760000000000002</v>
      </c>
      <c r="S1120">
        <v>29.27</v>
      </c>
      <c r="T1120">
        <v>-12.51</v>
      </c>
      <c r="U1120">
        <f t="shared" si="17"/>
        <v>0</v>
      </c>
    </row>
    <row r="1121" spans="1:21" x14ac:dyDescent="0.25">
      <c r="A1121" s="2" t="s">
        <v>1776</v>
      </c>
      <c r="B1121" s="2" t="s">
        <v>285</v>
      </c>
      <c r="C1121" s="1">
        <v>45873</v>
      </c>
      <c r="D1121" s="2" t="s">
        <v>38</v>
      </c>
      <c r="E1121" s="2" t="s">
        <v>46</v>
      </c>
      <c r="F1121" s="2" t="s">
        <v>40</v>
      </c>
      <c r="G1121">
        <v>2</v>
      </c>
      <c r="H1121" s="2" t="s">
        <v>52</v>
      </c>
      <c r="I1121">
        <v>84.38</v>
      </c>
      <c r="J1121">
        <v>0</v>
      </c>
      <c r="K1121">
        <v>0</v>
      </c>
      <c r="L1121">
        <v>22.6</v>
      </c>
      <c r="M1121">
        <v>39.89</v>
      </c>
      <c r="N1121">
        <v>0</v>
      </c>
      <c r="O1121">
        <v>2.75</v>
      </c>
      <c r="P1121" s="2" t="s">
        <v>42</v>
      </c>
      <c r="Q1121">
        <v>0</v>
      </c>
      <c r="R1121">
        <v>84.38</v>
      </c>
      <c r="S1121">
        <v>65.239999999999995</v>
      </c>
      <c r="T1121">
        <v>19.14</v>
      </c>
      <c r="U1121">
        <f t="shared" si="17"/>
        <v>0</v>
      </c>
    </row>
    <row r="1122" spans="1:21" x14ac:dyDescent="0.25">
      <c r="A1122" s="2" t="s">
        <v>1777</v>
      </c>
      <c r="B1122" s="2" t="s">
        <v>1778</v>
      </c>
      <c r="C1122" s="1">
        <v>45828</v>
      </c>
      <c r="D1122" s="2" t="s">
        <v>45</v>
      </c>
      <c r="E1122" s="2" t="s">
        <v>71</v>
      </c>
      <c r="F1122" s="2" t="s">
        <v>51</v>
      </c>
      <c r="G1122">
        <v>1</v>
      </c>
      <c r="H1122" s="2" t="s">
        <v>74</v>
      </c>
      <c r="I1122">
        <v>55.68</v>
      </c>
      <c r="J1122">
        <v>5</v>
      </c>
      <c r="K1122">
        <v>2.78</v>
      </c>
      <c r="L1122">
        <v>14.84</v>
      </c>
      <c r="M1122">
        <v>16.48</v>
      </c>
      <c r="N1122">
        <v>0</v>
      </c>
      <c r="O1122">
        <v>1.83</v>
      </c>
      <c r="P1122" s="2" t="s">
        <v>42</v>
      </c>
      <c r="Q1122">
        <v>0</v>
      </c>
      <c r="R1122">
        <v>52.9</v>
      </c>
      <c r="S1122">
        <v>33.15</v>
      </c>
      <c r="T1122">
        <v>19.75</v>
      </c>
      <c r="U1122">
        <f t="shared" si="17"/>
        <v>0</v>
      </c>
    </row>
    <row r="1123" spans="1:21" x14ac:dyDescent="0.25">
      <c r="A1123" s="2" t="s">
        <v>1779</v>
      </c>
      <c r="B1123" s="2" t="s">
        <v>365</v>
      </c>
      <c r="C1123" s="1">
        <v>45738</v>
      </c>
      <c r="D1123" s="2" t="s">
        <v>59</v>
      </c>
      <c r="E1123" s="2" t="s">
        <v>71</v>
      </c>
      <c r="F1123" s="2" t="s">
        <v>40</v>
      </c>
      <c r="G1123">
        <v>4</v>
      </c>
      <c r="H1123" s="2" t="s">
        <v>74</v>
      </c>
      <c r="I1123">
        <v>74.41</v>
      </c>
      <c r="J1123">
        <v>10</v>
      </c>
      <c r="K1123">
        <v>7.44</v>
      </c>
      <c r="L1123">
        <v>60.22</v>
      </c>
      <c r="M1123">
        <v>30.7</v>
      </c>
      <c r="N1123">
        <v>10.050000000000001</v>
      </c>
      <c r="O1123">
        <v>2.2400000000000002</v>
      </c>
      <c r="P1123" s="2" t="s">
        <v>42</v>
      </c>
      <c r="Q1123">
        <v>0</v>
      </c>
      <c r="R1123">
        <v>66.97</v>
      </c>
      <c r="S1123">
        <v>103.21</v>
      </c>
      <c r="T1123">
        <v>-36.24</v>
      </c>
      <c r="U1123">
        <f t="shared" si="17"/>
        <v>0</v>
      </c>
    </row>
    <row r="1124" spans="1:21" x14ac:dyDescent="0.25">
      <c r="A1124" s="2" t="s">
        <v>1780</v>
      </c>
      <c r="B1124" s="2" t="s">
        <v>1781</v>
      </c>
      <c r="C1124" s="1">
        <v>45700</v>
      </c>
      <c r="D1124" s="2" t="s">
        <v>59</v>
      </c>
      <c r="E1124" s="2" t="s">
        <v>46</v>
      </c>
      <c r="F1124" s="2" t="s">
        <v>51</v>
      </c>
      <c r="G1124">
        <v>1</v>
      </c>
      <c r="H1124" s="2" t="s">
        <v>77</v>
      </c>
      <c r="I1124">
        <v>23.61</v>
      </c>
      <c r="J1124">
        <v>0</v>
      </c>
      <c r="K1124">
        <v>0</v>
      </c>
      <c r="L1124">
        <v>8.2200000000000006</v>
      </c>
      <c r="M1124">
        <v>7.31</v>
      </c>
      <c r="N1124">
        <v>3.54</v>
      </c>
      <c r="O1124">
        <v>0.98</v>
      </c>
      <c r="P1124" s="2" t="s">
        <v>42</v>
      </c>
      <c r="Q1124">
        <v>0</v>
      </c>
      <c r="R1124">
        <v>23.61</v>
      </c>
      <c r="S1124">
        <v>20.05</v>
      </c>
      <c r="T1124">
        <v>3.56</v>
      </c>
      <c r="U1124">
        <f t="shared" si="17"/>
        <v>0</v>
      </c>
    </row>
    <row r="1125" spans="1:21" x14ac:dyDescent="0.25">
      <c r="A1125" s="2" t="s">
        <v>1782</v>
      </c>
      <c r="B1125" s="2" t="s">
        <v>1756</v>
      </c>
      <c r="C1125" s="1">
        <v>45563</v>
      </c>
      <c r="D1125" s="2" t="s">
        <v>45</v>
      </c>
      <c r="E1125" s="2" t="s">
        <v>71</v>
      </c>
      <c r="F1125" s="2" t="s">
        <v>47</v>
      </c>
      <c r="G1125">
        <v>3</v>
      </c>
      <c r="H1125" s="2" t="s">
        <v>56</v>
      </c>
      <c r="I1125">
        <v>146.54</v>
      </c>
      <c r="J1125">
        <v>15</v>
      </c>
      <c r="K1125">
        <v>21.98</v>
      </c>
      <c r="L1125">
        <v>45.6</v>
      </c>
      <c r="M1125">
        <v>65.459999999999994</v>
      </c>
      <c r="N1125">
        <v>0</v>
      </c>
      <c r="O1125">
        <v>3.91</v>
      </c>
      <c r="P1125" s="2" t="s">
        <v>42</v>
      </c>
      <c r="Q1125">
        <v>0</v>
      </c>
      <c r="R1125">
        <v>124.56</v>
      </c>
      <c r="S1125">
        <v>114.97</v>
      </c>
      <c r="T1125">
        <v>9.59</v>
      </c>
      <c r="U1125">
        <f t="shared" si="17"/>
        <v>0</v>
      </c>
    </row>
    <row r="1126" spans="1:21" x14ac:dyDescent="0.25">
      <c r="A1126" s="2" t="s">
        <v>1783</v>
      </c>
      <c r="B1126" s="2" t="s">
        <v>1784</v>
      </c>
      <c r="C1126" s="1">
        <v>45761</v>
      </c>
      <c r="D1126" s="2" t="s">
        <v>59</v>
      </c>
      <c r="E1126" s="2" t="s">
        <v>71</v>
      </c>
      <c r="F1126" s="2" t="s">
        <v>94</v>
      </c>
      <c r="G1126">
        <v>3</v>
      </c>
      <c r="H1126" s="2" t="s">
        <v>64</v>
      </c>
      <c r="I1126">
        <v>144.31</v>
      </c>
      <c r="J1126">
        <v>10</v>
      </c>
      <c r="K1126">
        <v>14.43</v>
      </c>
      <c r="L1126">
        <v>29.2</v>
      </c>
      <c r="M1126">
        <v>85.77</v>
      </c>
      <c r="N1126">
        <v>19.48</v>
      </c>
      <c r="O1126">
        <v>4.07</v>
      </c>
      <c r="P1126" s="2" t="s">
        <v>42</v>
      </c>
      <c r="Q1126">
        <v>0</v>
      </c>
      <c r="R1126">
        <v>129.88</v>
      </c>
      <c r="S1126">
        <v>138.52000000000001</v>
      </c>
      <c r="T1126">
        <v>-8.64</v>
      </c>
      <c r="U1126">
        <f t="shared" si="17"/>
        <v>0</v>
      </c>
    </row>
    <row r="1127" spans="1:21" x14ac:dyDescent="0.25">
      <c r="A1127" s="2" t="s">
        <v>1785</v>
      </c>
      <c r="B1127" s="2" t="s">
        <v>615</v>
      </c>
      <c r="C1127" s="1">
        <v>45682</v>
      </c>
      <c r="D1127" s="2" t="s">
        <v>59</v>
      </c>
      <c r="E1127" s="2" t="s">
        <v>71</v>
      </c>
      <c r="F1127" s="2" t="s">
        <v>94</v>
      </c>
      <c r="G1127">
        <v>3</v>
      </c>
      <c r="H1127" s="2" t="s">
        <v>56</v>
      </c>
      <c r="I1127">
        <v>69.72</v>
      </c>
      <c r="J1127">
        <v>0</v>
      </c>
      <c r="K1127">
        <v>0</v>
      </c>
      <c r="L1127">
        <v>34.26</v>
      </c>
      <c r="M1127">
        <v>29.4</v>
      </c>
      <c r="N1127">
        <v>10.46</v>
      </c>
      <c r="O1127">
        <v>2.3199999999999998</v>
      </c>
      <c r="P1127" s="2" t="s">
        <v>42</v>
      </c>
      <c r="Q1127">
        <v>0</v>
      </c>
      <c r="R1127">
        <v>69.72</v>
      </c>
      <c r="S1127">
        <v>76.44</v>
      </c>
      <c r="T1127">
        <v>-6.72</v>
      </c>
      <c r="U1127">
        <f t="shared" si="17"/>
        <v>0</v>
      </c>
    </row>
    <row r="1128" spans="1:21" x14ac:dyDescent="0.25">
      <c r="A1128" s="2" t="s">
        <v>1786</v>
      </c>
      <c r="B1128" s="2" t="s">
        <v>1787</v>
      </c>
      <c r="C1128" s="1">
        <v>45715</v>
      </c>
      <c r="D1128" s="2" t="s">
        <v>38</v>
      </c>
      <c r="E1128" s="2" t="s">
        <v>71</v>
      </c>
      <c r="F1128" s="2" t="s">
        <v>47</v>
      </c>
      <c r="G1128">
        <v>3</v>
      </c>
      <c r="H1128" s="2" t="s">
        <v>52</v>
      </c>
      <c r="I1128">
        <v>266.99</v>
      </c>
      <c r="J1128">
        <v>20</v>
      </c>
      <c r="K1128">
        <v>53.4</v>
      </c>
      <c r="L1128">
        <v>49.52</v>
      </c>
      <c r="M1128">
        <v>91.69</v>
      </c>
      <c r="N1128">
        <v>0</v>
      </c>
      <c r="O1128">
        <v>6.49</v>
      </c>
      <c r="P1128" s="2" t="s">
        <v>42</v>
      </c>
      <c r="Q1128">
        <v>0</v>
      </c>
      <c r="R1128">
        <v>213.59</v>
      </c>
      <c r="S1128">
        <v>147.69999999999999</v>
      </c>
      <c r="T1128">
        <v>65.89</v>
      </c>
      <c r="U1128">
        <f t="shared" si="17"/>
        <v>0</v>
      </c>
    </row>
    <row r="1129" spans="1:21" x14ac:dyDescent="0.25">
      <c r="A1129" s="2" t="s">
        <v>1788</v>
      </c>
      <c r="B1129" s="2" t="s">
        <v>1293</v>
      </c>
      <c r="C1129" s="1">
        <v>45780</v>
      </c>
      <c r="D1129" s="2" t="s">
        <v>45</v>
      </c>
      <c r="E1129" s="2" t="s">
        <v>55</v>
      </c>
      <c r="F1129" s="2" t="s">
        <v>47</v>
      </c>
      <c r="G1129">
        <v>2</v>
      </c>
      <c r="H1129" s="2" t="s">
        <v>48</v>
      </c>
      <c r="I1129">
        <v>164.83</v>
      </c>
      <c r="J1129">
        <v>20</v>
      </c>
      <c r="K1129">
        <v>32.97</v>
      </c>
      <c r="L1129">
        <v>21.3</v>
      </c>
      <c r="M1129">
        <v>54.15</v>
      </c>
      <c r="N1129">
        <v>0</v>
      </c>
      <c r="O1129">
        <v>4.12</v>
      </c>
      <c r="P1129" s="2" t="s">
        <v>42</v>
      </c>
      <c r="Q1129">
        <v>0</v>
      </c>
      <c r="R1129">
        <v>131.86000000000001</v>
      </c>
      <c r="S1129">
        <v>79.569999999999993</v>
      </c>
      <c r="T1129">
        <v>52.29</v>
      </c>
      <c r="U1129">
        <f t="shared" si="17"/>
        <v>0</v>
      </c>
    </row>
    <row r="1130" spans="1:21" x14ac:dyDescent="0.25">
      <c r="A1130" s="2" t="s">
        <v>1789</v>
      </c>
      <c r="B1130" s="2" t="s">
        <v>762</v>
      </c>
      <c r="C1130" s="1">
        <v>45483</v>
      </c>
      <c r="D1130" s="2" t="s">
        <v>59</v>
      </c>
      <c r="E1130" s="2" t="s">
        <v>46</v>
      </c>
      <c r="F1130" s="2" t="s">
        <v>40</v>
      </c>
      <c r="G1130">
        <v>1</v>
      </c>
      <c r="H1130" s="2" t="s">
        <v>41</v>
      </c>
      <c r="I1130">
        <v>91.57</v>
      </c>
      <c r="J1130">
        <v>5</v>
      </c>
      <c r="K1130">
        <v>4.58</v>
      </c>
      <c r="L1130">
        <v>15.5</v>
      </c>
      <c r="M1130">
        <v>26.92</v>
      </c>
      <c r="N1130">
        <v>13.05</v>
      </c>
      <c r="O1130">
        <v>2.82</v>
      </c>
      <c r="P1130" s="2" t="s">
        <v>42</v>
      </c>
      <c r="Q1130">
        <v>0</v>
      </c>
      <c r="R1130">
        <v>86.99</v>
      </c>
      <c r="S1130">
        <v>58.29</v>
      </c>
      <c r="T1130">
        <v>28.7</v>
      </c>
      <c r="U1130">
        <f t="shared" si="17"/>
        <v>0</v>
      </c>
    </row>
    <row r="1131" spans="1:21" x14ac:dyDescent="0.25">
      <c r="A1131" s="2" t="s">
        <v>1790</v>
      </c>
      <c r="B1131" s="2" t="s">
        <v>324</v>
      </c>
      <c r="C1131" s="1">
        <v>45462</v>
      </c>
      <c r="D1131" s="2" t="s">
        <v>59</v>
      </c>
      <c r="E1131" s="2" t="s">
        <v>46</v>
      </c>
      <c r="F1131" s="2" t="s">
        <v>94</v>
      </c>
      <c r="G1131">
        <v>4</v>
      </c>
      <c r="H1131" s="2" t="s">
        <v>41</v>
      </c>
      <c r="I1131">
        <v>451.05</v>
      </c>
      <c r="J1131">
        <v>25</v>
      </c>
      <c r="K1131">
        <v>112.76</v>
      </c>
      <c r="L1131">
        <v>54.04</v>
      </c>
      <c r="M1131">
        <v>153.13999999999999</v>
      </c>
      <c r="N1131">
        <v>50.74</v>
      </c>
      <c r="O1131">
        <v>10.11</v>
      </c>
      <c r="P1131" s="2" t="s">
        <v>42</v>
      </c>
      <c r="Q1131">
        <v>0</v>
      </c>
      <c r="R1131">
        <v>338.29</v>
      </c>
      <c r="S1131">
        <v>268.02999999999997</v>
      </c>
      <c r="T1131">
        <v>70.260000000000005</v>
      </c>
      <c r="U1131">
        <f t="shared" si="17"/>
        <v>0</v>
      </c>
    </row>
    <row r="1132" spans="1:21" x14ac:dyDescent="0.25">
      <c r="A1132" s="2" t="s">
        <v>1791</v>
      </c>
      <c r="B1132" s="2" t="s">
        <v>416</v>
      </c>
      <c r="C1132" s="1">
        <v>45859</v>
      </c>
      <c r="D1132" s="2" t="s">
        <v>45</v>
      </c>
      <c r="E1132" s="2" t="s">
        <v>55</v>
      </c>
      <c r="F1132" s="2" t="s">
        <v>85</v>
      </c>
      <c r="G1132">
        <v>1</v>
      </c>
      <c r="H1132" s="2" t="s">
        <v>48</v>
      </c>
      <c r="I1132">
        <v>36.6</v>
      </c>
      <c r="J1132">
        <v>15</v>
      </c>
      <c r="K1132">
        <v>5.49</v>
      </c>
      <c r="L1132">
        <v>10.62</v>
      </c>
      <c r="M1132">
        <v>14.64</v>
      </c>
      <c r="N1132">
        <v>0</v>
      </c>
      <c r="O1132">
        <v>1.2</v>
      </c>
      <c r="P1132" s="2" t="s">
        <v>42</v>
      </c>
      <c r="Q1132">
        <v>0</v>
      </c>
      <c r="R1132">
        <v>31.11</v>
      </c>
      <c r="S1132">
        <v>26.46</v>
      </c>
      <c r="T1132">
        <v>4.6500000000000004</v>
      </c>
      <c r="U1132">
        <f t="shared" si="17"/>
        <v>0</v>
      </c>
    </row>
    <row r="1133" spans="1:21" x14ac:dyDescent="0.25">
      <c r="A1133" s="2" t="s">
        <v>1792</v>
      </c>
      <c r="B1133" s="2" t="s">
        <v>66</v>
      </c>
      <c r="C1133" s="1">
        <v>45669</v>
      </c>
      <c r="D1133" s="2" t="s">
        <v>38</v>
      </c>
      <c r="E1133" s="2" t="s">
        <v>71</v>
      </c>
      <c r="F1133" s="2" t="s">
        <v>94</v>
      </c>
      <c r="G1133">
        <v>1</v>
      </c>
      <c r="H1133" s="2" t="s">
        <v>48</v>
      </c>
      <c r="I1133">
        <v>16.16</v>
      </c>
      <c r="J1133">
        <v>10</v>
      </c>
      <c r="K1133">
        <v>1.62</v>
      </c>
      <c r="L1133">
        <v>4.54</v>
      </c>
      <c r="M1133">
        <v>7.01</v>
      </c>
      <c r="N1133">
        <v>0</v>
      </c>
      <c r="O1133">
        <v>0.72</v>
      </c>
      <c r="P1133" s="2" t="s">
        <v>42</v>
      </c>
      <c r="Q1133">
        <v>0</v>
      </c>
      <c r="R1133">
        <v>14.54</v>
      </c>
      <c r="S1133">
        <v>12.27</v>
      </c>
      <c r="T1133">
        <v>2.27</v>
      </c>
      <c r="U1133">
        <f t="shared" si="17"/>
        <v>0</v>
      </c>
    </row>
    <row r="1134" spans="1:21" x14ac:dyDescent="0.25">
      <c r="A1134" s="2" t="s">
        <v>1793</v>
      </c>
      <c r="B1134" s="2" t="s">
        <v>420</v>
      </c>
      <c r="C1134" s="1">
        <v>45679</v>
      </c>
      <c r="D1134" s="2" t="s">
        <v>38</v>
      </c>
      <c r="E1134" s="2" t="s">
        <v>67</v>
      </c>
      <c r="F1134" s="2" t="s">
        <v>40</v>
      </c>
      <c r="G1134">
        <v>1</v>
      </c>
      <c r="H1134" s="2" t="s">
        <v>64</v>
      </c>
      <c r="I1134">
        <v>94.4</v>
      </c>
      <c r="J1134">
        <v>0</v>
      </c>
      <c r="K1134">
        <v>0</v>
      </c>
      <c r="L1134">
        <v>21.88</v>
      </c>
      <c r="M1134">
        <v>51.18</v>
      </c>
      <c r="N1134">
        <v>0</v>
      </c>
      <c r="O1134">
        <v>3.04</v>
      </c>
      <c r="P1134" s="2" t="s">
        <v>42</v>
      </c>
      <c r="Q1134">
        <v>0</v>
      </c>
      <c r="R1134">
        <v>94.4</v>
      </c>
      <c r="S1134">
        <v>76.099999999999994</v>
      </c>
      <c r="T1134">
        <v>18.3</v>
      </c>
      <c r="U1134">
        <f t="shared" si="17"/>
        <v>0</v>
      </c>
    </row>
    <row r="1135" spans="1:21" x14ac:dyDescent="0.25">
      <c r="A1135" s="2" t="s">
        <v>1794</v>
      </c>
      <c r="B1135" s="2" t="s">
        <v>1679</v>
      </c>
      <c r="C1135" s="1">
        <v>45878</v>
      </c>
      <c r="D1135" s="2" t="s">
        <v>45</v>
      </c>
      <c r="E1135" s="2" t="s">
        <v>71</v>
      </c>
      <c r="F1135" s="2" t="s">
        <v>85</v>
      </c>
      <c r="G1135">
        <v>3</v>
      </c>
      <c r="H1135" s="2" t="s">
        <v>77</v>
      </c>
      <c r="I1135">
        <v>245.17</v>
      </c>
      <c r="J1135">
        <v>0</v>
      </c>
      <c r="K1135">
        <v>0</v>
      </c>
      <c r="L1135">
        <v>32.78</v>
      </c>
      <c r="M1135">
        <v>128.91999999999999</v>
      </c>
      <c r="N1135">
        <v>0</v>
      </c>
      <c r="O1135">
        <v>7.41</v>
      </c>
      <c r="P1135" s="2" t="s">
        <v>42</v>
      </c>
      <c r="Q1135">
        <v>0</v>
      </c>
      <c r="R1135">
        <v>245.17</v>
      </c>
      <c r="S1135">
        <v>169.11</v>
      </c>
      <c r="T1135">
        <v>76.06</v>
      </c>
      <c r="U1135">
        <f t="shared" si="17"/>
        <v>0</v>
      </c>
    </row>
    <row r="1136" spans="1:21" x14ac:dyDescent="0.25">
      <c r="A1136" s="2" t="s">
        <v>1795</v>
      </c>
      <c r="B1136" s="2" t="s">
        <v>983</v>
      </c>
      <c r="C1136" s="1">
        <v>45841</v>
      </c>
      <c r="D1136" s="2" t="s">
        <v>45</v>
      </c>
      <c r="E1136" s="2" t="s">
        <v>67</v>
      </c>
      <c r="F1136" s="2" t="s">
        <v>94</v>
      </c>
      <c r="G1136">
        <v>2</v>
      </c>
      <c r="H1136" s="2" t="s">
        <v>56</v>
      </c>
      <c r="I1136">
        <v>102.82</v>
      </c>
      <c r="J1136">
        <v>0</v>
      </c>
      <c r="K1136">
        <v>0</v>
      </c>
      <c r="L1136">
        <v>37.86</v>
      </c>
      <c r="M1136">
        <v>55.27</v>
      </c>
      <c r="N1136">
        <v>0</v>
      </c>
      <c r="O1136">
        <v>3.28</v>
      </c>
      <c r="P1136" s="2" t="s">
        <v>42</v>
      </c>
      <c r="Q1136">
        <v>0</v>
      </c>
      <c r="R1136">
        <v>102.82</v>
      </c>
      <c r="S1136">
        <v>96.41</v>
      </c>
      <c r="T1136">
        <v>6.41</v>
      </c>
      <c r="U1136">
        <f t="shared" si="17"/>
        <v>0</v>
      </c>
    </row>
    <row r="1137" spans="1:21" x14ac:dyDescent="0.25">
      <c r="A1137" s="2" t="s">
        <v>1796</v>
      </c>
      <c r="B1137" s="2" t="s">
        <v>1797</v>
      </c>
      <c r="C1137" s="1">
        <v>45912</v>
      </c>
      <c r="D1137" s="2" t="s">
        <v>45</v>
      </c>
      <c r="E1137" s="2" t="s">
        <v>46</v>
      </c>
      <c r="F1137" s="2" t="s">
        <v>85</v>
      </c>
      <c r="G1137">
        <v>4</v>
      </c>
      <c r="H1137" s="2" t="s">
        <v>77</v>
      </c>
      <c r="I1137">
        <v>145.63999999999999</v>
      </c>
      <c r="J1137">
        <v>5</v>
      </c>
      <c r="K1137">
        <v>7.28</v>
      </c>
      <c r="L1137">
        <v>35.44</v>
      </c>
      <c r="M1137">
        <v>49.99</v>
      </c>
      <c r="N1137">
        <v>0</v>
      </c>
      <c r="O1137">
        <v>4.3099999999999996</v>
      </c>
      <c r="P1137" s="2" t="s">
        <v>42</v>
      </c>
      <c r="Q1137">
        <v>0</v>
      </c>
      <c r="R1137">
        <v>138.36000000000001</v>
      </c>
      <c r="S1137">
        <v>89.74</v>
      </c>
      <c r="T1137">
        <v>48.62</v>
      </c>
      <c r="U1137">
        <f t="shared" si="17"/>
        <v>0</v>
      </c>
    </row>
    <row r="1138" spans="1:21" x14ac:dyDescent="0.25">
      <c r="A1138" s="2" t="s">
        <v>1798</v>
      </c>
      <c r="B1138" s="2" t="s">
        <v>1799</v>
      </c>
      <c r="C1138" s="1">
        <v>45873</v>
      </c>
      <c r="D1138" s="2" t="s">
        <v>38</v>
      </c>
      <c r="E1138" s="2" t="s">
        <v>71</v>
      </c>
      <c r="F1138" s="2" t="s">
        <v>40</v>
      </c>
      <c r="G1138">
        <v>1</v>
      </c>
      <c r="H1138" s="2" t="s">
        <v>74</v>
      </c>
      <c r="I1138">
        <v>63.96</v>
      </c>
      <c r="J1138">
        <v>0</v>
      </c>
      <c r="K1138">
        <v>0</v>
      </c>
      <c r="L1138">
        <v>11.42</v>
      </c>
      <c r="M1138">
        <v>37.28</v>
      </c>
      <c r="N1138">
        <v>0</v>
      </c>
      <c r="O1138">
        <v>2.15</v>
      </c>
      <c r="P1138" s="2" t="s">
        <v>42</v>
      </c>
      <c r="Q1138">
        <v>0</v>
      </c>
      <c r="R1138">
        <v>63.96</v>
      </c>
      <c r="S1138">
        <v>50.85</v>
      </c>
      <c r="T1138">
        <v>13.11</v>
      </c>
      <c r="U1138">
        <f t="shared" si="17"/>
        <v>0</v>
      </c>
    </row>
    <row r="1139" spans="1:21" x14ac:dyDescent="0.25">
      <c r="A1139" s="2" t="s">
        <v>1800</v>
      </c>
      <c r="B1139" s="2" t="s">
        <v>1801</v>
      </c>
      <c r="C1139" s="1">
        <v>45837</v>
      </c>
      <c r="D1139" s="2" t="s">
        <v>80</v>
      </c>
      <c r="E1139" s="2" t="s">
        <v>46</v>
      </c>
      <c r="F1139" s="2" t="s">
        <v>94</v>
      </c>
      <c r="G1139">
        <v>1</v>
      </c>
      <c r="H1139" s="2" t="s">
        <v>48</v>
      </c>
      <c r="I1139">
        <v>20.45</v>
      </c>
      <c r="J1139">
        <v>20</v>
      </c>
      <c r="K1139">
        <v>4.09</v>
      </c>
      <c r="L1139">
        <v>10.220000000000001</v>
      </c>
      <c r="M1139">
        <v>7.45</v>
      </c>
      <c r="N1139">
        <v>1.31</v>
      </c>
      <c r="O1139">
        <v>0.77</v>
      </c>
      <c r="P1139" s="2" t="s">
        <v>42</v>
      </c>
      <c r="Q1139">
        <v>0</v>
      </c>
      <c r="R1139">
        <v>16.36</v>
      </c>
      <c r="S1139">
        <v>19.75</v>
      </c>
      <c r="T1139">
        <v>-3.39</v>
      </c>
      <c r="U1139">
        <f t="shared" si="17"/>
        <v>0</v>
      </c>
    </row>
    <row r="1140" spans="1:21" x14ac:dyDescent="0.25">
      <c r="A1140" s="2" t="s">
        <v>1802</v>
      </c>
      <c r="B1140" s="2" t="s">
        <v>1801</v>
      </c>
      <c r="C1140" s="1">
        <v>45559</v>
      </c>
      <c r="D1140" s="2" t="s">
        <v>38</v>
      </c>
      <c r="E1140" s="2" t="s">
        <v>55</v>
      </c>
      <c r="F1140" s="2" t="s">
        <v>40</v>
      </c>
      <c r="G1140">
        <v>1</v>
      </c>
      <c r="H1140" s="2" t="s">
        <v>56</v>
      </c>
      <c r="I1140">
        <v>13.96</v>
      </c>
      <c r="J1140">
        <v>0</v>
      </c>
      <c r="K1140">
        <v>0</v>
      </c>
      <c r="L1140">
        <v>5.18</v>
      </c>
      <c r="M1140">
        <v>7.06</v>
      </c>
      <c r="N1140">
        <v>0</v>
      </c>
      <c r="O1140">
        <v>0.7</v>
      </c>
      <c r="P1140" s="2" t="s">
        <v>42</v>
      </c>
      <c r="Q1140">
        <v>0</v>
      </c>
      <c r="R1140">
        <v>13.96</v>
      </c>
      <c r="S1140">
        <v>12.94</v>
      </c>
      <c r="T1140">
        <v>1.02</v>
      </c>
      <c r="U1140">
        <f t="shared" si="17"/>
        <v>0</v>
      </c>
    </row>
    <row r="1141" spans="1:21" x14ac:dyDescent="0.25">
      <c r="A1141" s="2" t="s">
        <v>1803</v>
      </c>
      <c r="B1141" s="2" t="s">
        <v>1541</v>
      </c>
      <c r="C1141" s="1">
        <v>45854</v>
      </c>
      <c r="D1141" s="2" t="s">
        <v>45</v>
      </c>
      <c r="E1141" s="2" t="s">
        <v>46</v>
      </c>
      <c r="F1141" s="2" t="s">
        <v>40</v>
      </c>
      <c r="G1141">
        <v>1</v>
      </c>
      <c r="H1141" s="2" t="s">
        <v>64</v>
      </c>
      <c r="I1141">
        <v>73.510000000000005</v>
      </c>
      <c r="J1141">
        <v>10</v>
      </c>
      <c r="K1141">
        <v>7.35</v>
      </c>
      <c r="L1141">
        <v>10.54</v>
      </c>
      <c r="M1141">
        <v>25.02</v>
      </c>
      <c r="N1141">
        <v>0</v>
      </c>
      <c r="O1141">
        <v>2.2200000000000002</v>
      </c>
      <c r="P1141" s="2" t="s">
        <v>42</v>
      </c>
      <c r="Q1141">
        <v>0</v>
      </c>
      <c r="R1141">
        <v>66.16</v>
      </c>
      <c r="S1141">
        <v>37.78</v>
      </c>
      <c r="T1141">
        <v>28.38</v>
      </c>
      <c r="U1141">
        <f t="shared" si="17"/>
        <v>0</v>
      </c>
    </row>
    <row r="1142" spans="1:21" x14ac:dyDescent="0.25">
      <c r="A1142" s="2" t="s">
        <v>1804</v>
      </c>
      <c r="B1142" s="2" t="s">
        <v>149</v>
      </c>
      <c r="C1142" s="1">
        <v>45636</v>
      </c>
      <c r="D1142" s="2" t="s">
        <v>45</v>
      </c>
      <c r="E1142" s="2" t="s">
        <v>46</v>
      </c>
      <c r="F1142" s="2" t="s">
        <v>94</v>
      </c>
      <c r="G1142">
        <v>1</v>
      </c>
      <c r="H1142" s="2" t="s">
        <v>74</v>
      </c>
      <c r="I1142">
        <v>52.69</v>
      </c>
      <c r="J1142">
        <v>10</v>
      </c>
      <c r="K1142">
        <v>5.27</v>
      </c>
      <c r="L1142">
        <v>5.82</v>
      </c>
      <c r="M1142">
        <v>23.14</v>
      </c>
      <c r="N1142">
        <v>0</v>
      </c>
      <c r="O1142">
        <v>1.68</v>
      </c>
      <c r="P1142" s="2" t="s">
        <v>42</v>
      </c>
      <c r="Q1142">
        <v>0</v>
      </c>
      <c r="R1142">
        <v>47.42</v>
      </c>
      <c r="S1142">
        <v>30.64</v>
      </c>
      <c r="T1142">
        <v>16.78</v>
      </c>
      <c r="U1142">
        <f t="shared" si="17"/>
        <v>0</v>
      </c>
    </row>
    <row r="1143" spans="1:21" x14ac:dyDescent="0.25">
      <c r="A1143" s="2" t="s">
        <v>1805</v>
      </c>
      <c r="B1143" s="2" t="s">
        <v>790</v>
      </c>
      <c r="C1143" s="1">
        <v>45883</v>
      </c>
      <c r="D1143" s="2" t="s">
        <v>45</v>
      </c>
      <c r="E1143" s="2" t="s">
        <v>67</v>
      </c>
      <c r="F1143" s="2" t="s">
        <v>47</v>
      </c>
      <c r="G1143">
        <v>1</v>
      </c>
      <c r="H1143" s="2" t="s">
        <v>74</v>
      </c>
      <c r="I1143">
        <v>35.64</v>
      </c>
      <c r="J1143">
        <v>5</v>
      </c>
      <c r="K1143">
        <v>1.78</v>
      </c>
      <c r="L1143">
        <v>13.18</v>
      </c>
      <c r="M1143">
        <v>10.44</v>
      </c>
      <c r="N1143">
        <v>0</v>
      </c>
      <c r="O1143">
        <v>1.28</v>
      </c>
      <c r="P1143" s="2" t="s">
        <v>42</v>
      </c>
      <c r="Q1143">
        <v>0</v>
      </c>
      <c r="R1143">
        <v>33.86</v>
      </c>
      <c r="S1143">
        <v>24.9</v>
      </c>
      <c r="T1143">
        <v>8.9600000000000009</v>
      </c>
      <c r="U1143">
        <f t="shared" si="17"/>
        <v>0</v>
      </c>
    </row>
    <row r="1144" spans="1:21" x14ac:dyDescent="0.25">
      <c r="A1144" s="2" t="s">
        <v>1806</v>
      </c>
      <c r="B1144" s="2" t="s">
        <v>1807</v>
      </c>
      <c r="C1144" s="1">
        <v>45817</v>
      </c>
      <c r="D1144" s="2" t="s">
        <v>80</v>
      </c>
      <c r="E1144" s="2" t="s">
        <v>55</v>
      </c>
      <c r="F1144" s="2" t="s">
        <v>51</v>
      </c>
      <c r="G1144">
        <v>2</v>
      </c>
      <c r="H1144" s="2" t="s">
        <v>64</v>
      </c>
      <c r="I1144">
        <v>85.49</v>
      </c>
      <c r="J1144">
        <v>5</v>
      </c>
      <c r="K1144">
        <v>4.2699999999999996</v>
      </c>
      <c r="L1144">
        <v>20.16</v>
      </c>
      <c r="M1144">
        <v>40.700000000000003</v>
      </c>
      <c r="N1144">
        <v>6.5</v>
      </c>
      <c r="O1144">
        <v>2.66</v>
      </c>
      <c r="P1144" s="2" t="s">
        <v>42</v>
      </c>
      <c r="Q1144">
        <v>0</v>
      </c>
      <c r="R1144">
        <v>81.22</v>
      </c>
      <c r="S1144">
        <v>70.02</v>
      </c>
      <c r="T1144">
        <v>11.2</v>
      </c>
      <c r="U1144">
        <f t="shared" si="17"/>
        <v>0</v>
      </c>
    </row>
    <row r="1145" spans="1:21" x14ac:dyDescent="0.25">
      <c r="A1145" s="2" t="s">
        <v>1808</v>
      </c>
      <c r="B1145" s="2" t="s">
        <v>274</v>
      </c>
      <c r="C1145" s="1">
        <v>45653</v>
      </c>
      <c r="D1145" s="2" t="s">
        <v>38</v>
      </c>
      <c r="E1145" s="2" t="s">
        <v>46</v>
      </c>
      <c r="F1145" s="2" t="s">
        <v>94</v>
      </c>
      <c r="G1145">
        <v>3</v>
      </c>
      <c r="H1145" s="2" t="s">
        <v>41</v>
      </c>
      <c r="I1145">
        <v>319.8</v>
      </c>
      <c r="J1145">
        <v>0</v>
      </c>
      <c r="K1145">
        <v>0</v>
      </c>
      <c r="L1145">
        <v>28.18</v>
      </c>
      <c r="M1145">
        <v>117.4</v>
      </c>
      <c r="N1145">
        <v>0</v>
      </c>
      <c r="O1145">
        <v>9.57</v>
      </c>
      <c r="P1145" s="2" t="s">
        <v>42</v>
      </c>
      <c r="Q1145">
        <v>0</v>
      </c>
      <c r="R1145">
        <v>319.8</v>
      </c>
      <c r="S1145">
        <v>155.15</v>
      </c>
      <c r="T1145">
        <v>164.65</v>
      </c>
      <c r="U1145">
        <f t="shared" si="17"/>
        <v>0</v>
      </c>
    </row>
    <row r="1146" spans="1:21" x14ac:dyDescent="0.25">
      <c r="A1146" s="2" t="s">
        <v>1809</v>
      </c>
      <c r="B1146" s="2" t="s">
        <v>1810</v>
      </c>
      <c r="C1146" s="1">
        <v>45691</v>
      </c>
      <c r="D1146" s="2" t="s">
        <v>38</v>
      </c>
      <c r="E1146" s="2" t="s">
        <v>55</v>
      </c>
      <c r="F1146" s="2" t="s">
        <v>40</v>
      </c>
      <c r="G1146">
        <v>2</v>
      </c>
      <c r="H1146" s="2" t="s">
        <v>77</v>
      </c>
      <c r="I1146">
        <v>96.4</v>
      </c>
      <c r="J1146">
        <v>0</v>
      </c>
      <c r="K1146">
        <v>0</v>
      </c>
      <c r="L1146">
        <v>29.22</v>
      </c>
      <c r="M1146">
        <v>36.049999999999997</v>
      </c>
      <c r="N1146">
        <v>0</v>
      </c>
      <c r="O1146">
        <v>3.1</v>
      </c>
      <c r="P1146" s="2" t="s">
        <v>68</v>
      </c>
      <c r="Q1146">
        <v>96.4</v>
      </c>
      <c r="R1146">
        <v>0</v>
      </c>
      <c r="S1146">
        <v>68.37</v>
      </c>
      <c r="T1146">
        <v>-68.37</v>
      </c>
      <c r="U1146">
        <f t="shared" si="17"/>
        <v>0</v>
      </c>
    </row>
    <row r="1147" spans="1:21" x14ac:dyDescent="0.25">
      <c r="A1147" s="2" t="s">
        <v>1811</v>
      </c>
      <c r="B1147" s="2" t="s">
        <v>100</v>
      </c>
      <c r="C1147" s="1">
        <v>45969</v>
      </c>
      <c r="D1147" s="2" t="s">
        <v>80</v>
      </c>
      <c r="E1147" s="2" t="s">
        <v>71</v>
      </c>
      <c r="F1147" s="2" t="s">
        <v>51</v>
      </c>
      <c r="G1147">
        <v>4</v>
      </c>
      <c r="H1147" s="2" t="s">
        <v>64</v>
      </c>
      <c r="I1147">
        <v>228.81</v>
      </c>
      <c r="J1147">
        <v>0</v>
      </c>
      <c r="K1147">
        <v>0</v>
      </c>
      <c r="L1147">
        <v>54.44</v>
      </c>
      <c r="M1147">
        <v>105.17</v>
      </c>
      <c r="N1147">
        <v>18.3</v>
      </c>
      <c r="O1147">
        <v>6.94</v>
      </c>
      <c r="P1147" s="2" t="s">
        <v>42</v>
      </c>
      <c r="Q1147">
        <v>0</v>
      </c>
      <c r="R1147">
        <v>228.81</v>
      </c>
      <c r="S1147">
        <v>184.85</v>
      </c>
      <c r="T1147">
        <v>43.96</v>
      </c>
      <c r="U1147">
        <f t="shared" si="17"/>
        <v>0</v>
      </c>
    </row>
    <row r="1148" spans="1:21" x14ac:dyDescent="0.25">
      <c r="A1148" s="2" t="s">
        <v>1812</v>
      </c>
      <c r="B1148" s="2" t="s">
        <v>1306</v>
      </c>
      <c r="C1148" s="1">
        <v>45809</v>
      </c>
      <c r="D1148" s="2" t="s">
        <v>38</v>
      </c>
      <c r="E1148" s="2" t="s">
        <v>71</v>
      </c>
      <c r="F1148" s="2" t="s">
        <v>94</v>
      </c>
      <c r="G1148">
        <v>1</v>
      </c>
      <c r="H1148" s="2" t="s">
        <v>74</v>
      </c>
      <c r="I1148">
        <v>41.34</v>
      </c>
      <c r="J1148">
        <v>15</v>
      </c>
      <c r="K1148">
        <v>6.2</v>
      </c>
      <c r="L1148">
        <v>11.18</v>
      </c>
      <c r="M1148">
        <v>21.84</v>
      </c>
      <c r="N1148">
        <v>0</v>
      </c>
      <c r="O1148">
        <v>1.32</v>
      </c>
      <c r="P1148" s="2" t="s">
        <v>42</v>
      </c>
      <c r="Q1148">
        <v>0</v>
      </c>
      <c r="R1148">
        <v>35.14</v>
      </c>
      <c r="S1148">
        <v>34.340000000000003</v>
      </c>
      <c r="T1148">
        <v>0.8</v>
      </c>
      <c r="U1148">
        <f t="shared" si="17"/>
        <v>1</v>
      </c>
    </row>
    <row r="1149" spans="1:21" x14ac:dyDescent="0.25">
      <c r="A1149" s="2" t="s">
        <v>1813</v>
      </c>
      <c r="B1149" s="2" t="s">
        <v>1814</v>
      </c>
      <c r="C1149" s="1">
        <v>45973</v>
      </c>
      <c r="D1149" s="2" t="s">
        <v>45</v>
      </c>
      <c r="E1149" s="2" t="s">
        <v>46</v>
      </c>
      <c r="F1149" s="2" t="s">
        <v>94</v>
      </c>
      <c r="G1149">
        <v>2</v>
      </c>
      <c r="H1149" s="2" t="s">
        <v>56</v>
      </c>
      <c r="I1149">
        <v>310.83999999999997</v>
      </c>
      <c r="J1149">
        <v>0</v>
      </c>
      <c r="K1149">
        <v>0</v>
      </c>
      <c r="L1149">
        <v>24.58</v>
      </c>
      <c r="M1149">
        <v>94.94</v>
      </c>
      <c r="N1149">
        <v>0</v>
      </c>
      <c r="O1149">
        <v>9.31</v>
      </c>
      <c r="P1149" s="2" t="s">
        <v>42</v>
      </c>
      <c r="Q1149">
        <v>0</v>
      </c>
      <c r="R1149">
        <v>310.83999999999997</v>
      </c>
      <c r="S1149">
        <v>128.83000000000001</v>
      </c>
      <c r="T1149">
        <v>182.01</v>
      </c>
      <c r="U1149">
        <f t="shared" si="17"/>
        <v>0</v>
      </c>
    </row>
    <row r="1150" spans="1:21" x14ac:dyDescent="0.25">
      <c r="A1150" s="2" t="s">
        <v>1815</v>
      </c>
      <c r="B1150" s="2" t="s">
        <v>1070</v>
      </c>
      <c r="C1150" s="1">
        <v>45738</v>
      </c>
      <c r="D1150" s="2" t="s">
        <v>45</v>
      </c>
      <c r="E1150" s="2" t="s">
        <v>46</v>
      </c>
      <c r="F1150" s="2" t="s">
        <v>51</v>
      </c>
      <c r="G1150">
        <v>1</v>
      </c>
      <c r="H1150" s="2" t="s">
        <v>111</v>
      </c>
      <c r="I1150">
        <v>62.18</v>
      </c>
      <c r="J1150">
        <v>0</v>
      </c>
      <c r="K1150">
        <v>0</v>
      </c>
      <c r="L1150">
        <v>6.06</v>
      </c>
      <c r="M1150">
        <v>26.96</v>
      </c>
      <c r="N1150">
        <v>0</v>
      </c>
      <c r="O1150">
        <v>2.1</v>
      </c>
      <c r="P1150" s="2" t="s">
        <v>42</v>
      </c>
      <c r="Q1150">
        <v>0</v>
      </c>
      <c r="R1150">
        <v>62.18</v>
      </c>
      <c r="S1150">
        <v>35.119999999999997</v>
      </c>
      <c r="T1150">
        <v>27.06</v>
      </c>
      <c r="U1150">
        <f t="shared" si="17"/>
        <v>0</v>
      </c>
    </row>
    <row r="1151" spans="1:21" x14ac:dyDescent="0.25">
      <c r="A1151" s="2" t="s">
        <v>1816</v>
      </c>
      <c r="B1151" s="2" t="s">
        <v>1817</v>
      </c>
      <c r="C1151" s="1">
        <v>45960</v>
      </c>
      <c r="D1151" s="2" t="s">
        <v>45</v>
      </c>
      <c r="E1151" s="2" t="s">
        <v>39</v>
      </c>
      <c r="F1151" s="2" t="s">
        <v>94</v>
      </c>
      <c r="G1151">
        <v>3</v>
      </c>
      <c r="H1151" s="2" t="s">
        <v>41</v>
      </c>
      <c r="I1151">
        <v>128.85</v>
      </c>
      <c r="J1151">
        <v>0</v>
      </c>
      <c r="K1151">
        <v>0</v>
      </c>
      <c r="L1151">
        <v>65.400000000000006</v>
      </c>
      <c r="M1151">
        <v>71.959999999999994</v>
      </c>
      <c r="N1151">
        <v>0</v>
      </c>
      <c r="O1151">
        <v>4.04</v>
      </c>
      <c r="P1151" s="2" t="s">
        <v>42</v>
      </c>
      <c r="Q1151">
        <v>0</v>
      </c>
      <c r="R1151">
        <v>128.85</v>
      </c>
      <c r="S1151">
        <v>141.4</v>
      </c>
      <c r="T1151">
        <v>-12.55</v>
      </c>
      <c r="U1151">
        <f t="shared" si="17"/>
        <v>0</v>
      </c>
    </row>
    <row r="1152" spans="1:21" x14ac:dyDescent="0.25">
      <c r="A1152" s="2" t="s">
        <v>1818</v>
      </c>
      <c r="B1152" s="2" t="s">
        <v>950</v>
      </c>
      <c r="C1152" s="1">
        <v>45844</v>
      </c>
      <c r="D1152" s="2" t="s">
        <v>45</v>
      </c>
      <c r="E1152" s="2" t="s">
        <v>39</v>
      </c>
      <c r="F1152" s="2" t="s">
        <v>40</v>
      </c>
      <c r="G1152">
        <v>1</v>
      </c>
      <c r="H1152" s="2" t="s">
        <v>52</v>
      </c>
      <c r="I1152">
        <v>45.16</v>
      </c>
      <c r="J1152">
        <v>20</v>
      </c>
      <c r="K1152">
        <v>9.0299999999999994</v>
      </c>
      <c r="L1152">
        <v>9.9</v>
      </c>
      <c r="M1152">
        <v>21.86</v>
      </c>
      <c r="N1152">
        <v>0</v>
      </c>
      <c r="O1152">
        <v>1.35</v>
      </c>
      <c r="P1152" s="2" t="s">
        <v>42</v>
      </c>
      <c r="Q1152">
        <v>0</v>
      </c>
      <c r="R1152">
        <v>36.130000000000003</v>
      </c>
      <c r="S1152">
        <v>33.11</v>
      </c>
      <c r="T1152">
        <v>3.02</v>
      </c>
      <c r="U1152">
        <f t="shared" si="17"/>
        <v>0</v>
      </c>
    </row>
    <row r="1153" spans="1:21" x14ac:dyDescent="0.25">
      <c r="A1153" s="2" t="s">
        <v>1819</v>
      </c>
      <c r="B1153" s="2" t="s">
        <v>163</v>
      </c>
      <c r="C1153" s="1">
        <v>45642</v>
      </c>
      <c r="D1153" s="2" t="s">
        <v>38</v>
      </c>
      <c r="E1153" s="2" t="s">
        <v>46</v>
      </c>
      <c r="F1153" s="2" t="s">
        <v>85</v>
      </c>
      <c r="G1153">
        <v>1</v>
      </c>
      <c r="H1153" s="2" t="s">
        <v>41</v>
      </c>
      <c r="I1153">
        <v>78.790000000000006</v>
      </c>
      <c r="J1153">
        <v>0</v>
      </c>
      <c r="K1153">
        <v>0</v>
      </c>
      <c r="L1153">
        <v>13.5</v>
      </c>
      <c r="M1153">
        <v>31.36</v>
      </c>
      <c r="N1153">
        <v>0</v>
      </c>
      <c r="O1153">
        <v>2.58</v>
      </c>
      <c r="P1153" s="2" t="s">
        <v>42</v>
      </c>
      <c r="Q1153">
        <v>0</v>
      </c>
      <c r="R1153">
        <v>78.790000000000006</v>
      </c>
      <c r="S1153">
        <v>47.44</v>
      </c>
      <c r="T1153">
        <v>31.35</v>
      </c>
      <c r="U1153">
        <f t="shared" si="17"/>
        <v>0</v>
      </c>
    </row>
    <row r="1154" spans="1:21" x14ac:dyDescent="0.25">
      <c r="A1154" s="2" t="s">
        <v>1820</v>
      </c>
      <c r="B1154" s="2" t="s">
        <v>1456</v>
      </c>
      <c r="C1154" s="1">
        <v>45555</v>
      </c>
      <c r="D1154" s="2" t="s">
        <v>45</v>
      </c>
      <c r="E1154" s="2" t="s">
        <v>46</v>
      </c>
      <c r="F1154" s="2" t="s">
        <v>51</v>
      </c>
      <c r="G1154">
        <v>1</v>
      </c>
      <c r="H1154" s="2" t="s">
        <v>74</v>
      </c>
      <c r="I1154">
        <v>27.84</v>
      </c>
      <c r="J1154">
        <v>0</v>
      </c>
      <c r="K1154">
        <v>0</v>
      </c>
      <c r="L1154">
        <v>7.42</v>
      </c>
      <c r="M1154">
        <v>8.24</v>
      </c>
      <c r="N1154">
        <v>0</v>
      </c>
      <c r="O1154">
        <v>1.1100000000000001</v>
      </c>
      <c r="P1154" s="2" t="s">
        <v>42</v>
      </c>
      <c r="Q1154">
        <v>0</v>
      </c>
      <c r="R1154">
        <v>27.84</v>
      </c>
      <c r="S1154">
        <v>16.77</v>
      </c>
      <c r="T1154">
        <v>11.07</v>
      </c>
      <c r="U1154">
        <f t="shared" si="17"/>
        <v>0</v>
      </c>
    </row>
    <row r="1155" spans="1:21" x14ac:dyDescent="0.25">
      <c r="A1155" s="2" t="s">
        <v>1821</v>
      </c>
      <c r="B1155" s="2" t="s">
        <v>583</v>
      </c>
      <c r="C1155" s="1">
        <v>45759</v>
      </c>
      <c r="D1155" s="2" t="s">
        <v>38</v>
      </c>
      <c r="E1155" s="2" t="s">
        <v>71</v>
      </c>
      <c r="F1155" s="2" t="s">
        <v>47</v>
      </c>
      <c r="G1155">
        <v>2</v>
      </c>
      <c r="H1155" s="2" t="s">
        <v>64</v>
      </c>
      <c r="I1155">
        <v>119.1</v>
      </c>
      <c r="J1155">
        <v>0</v>
      </c>
      <c r="K1155">
        <v>0</v>
      </c>
      <c r="L1155">
        <v>19.559999999999999</v>
      </c>
      <c r="M1155">
        <v>46.76</v>
      </c>
      <c r="N1155">
        <v>0</v>
      </c>
      <c r="O1155">
        <v>3.75</v>
      </c>
      <c r="P1155" s="2" t="s">
        <v>42</v>
      </c>
      <c r="Q1155">
        <v>0</v>
      </c>
      <c r="R1155">
        <v>119.1</v>
      </c>
      <c r="S1155">
        <v>70.069999999999993</v>
      </c>
      <c r="T1155">
        <v>49.03</v>
      </c>
      <c r="U1155">
        <f t="shared" si="17"/>
        <v>0</v>
      </c>
    </row>
    <row r="1156" spans="1:21" x14ac:dyDescent="0.25">
      <c r="A1156" s="2" t="s">
        <v>1822</v>
      </c>
      <c r="B1156" s="2" t="s">
        <v>125</v>
      </c>
      <c r="C1156" s="1">
        <v>45831</v>
      </c>
      <c r="D1156" s="2" t="s">
        <v>45</v>
      </c>
      <c r="E1156" s="2" t="s">
        <v>39</v>
      </c>
      <c r="F1156" s="2" t="s">
        <v>47</v>
      </c>
      <c r="G1156">
        <v>1</v>
      </c>
      <c r="H1156" s="2" t="s">
        <v>48</v>
      </c>
      <c r="I1156">
        <v>17.62</v>
      </c>
      <c r="J1156">
        <v>0</v>
      </c>
      <c r="K1156">
        <v>0</v>
      </c>
      <c r="L1156">
        <v>11.66</v>
      </c>
      <c r="M1156">
        <v>8.5299999999999994</v>
      </c>
      <c r="N1156">
        <v>0</v>
      </c>
      <c r="O1156">
        <v>0.81</v>
      </c>
      <c r="P1156" s="2" t="s">
        <v>42</v>
      </c>
      <c r="Q1156">
        <v>0</v>
      </c>
      <c r="R1156">
        <v>17.62</v>
      </c>
      <c r="S1156">
        <v>21</v>
      </c>
      <c r="T1156">
        <v>-3.38</v>
      </c>
      <c r="U1156">
        <f t="shared" si="17"/>
        <v>0</v>
      </c>
    </row>
    <row r="1157" spans="1:21" x14ac:dyDescent="0.25">
      <c r="A1157" s="2" t="s">
        <v>1823</v>
      </c>
      <c r="B1157" s="2" t="s">
        <v>642</v>
      </c>
      <c r="C1157" s="1">
        <v>45533</v>
      </c>
      <c r="D1157" s="2" t="s">
        <v>45</v>
      </c>
      <c r="E1157" s="2" t="s">
        <v>46</v>
      </c>
      <c r="F1157" s="2" t="s">
        <v>85</v>
      </c>
      <c r="G1157">
        <v>2</v>
      </c>
      <c r="H1157" s="2" t="s">
        <v>64</v>
      </c>
      <c r="I1157">
        <v>87.85</v>
      </c>
      <c r="J1157">
        <v>20</v>
      </c>
      <c r="K1157">
        <v>17.57</v>
      </c>
      <c r="L1157">
        <v>43.14</v>
      </c>
      <c r="M1157">
        <v>36.56</v>
      </c>
      <c r="N1157">
        <v>0</v>
      </c>
      <c r="O1157">
        <v>2.34</v>
      </c>
      <c r="P1157" s="2" t="s">
        <v>42</v>
      </c>
      <c r="Q1157">
        <v>0</v>
      </c>
      <c r="R1157">
        <v>70.28</v>
      </c>
      <c r="S1157">
        <v>82.04</v>
      </c>
      <c r="T1157">
        <v>-11.76</v>
      </c>
      <c r="U1157">
        <f t="shared" ref="U1157:U1220" si="18">IF(P1155="Yes", 1, 0)</f>
        <v>0</v>
      </c>
    </row>
    <row r="1158" spans="1:21" x14ac:dyDescent="0.25">
      <c r="A1158" s="2" t="s">
        <v>1824</v>
      </c>
      <c r="B1158" s="2" t="s">
        <v>1152</v>
      </c>
      <c r="C1158" s="1">
        <v>45412</v>
      </c>
      <c r="D1158" s="2" t="s">
        <v>38</v>
      </c>
      <c r="E1158" s="2" t="s">
        <v>71</v>
      </c>
      <c r="F1158" s="2" t="s">
        <v>94</v>
      </c>
      <c r="G1158">
        <v>5</v>
      </c>
      <c r="H1158" s="2" t="s">
        <v>41</v>
      </c>
      <c r="I1158">
        <v>541.83000000000004</v>
      </c>
      <c r="J1158">
        <v>0</v>
      </c>
      <c r="K1158">
        <v>0</v>
      </c>
      <c r="L1158">
        <v>76</v>
      </c>
      <c r="M1158">
        <v>197.75</v>
      </c>
      <c r="N1158">
        <v>0</v>
      </c>
      <c r="O1158">
        <v>16.010000000000002</v>
      </c>
      <c r="P1158" s="2" t="s">
        <v>42</v>
      </c>
      <c r="Q1158">
        <v>0</v>
      </c>
      <c r="R1158">
        <v>541.83000000000004</v>
      </c>
      <c r="S1158">
        <v>289.76</v>
      </c>
      <c r="T1158">
        <v>252.07</v>
      </c>
      <c r="U1158">
        <f t="shared" si="18"/>
        <v>0</v>
      </c>
    </row>
    <row r="1159" spans="1:21" x14ac:dyDescent="0.25">
      <c r="A1159" s="2" t="s">
        <v>1825</v>
      </c>
      <c r="B1159" s="2" t="s">
        <v>1055</v>
      </c>
      <c r="C1159" s="1">
        <v>45894</v>
      </c>
      <c r="D1159" s="2" t="s">
        <v>80</v>
      </c>
      <c r="E1159" s="2" t="s">
        <v>71</v>
      </c>
      <c r="F1159" s="2" t="s">
        <v>94</v>
      </c>
      <c r="G1159">
        <v>1</v>
      </c>
      <c r="H1159" s="2" t="s">
        <v>48</v>
      </c>
      <c r="I1159">
        <v>18.829999999999998</v>
      </c>
      <c r="J1159">
        <v>0</v>
      </c>
      <c r="K1159">
        <v>0</v>
      </c>
      <c r="L1159">
        <v>9.9</v>
      </c>
      <c r="M1159">
        <v>11.04</v>
      </c>
      <c r="N1159">
        <v>1.51</v>
      </c>
      <c r="O1159">
        <v>0.85</v>
      </c>
      <c r="P1159" s="2" t="s">
        <v>42</v>
      </c>
      <c r="Q1159">
        <v>0</v>
      </c>
      <c r="R1159">
        <v>18.829999999999998</v>
      </c>
      <c r="S1159">
        <v>23.3</v>
      </c>
      <c r="T1159">
        <v>-4.47</v>
      </c>
      <c r="U1159">
        <f t="shared" si="18"/>
        <v>0</v>
      </c>
    </row>
    <row r="1160" spans="1:21" x14ac:dyDescent="0.25">
      <c r="A1160" s="2" t="s">
        <v>1826</v>
      </c>
      <c r="B1160" s="2" t="s">
        <v>376</v>
      </c>
      <c r="C1160" s="1">
        <v>45819</v>
      </c>
      <c r="D1160" s="2" t="s">
        <v>45</v>
      </c>
      <c r="E1160" s="2" t="s">
        <v>71</v>
      </c>
      <c r="F1160" s="2" t="s">
        <v>40</v>
      </c>
      <c r="G1160">
        <v>1</v>
      </c>
      <c r="H1160" s="2" t="s">
        <v>52</v>
      </c>
      <c r="I1160">
        <v>168.08</v>
      </c>
      <c r="J1160">
        <v>20</v>
      </c>
      <c r="K1160">
        <v>33.619999999999997</v>
      </c>
      <c r="L1160">
        <v>8.44</v>
      </c>
      <c r="M1160">
        <v>51.94</v>
      </c>
      <c r="N1160">
        <v>0</v>
      </c>
      <c r="O1160">
        <v>4.2</v>
      </c>
      <c r="P1160" s="2" t="s">
        <v>42</v>
      </c>
      <c r="Q1160">
        <v>0</v>
      </c>
      <c r="R1160">
        <v>134.46</v>
      </c>
      <c r="S1160">
        <v>64.58</v>
      </c>
      <c r="T1160">
        <v>69.88</v>
      </c>
      <c r="U1160">
        <f t="shared" si="18"/>
        <v>0</v>
      </c>
    </row>
    <row r="1161" spans="1:21" x14ac:dyDescent="0.25">
      <c r="A1161" s="2" t="s">
        <v>1827</v>
      </c>
      <c r="B1161" s="2" t="s">
        <v>1784</v>
      </c>
      <c r="C1161" s="1">
        <v>45557</v>
      </c>
      <c r="D1161" s="2" t="s">
        <v>59</v>
      </c>
      <c r="E1161" s="2" t="s">
        <v>67</v>
      </c>
      <c r="F1161" s="2" t="s">
        <v>40</v>
      </c>
      <c r="G1161">
        <v>1</v>
      </c>
      <c r="H1161" s="2" t="s">
        <v>74</v>
      </c>
      <c r="I1161">
        <v>50.95</v>
      </c>
      <c r="J1161">
        <v>25</v>
      </c>
      <c r="K1161">
        <v>12.74</v>
      </c>
      <c r="L1161">
        <v>14.38</v>
      </c>
      <c r="M1161">
        <v>18.739999999999998</v>
      </c>
      <c r="N1161">
        <v>5.73</v>
      </c>
      <c r="O1161">
        <v>1.41</v>
      </c>
      <c r="P1161" s="2" t="s">
        <v>42</v>
      </c>
      <c r="Q1161">
        <v>0</v>
      </c>
      <c r="R1161">
        <v>38.21</v>
      </c>
      <c r="S1161">
        <v>40.26</v>
      </c>
      <c r="T1161">
        <v>-2.0499999999999998</v>
      </c>
      <c r="U1161">
        <f t="shared" si="18"/>
        <v>0</v>
      </c>
    </row>
    <row r="1162" spans="1:21" x14ac:dyDescent="0.25">
      <c r="A1162" s="2" t="s">
        <v>1828</v>
      </c>
      <c r="B1162" s="2" t="s">
        <v>603</v>
      </c>
      <c r="C1162" s="1">
        <v>45859</v>
      </c>
      <c r="D1162" s="2" t="s">
        <v>59</v>
      </c>
      <c r="E1162" s="2" t="s">
        <v>71</v>
      </c>
      <c r="F1162" s="2" t="s">
        <v>47</v>
      </c>
      <c r="G1162">
        <v>3</v>
      </c>
      <c r="H1162" s="2" t="s">
        <v>111</v>
      </c>
      <c r="I1162">
        <v>268.01</v>
      </c>
      <c r="J1162">
        <v>0</v>
      </c>
      <c r="K1162">
        <v>0</v>
      </c>
      <c r="L1162">
        <v>30.74</v>
      </c>
      <c r="M1162">
        <v>91.05</v>
      </c>
      <c r="N1162">
        <v>40.200000000000003</v>
      </c>
      <c r="O1162">
        <v>8.07</v>
      </c>
      <c r="P1162" s="2" t="s">
        <v>68</v>
      </c>
      <c r="Q1162">
        <v>268.01</v>
      </c>
      <c r="R1162">
        <v>0</v>
      </c>
      <c r="S1162">
        <v>170.06</v>
      </c>
      <c r="T1162">
        <v>-170.06</v>
      </c>
      <c r="U1162">
        <f t="shared" si="18"/>
        <v>0</v>
      </c>
    </row>
    <row r="1163" spans="1:21" x14ac:dyDescent="0.25">
      <c r="A1163" s="2" t="s">
        <v>1829</v>
      </c>
      <c r="B1163" s="2" t="s">
        <v>1830</v>
      </c>
      <c r="C1163" s="1">
        <v>45841</v>
      </c>
      <c r="D1163" s="2" t="s">
        <v>59</v>
      </c>
      <c r="E1163" s="2" t="s">
        <v>46</v>
      </c>
      <c r="F1163" s="2" t="s">
        <v>40</v>
      </c>
      <c r="G1163">
        <v>1</v>
      </c>
      <c r="H1163" s="2" t="s">
        <v>56</v>
      </c>
      <c r="I1163">
        <v>53.21</v>
      </c>
      <c r="J1163">
        <v>15</v>
      </c>
      <c r="K1163">
        <v>7.98</v>
      </c>
      <c r="L1163">
        <v>3.98</v>
      </c>
      <c r="M1163">
        <v>36.39</v>
      </c>
      <c r="N1163">
        <v>6.78</v>
      </c>
      <c r="O1163">
        <v>1.61</v>
      </c>
      <c r="P1163" s="2" t="s">
        <v>42</v>
      </c>
      <c r="Q1163">
        <v>0</v>
      </c>
      <c r="R1163">
        <v>45.23</v>
      </c>
      <c r="S1163">
        <v>48.76</v>
      </c>
      <c r="T1163">
        <v>-3.53</v>
      </c>
      <c r="U1163">
        <f t="shared" si="18"/>
        <v>0</v>
      </c>
    </row>
    <row r="1164" spans="1:21" x14ac:dyDescent="0.25">
      <c r="A1164" s="2" t="s">
        <v>1831</v>
      </c>
      <c r="B1164" s="2" t="s">
        <v>1517</v>
      </c>
      <c r="C1164" s="1">
        <v>45797</v>
      </c>
      <c r="D1164" s="2" t="s">
        <v>80</v>
      </c>
      <c r="E1164" s="2" t="s">
        <v>55</v>
      </c>
      <c r="F1164" s="2" t="s">
        <v>51</v>
      </c>
      <c r="G1164">
        <v>3</v>
      </c>
      <c r="H1164" s="2" t="s">
        <v>77</v>
      </c>
      <c r="I1164">
        <v>106.82</v>
      </c>
      <c r="J1164">
        <v>10</v>
      </c>
      <c r="K1164">
        <v>10.68</v>
      </c>
      <c r="L1164">
        <v>38.9</v>
      </c>
      <c r="M1164">
        <v>39.299999999999997</v>
      </c>
      <c r="N1164">
        <v>7.69</v>
      </c>
      <c r="O1164">
        <v>3.09</v>
      </c>
      <c r="P1164" s="2" t="s">
        <v>42</v>
      </c>
      <c r="Q1164">
        <v>0</v>
      </c>
      <c r="R1164">
        <v>96.14</v>
      </c>
      <c r="S1164">
        <v>88.98</v>
      </c>
      <c r="T1164">
        <v>7.16</v>
      </c>
      <c r="U1164">
        <f t="shared" si="18"/>
        <v>1</v>
      </c>
    </row>
    <row r="1165" spans="1:21" x14ac:dyDescent="0.25">
      <c r="A1165" s="2" t="s">
        <v>1832</v>
      </c>
      <c r="B1165" s="2" t="s">
        <v>1833</v>
      </c>
      <c r="C1165" s="1">
        <v>45963</v>
      </c>
      <c r="D1165" s="2" t="s">
        <v>45</v>
      </c>
      <c r="E1165" s="2" t="s">
        <v>39</v>
      </c>
      <c r="F1165" s="2" t="s">
        <v>94</v>
      </c>
      <c r="G1165">
        <v>2</v>
      </c>
      <c r="H1165" s="2" t="s">
        <v>74</v>
      </c>
      <c r="I1165">
        <v>228.02</v>
      </c>
      <c r="J1165">
        <v>5</v>
      </c>
      <c r="K1165">
        <v>11.4</v>
      </c>
      <c r="L1165">
        <v>23.24</v>
      </c>
      <c r="M1165">
        <v>83.03</v>
      </c>
      <c r="N1165">
        <v>0</v>
      </c>
      <c r="O1165">
        <v>6.58</v>
      </c>
      <c r="P1165" s="2" t="s">
        <v>42</v>
      </c>
      <c r="Q1165">
        <v>0</v>
      </c>
      <c r="R1165">
        <v>216.62</v>
      </c>
      <c r="S1165">
        <v>112.85</v>
      </c>
      <c r="T1165">
        <v>103.77</v>
      </c>
      <c r="U1165">
        <f t="shared" si="18"/>
        <v>0</v>
      </c>
    </row>
    <row r="1166" spans="1:21" x14ac:dyDescent="0.25">
      <c r="A1166" s="2" t="s">
        <v>1834</v>
      </c>
      <c r="B1166" s="2" t="s">
        <v>264</v>
      </c>
      <c r="C1166" s="1">
        <v>45798</v>
      </c>
      <c r="D1166" s="2" t="s">
        <v>59</v>
      </c>
      <c r="E1166" s="2" t="s">
        <v>39</v>
      </c>
      <c r="F1166" s="2" t="s">
        <v>85</v>
      </c>
      <c r="G1166">
        <v>2</v>
      </c>
      <c r="H1166" s="2" t="s">
        <v>41</v>
      </c>
      <c r="I1166">
        <v>276.70999999999998</v>
      </c>
      <c r="J1166">
        <v>0</v>
      </c>
      <c r="K1166">
        <v>0</v>
      </c>
      <c r="L1166">
        <v>15.48</v>
      </c>
      <c r="M1166">
        <v>107.05</v>
      </c>
      <c r="N1166">
        <v>41.51</v>
      </c>
      <c r="O1166">
        <v>8.32</v>
      </c>
      <c r="P1166" s="2" t="s">
        <v>42</v>
      </c>
      <c r="Q1166">
        <v>0</v>
      </c>
      <c r="R1166">
        <v>276.70999999999998</v>
      </c>
      <c r="S1166">
        <v>172.36</v>
      </c>
      <c r="T1166">
        <v>104.35</v>
      </c>
      <c r="U1166">
        <f t="shared" si="18"/>
        <v>0</v>
      </c>
    </row>
    <row r="1167" spans="1:21" x14ac:dyDescent="0.25">
      <c r="A1167" s="2" t="s">
        <v>1835</v>
      </c>
      <c r="B1167" s="2" t="s">
        <v>1836</v>
      </c>
      <c r="C1167" s="1">
        <v>45828</v>
      </c>
      <c r="D1167" s="2" t="s">
        <v>45</v>
      </c>
      <c r="E1167" s="2" t="s">
        <v>67</v>
      </c>
      <c r="F1167" s="2" t="s">
        <v>51</v>
      </c>
      <c r="G1167">
        <v>1</v>
      </c>
      <c r="H1167" s="2" t="s">
        <v>64</v>
      </c>
      <c r="I1167">
        <v>40.89</v>
      </c>
      <c r="J1167">
        <v>10</v>
      </c>
      <c r="K1167">
        <v>4.09</v>
      </c>
      <c r="L1167">
        <v>15.1</v>
      </c>
      <c r="M1167">
        <v>16.21</v>
      </c>
      <c r="N1167">
        <v>0</v>
      </c>
      <c r="O1167">
        <v>1.37</v>
      </c>
      <c r="P1167" s="2" t="s">
        <v>42</v>
      </c>
      <c r="Q1167">
        <v>0</v>
      </c>
      <c r="R1167">
        <v>36.799999999999997</v>
      </c>
      <c r="S1167">
        <v>32.68</v>
      </c>
      <c r="T1167">
        <v>4.12</v>
      </c>
      <c r="U1167">
        <f t="shared" si="18"/>
        <v>0</v>
      </c>
    </row>
    <row r="1168" spans="1:21" x14ac:dyDescent="0.25">
      <c r="A1168" s="2" t="s">
        <v>1837</v>
      </c>
      <c r="B1168" s="2" t="s">
        <v>253</v>
      </c>
      <c r="C1168" s="1">
        <v>45666</v>
      </c>
      <c r="D1168" s="2" t="s">
        <v>45</v>
      </c>
      <c r="E1168" s="2" t="s">
        <v>46</v>
      </c>
      <c r="F1168" s="2" t="s">
        <v>85</v>
      </c>
      <c r="G1168">
        <v>2</v>
      </c>
      <c r="H1168" s="2" t="s">
        <v>77</v>
      </c>
      <c r="I1168">
        <v>66.11</v>
      </c>
      <c r="J1168">
        <v>20</v>
      </c>
      <c r="K1168">
        <v>13.22</v>
      </c>
      <c r="L1168">
        <v>15.8</v>
      </c>
      <c r="M1168">
        <v>25.44</v>
      </c>
      <c r="N1168">
        <v>0</v>
      </c>
      <c r="O1168">
        <v>1.83</v>
      </c>
      <c r="P1168" s="2" t="s">
        <v>42</v>
      </c>
      <c r="Q1168">
        <v>0</v>
      </c>
      <c r="R1168">
        <v>52.89</v>
      </c>
      <c r="S1168">
        <v>43.07</v>
      </c>
      <c r="T1168">
        <v>9.82</v>
      </c>
      <c r="U1168">
        <f t="shared" si="18"/>
        <v>0</v>
      </c>
    </row>
    <row r="1169" spans="1:21" x14ac:dyDescent="0.25">
      <c r="A1169" s="2" t="s">
        <v>1838</v>
      </c>
      <c r="B1169" s="2" t="s">
        <v>1839</v>
      </c>
      <c r="C1169" s="1">
        <v>45856</v>
      </c>
      <c r="D1169" s="2" t="s">
        <v>38</v>
      </c>
      <c r="E1169" s="2" t="s">
        <v>46</v>
      </c>
      <c r="F1169" s="2" t="s">
        <v>85</v>
      </c>
      <c r="G1169">
        <v>1</v>
      </c>
      <c r="H1169" s="2" t="s">
        <v>56</v>
      </c>
      <c r="I1169">
        <v>124.64</v>
      </c>
      <c r="J1169">
        <v>5</v>
      </c>
      <c r="K1169">
        <v>6.23</v>
      </c>
      <c r="L1169">
        <v>26.36</v>
      </c>
      <c r="M1169">
        <v>69.58</v>
      </c>
      <c r="N1169">
        <v>0</v>
      </c>
      <c r="O1169">
        <v>3.73</v>
      </c>
      <c r="P1169" s="2" t="s">
        <v>42</v>
      </c>
      <c r="Q1169">
        <v>0</v>
      </c>
      <c r="R1169">
        <v>118.41</v>
      </c>
      <c r="S1169">
        <v>99.67</v>
      </c>
      <c r="T1169">
        <v>18.739999999999998</v>
      </c>
      <c r="U1169">
        <f t="shared" si="18"/>
        <v>0</v>
      </c>
    </row>
    <row r="1170" spans="1:21" x14ac:dyDescent="0.25">
      <c r="A1170" s="2" t="s">
        <v>1840</v>
      </c>
      <c r="B1170" s="2" t="s">
        <v>1841</v>
      </c>
      <c r="C1170" s="1">
        <v>45951</v>
      </c>
      <c r="D1170" s="2" t="s">
        <v>38</v>
      </c>
      <c r="E1170" s="2" t="s">
        <v>46</v>
      </c>
      <c r="F1170" s="2" t="s">
        <v>85</v>
      </c>
      <c r="G1170">
        <v>1</v>
      </c>
      <c r="H1170" s="2" t="s">
        <v>74</v>
      </c>
      <c r="I1170">
        <v>111.44</v>
      </c>
      <c r="J1170">
        <v>5</v>
      </c>
      <c r="K1170">
        <v>5.57</v>
      </c>
      <c r="L1170">
        <v>9.02</v>
      </c>
      <c r="M1170">
        <v>36.340000000000003</v>
      </c>
      <c r="N1170">
        <v>0</v>
      </c>
      <c r="O1170">
        <v>3.37</v>
      </c>
      <c r="P1170" s="2" t="s">
        <v>42</v>
      </c>
      <c r="Q1170">
        <v>0</v>
      </c>
      <c r="R1170">
        <v>105.87</v>
      </c>
      <c r="S1170">
        <v>48.73</v>
      </c>
      <c r="T1170">
        <v>57.14</v>
      </c>
      <c r="U1170">
        <f t="shared" si="18"/>
        <v>0</v>
      </c>
    </row>
    <row r="1171" spans="1:21" x14ac:dyDescent="0.25">
      <c r="A1171" s="2" t="s">
        <v>1842</v>
      </c>
      <c r="B1171" s="2" t="s">
        <v>1799</v>
      </c>
      <c r="C1171" s="1">
        <v>45505</v>
      </c>
      <c r="D1171" s="2" t="s">
        <v>80</v>
      </c>
      <c r="E1171" s="2" t="s">
        <v>46</v>
      </c>
      <c r="F1171" s="2" t="s">
        <v>94</v>
      </c>
      <c r="G1171">
        <v>1</v>
      </c>
      <c r="H1171" s="2" t="s">
        <v>48</v>
      </c>
      <c r="I1171">
        <v>25.01</v>
      </c>
      <c r="J1171">
        <v>0</v>
      </c>
      <c r="K1171">
        <v>0</v>
      </c>
      <c r="L1171">
        <v>7.9</v>
      </c>
      <c r="M1171">
        <v>9.01</v>
      </c>
      <c r="N1171">
        <v>2</v>
      </c>
      <c r="O1171">
        <v>1.03</v>
      </c>
      <c r="P1171" s="2" t="s">
        <v>42</v>
      </c>
      <c r="Q1171">
        <v>0</v>
      </c>
      <c r="R1171">
        <v>25.01</v>
      </c>
      <c r="S1171">
        <v>19.940000000000001</v>
      </c>
      <c r="T1171">
        <v>5.07</v>
      </c>
      <c r="U1171">
        <f t="shared" si="18"/>
        <v>0</v>
      </c>
    </row>
    <row r="1172" spans="1:21" x14ac:dyDescent="0.25">
      <c r="A1172" s="2" t="s">
        <v>1843</v>
      </c>
      <c r="B1172" s="2" t="s">
        <v>900</v>
      </c>
      <c r="C1172" s="1">
        <v>45734</v>
      </c>
      <c r="D1172" s="2" t="s">
        <v>59</v>
      </c>
      <c r="E1172" s="2" t="s">
        <v>67</v>
      </c>
      <c r="F1172" s="2" t="s">
        <v>47</v>
      </c>
      <c r="G1172">
        <v>2</v>
      </c>
      <c r="H1172" s="2" t="s">
        <v>64</v>
      </c>
      <c r="I1172">
        <v>78.27</v>
      </c>
      <c r="J1172">
        <v>0</v>
      </c>
      <c r="K1172">
        <v>0</v>
      </c>
      <c r="L1172">
        <v>26.04</v>
      </c>
      <c r="M1172">
        <v>38.090000000000003</v>
      </c>
      <c r="N1172">
        <v>11.74</v>
      </c>
      <c r="O1172">
        <v>2.57</v>
      </c>
      <c r="P1172" s="2" t="s">
        <v>42</v>
      </c>
      <c r="Q1172">
        <v>0</v>
      </c>
      <c r="R1172">
        <v>78.27</v>
      </c>
      <c r="S1172">
        <v>78.44</v>
      </c>
      <c r="T1172">
        <v>-0.17</v>
      </c>
      <c r="U1172">
        <f t="shared" si="18"/>
        <v>0</v>
      </c>
    </row>
    <row r="1173" spans="1:21" x14ac:dyDescent="0.25">
      <c r="A1173" s="2" t="s">
        <v>1844</v>
      </c>
      <c r="B1173" s="2" t="s">
        <v>676</v>
      </c>
      <c r="C1173" s="1">
        <v>45932</v>
      </c>
      <c r="D1173" s="2" t="s">
        <v>45</v>
      </c>
      <c r="E1173" s="2" t="s">
        <v>67</v>
      </c>
      <c r="F1173" s="2" t="s">
        <v>94</v>
      </c>
      <c r="G1173">
        <v>2</v>
      </c>
      <c r="H1173" s="2" t="s">
        <v>111</v>
      </c>
      <c r="I1173">
        <v>110.14</v>
      </c>
      <c r="J1173">
        <v>10</v>
      </c>
      <c r="K1173">
        <v>11.01</v>
      </c>
      <c r="L1173">
        <v>16.28</v>
      </c>
      <c r="M1173">
        <v>47.93</v>
      </c>
      <c r="N1173">
        <v>0</v>
      </c>
      <c r="O1173">
        <v>3.17</v>
      </c>
      <c r="P1173" s="2" t="s">
        <v>42</v>
      </c>
      <c r="Q1173">
        <v>0</v>
      </c>
      <c r="R1173">
        <v>99.13</v>
      </c>
      <c r="S1173">
        <v>67.38</v>
      </c>
      <c r="T1173">
        <v>31.75</v>
      </c>
      <c r="U1173">
        <f t="shared" si="18"/>
        <v>0</v>
      </c>
    </row>
    <row r="1174" spans="1:21" x14ac:dyDescent="0.25">
      <c r="A1174" s="2" t="s">
        <v>1845</v>
      </c>
      <c r="B1174" s="2" t="s">
        <v>1412</v>
      </c>
      <c r="C1174" s="1">
        <v>45787</v>
      </c>
      <c r="D1174" s="2" t="s">
        <v>59</v>
      </c>
      <c r="E1174" s="2" t="s">
        <v>67</v>
      </c>
      <c r="F1174" s="2" t="s">
        <v>94</v>
      </c>
      <c r="G1174">
        <v>2</v>
      </c>
      <c r="H1174" s="2" t="s">
        <v>52</v>
      </c>
      <c r="I1174">
        <v>53.18</v>
      </c>
      <c r="J1174">
        <v>0</v>
      </c>
      <c r="K1174">
        <v>0</v>
      </c>
      <c r="L1174">
        <v>22.68</v>
      </c>
      <c r="M1174">
        <v>27.55</v>
      </c>
      <c r="N1174">
        <v>7.98</v>
      </c>
      <c r="O1174">
        <v>1.84</v>
      </c>
      <c r="P1174" s="2" t="s">
        <v>42</v>
      </c>
      <c r="Q1174">
        <v>0</v>
      </c>
      <c r="R1174">
        <v>53.18</v>
      </c>
      <c r="S1174">
        <v>60.05</v>
      </c>
      <c r="T1174">
        <v>-6.87</v>
      </c>
      <c r="U1174">
        <f t="shared" si="18"/>
        <v>0</v>
      </c>
    </row>
    <row r="1175" spans="1:21" x14ac:dyDescent="0.25">
      <c r="A1175" s="2" t="s">
        <v>1846</v>
      </c>
      <c r="B1175" s="2" t="s">
        <v>291</v>
      </c>
      <c r="C1175" s="1">
        <v>46014</v>
      </c>
      <c r="D1175" s="2" t="s">
        <v>38</v>
      </c>
      <c r="E1175" s="2" t="s">
        <v>46</v>
      </c>
      <c r="F1175" s="2" t="s">
        <v>94</v>
      </c>
      <c r="G1175">
        <v>2</v>
      </c>
      <c r="H1175" s="2" t="s">
        <v>52</v>
      </c>
      <c r="I1175">
        <v>170.11</v>
      </c>
      <c r="J1175">
        <v>25</v>
      </c>
      <c r="K1175">
        <v>42.53</v>
      </c>
      <c r="L1175">
        <v>20.28</v>
      </c>
      <c r="M1175">
        <v>71.680000000000007</v>
      </c>
      <c r="N1175">
        <v>0</v>
      </c>
      <c r="O1175">
        <v>4</v>
      </c>
      <c r="P1175" s="2" t="s">
        <v>42</v>
      </c>
      <c r="Q1175">
        <v>0</v>
      </c>
      <c r="R1175">
        <v>127.58</v>
      </c>
      <c r="S1175">
        <v>95.96</v>
      </c>
      <c r="T1175">
        <v>31.62</v>
      </c>
      <c r="U1175">
        <f t="shared" si="18"/>
        <v>0</v>
      </c>
    </row>
    <row r="1176" spans="1:21" x14ac:dyDescent="0.25">
      <c r="A1176" s="2" t="s">
        <v>1847</v>
      </c>
      <c r="B1176" s="2" t="s">
        <v>905</v>
      </c>
      <c r="C1176" s="1">
        <v>45934</v>
      </c>
      <c r="D1176" s="2" t="s">
        <v>80</v>
      </c>
      <c r="E1176" s="2" t="s">
        <v>46</v>
      </c>
      <c r="F1176" s="2" t="s">
        <v>40</v>
      </c>
      <c r="G1176">
        <v>1</v>
      </c>
      <c r="H1176" s="2" t="s">
        <v>56</v>
      </c>
      <c r="I1176">
        <v>49.35</v>
      </c>
      <c r="J1176">
        <v>5</v>
      </c>
      <c r="K1176">
        <v>2.4700000000000002</v>
      </c>
      <c r="L1176">
        <v>8.3800000000000008</v>
      </c>
      <c r="M1176">
        <v>26.77</v>
      </c>
      <c r="N1176">
        <v>3.75</v>
      </c>
      <c r="O1176">
        <v>1.66</v>
      </c>
      <c r="P1176" s="2" t="s">
        <v>42</v>
      </c>
      <c r="Q1176">
        <v>0</v>
      </c>
      <c r="R1176">
        <v>46.88</v>
      </c>
      <c r="S1176">
        <v>40.56</v>
      </c>
      <c r="T1176">
        <v>6.32</v>
      </c>
      <c r="U1176">
        <f t="shared" si="18"/>
        <v>0</v>
      </c>
    </row>
    <row r="1177" spans="1:21" x14ac:dyDescent="0.25">
      <c r="A1177" s="2" t="s">
        <v>1848</v>
      </c>
      <c r="B1177" s="2" t="s">
        <v>1609</v>
      </c>
      <c r="C1177" s="1">
        <v>45689</v>
      </c>
      <c r="D1177" s="2" t="s">
        <v>45</v>
      </c>
      <c r="E1177" s="2" t="s">
        <v>46</v>
      </c>
      <c r="F1177" s="2" t="s">
        <v>94</v>
      </c>
      <c r="G1177">
        <v>2</v>
      </c>
      <c r="H1177" s="2" t="s">
        <v>64</v>
      </c>
      <c r="I1177">
        <v>88.65</v>
      </c>
      <c r="J1177">
        <v>20</v>
      </c>
      <c r="K1177">
        <v>17.73</v>
      </c>
      <c r="L1177">
        <v>23.72</v>
      </c>
      <c r="M1177">
        <v>27.97</v>
      </c>
      <c r="N1177">
        <v>0</v>
      </c>
      <c r="O1177">
        <v>2.36</v>
      </c>
      <c r="P1177" s="2" t="s">
        <v>42</v>
      </c>
      <c r="Q1177">
        <v>0</v>
      </c>
      <c r="R1177">
        <v>70.92</v>
      </c>
      <c r="S1177">
        <v>54.05</v>
      </c>
      <c r="T1177">
        <v>16.87</v>
      </c>
      <c r="U1177">
        <f t="shared" si="18"/>
        <v>0</v>
      </c>
    </row>
    <row r="1178" spans="1:21" x14ac:dyDescent="0.25">
      <c r="A1178" s="2" t="s">
        <v>1849</v>
      </c>
      <c r="B1178" s="2" t="s">
        <v>1850</v>
      </c>
      <c r="C1178" s="1">
        <v>45651</v>
      </c>
      <c r="D1178" s="2" t="s">
        <v>38</v>
      </c>
      <c r="E1178" s="2" t="s">
        <v>46</v>
      </c>
      <c r="F1178" s="2" t="s">
        <v>85</v>
      </c>
      <c r="G1178">
        <v>2</v>
      </c>
      <c r="H1178" s="2" t="s">
        <v>64</v>
      </c>
      <c r="I1178">
        <v>72.099999999999994</v>
      </c>
      <c r="J1178">
        <v>5</v>
      </c>
      <c r="K1178">
        <v>3.61</v>
      </c>
      <c r="L1178">
        <v>50.48</v>
      </c>
      <c r="M1178">
        <v>36.54</v>
      </c>
      <c r="N1178">
        <v>0</v>
      </c>
      <c r="O1178">
        <v>2.29</v>
      </c>
      <c r="P1178" s="2" t="s">
        <v>42</v>
      </c>
      <c r="Q1178">
        <v>0</v>
      </c>
      <c r="R1178">
        <v>68.489999999999995</v>
      </c>
      <c r="S1178">
        <v>89.31</v>
      </c>
      <c r="T1178">
        <v>-20.82</v>
      </c>
      <c r="U1178">
        <f t="shared" si="18"/>
        <v>0</v>
      </c>
    </row>
    <row r="1179" spans="1:21" x14ac:dyDescent="0.25">
      <c r="A1179" s="2" t="s">
        <v>1851</v>
      </c>
      <c r="B1179" s="2" t="s">
        <v>115</v>
      </c>
      <c r="C1179" s="1">
        <v>45697</v>
      </c>
      <c r="D1179" s="2" t="s">
        <v>38</v>
      </c>
      <c r="E1179" s="2" t="s">
        <v>67</v>
      </c>
      <c r="F1179" s="2" t="s">
        <v>47</v>
      </c>
      <c r="G1179">
        <v>1</v>
      </c>
      <c r="H1179" s="2" t="s">
        <v>41</v>
      </c>
      <c r="I1179">
        <v>37.71</v>
      </c>
      <c r="J1179">
        <v>0</v>
      </c>
      <c r="K1179">
        <v>0</v>
      </c>
      <c r="L1179">
        <v>14.46</v>
      </c>
      <c r="M1179">
        <v>11.89</v>
      </c>
      <c r="N1179">
        <v>0</v>
      </c>
      <c r="O1179">
        <v>1.39</v>
      </c>
      <c r="P1179" s="2" t="s">
        <v>42</v>
      </c>
      <c r="Q1179">
        <v>0</v>
      </c>
      <c r="R1179">
        <v>37.71</v>
      </c>
      <c r="S1179">
        <v>27.74</v>
      </c>
      <c r="T1179">
        <v>9.9700000000000006</v>
      </c>
      <c r="U1179">
        <f t="shared" si="18"/>
        <v>0</v>
      </c>
    </row>
    <row r="1180" spans="1:21" x14ac:dyDescent="0.25">
      <c r="A1180" s="2" t="s">
        <v>1852</v>
      </c>
      <c r="B1180" s="2" t="s">
        <v>954</v>
      </c>
      <c r="C1180" s="1">
        <v>45585</v>
      </c>
      <c r="D1180" s="2" t="s">
        <v>59</v>
      </c>
      <c r="E1180" s="2" t="s">
        <v>46</v>
      </c>
      <c r="F1180" s="2" t="s">
        <v>47</v>
      </c>
      <c r="G1180">
        <v>2</v>
      </c>
      <c r="H1180" s="2" t="s">
        <v>77</v>
      </c>
      <c r="I1180">
        <v>71.209999999999994</v>
      </c>
      <c r="J1180">
        <v>0</v>
      </c>
      <c r="K1180">
        <v>0</v>
      </c>
      <c r="L1180">
        <v>23.8</v>
      </c>
      <c r="M1180">
        <v>24.29</v>
      </c>
      <c r="N1180">
        <v>10.68</v>
      </c>
      <c r="O1180">
        <v>2.37</v>
      </c>
      <c r="P1180" s="2" t="s">
        <v>42</v>
      </c>
      <c r="Q1180">
        <v>0</v>
      </c>
      <c r="R1180">
        <v>71.209999999999994</v>
      </c>
      <c r="S1180">
        <v>61.14</v>
      </c>
      <c r="T1180">
        <v>10.07</v>
      </c>
      <c r="U1180">
        <f t="shared" si="18"/>
        <v>0</v>
      </c>
    </row>
    <row r="1181" spans="1:21" x14ac:dyDescent="0.25">
      <c r="A1181" s="2" t="s">
        <v>1853</v>
      </c>
      <c r="B1181" s="2" t="s">
        <v>801</v>
      </c>
      <c r="C1181" s="1">
        <v>45605</v>
      </c>
      <c r="D1181" s="2" t="s">
        <v>38</v>
      </c>
      <c r="E1181" s="2" t="s">
        <v>39</v>
      </c>
      <c r="F1181" s="2" t="s">
        <v>51</v>
      </c>
      <c r="G1181">
        <v>1</v>
      </c>
      <c r="H1181" s="2" t="s">
        <v>77</v>
      </c>
      <c r="I1181">
        <v>16.190000000000001</v>
      </c>
      <c r="J1181">
        <v>10</v>
      </c>
      <c r="K1181">
        <v>1.62</v>
      </c>
      <c r="L1181">
        <v>14.7</v>
      </c>
      <c r="M1181">
        <v>5.89</v>
      </c>
      <c r="N1181">
        <v>0</v>
      </c>
      <c r="O1181">
        <v>0.72</v>
      </c>
      <c r="P1181" s="2" t="s">
        <v>42</v>
      </c>
      <c r="Q1181">
        <v>0</v>
      </c>
      <c r="R1181">
        <v>14.57</v>
      </c>
      <c r="S1181">
        <v>21.31</v>
      </c>
      <c r="T1181">
        <v>-6.74</v>
      </c>
      <c r="U1181">
        <f t="shared" si="18"/>
        <v>0</v>
      </c>
    </row>
    <row r="1182" spans="1:21" x14ac:dyDescent="0.25">
      <c r="A1182" s="2" t="s">
        <v>1854</v>
      </c>
      <c r="B1182" s="2" t="s">
        <v>283</v>
      </c>
      <c r="C1182" s="1">
        <v>45648</v>
      </c>
      <c r="D1182" s="2" t="s">
        <v>38</v>
      </c>
      <c r="E1182" s="2" t="s">
        <v>71</v>
      </c>
      <c r="F1182" s="2" t="s">
        <v>47</v>
      </c>
      <c r="G1182">
        <v>3</v>
      </c>
      <c r="H1182" s="2" t="s">
        <v>111</v>
      </c>
      <c r="I1182">
        <v>256.37</v>
      </c>
      <c r="J1182">
        <v>0</v>
      </c>
      <c r="K1182">
        <v>0</v>
      </c>
      <c r="L1182">
        <v>41.04</v>
      </c>
      <c r="M1182">
        <v>106.75</v>
      </c>
      <c r="N1182">
        <v>0</v>
      </c>
      <c r="O1182">
        <v>7.73</v>
      </c>
      <c r="P1182" s="2" t="s">
        <v>42</v>
      </c>
      <c r="Q1182">
        <v>0</v>
      </c>
      <c r="R1182">
        <v>256.37</v>
      </c>
      <c r="S1182">
        <v>155.52000000000001</v>
      </c>
      <c r="T1182">
        <v>100.85</v>
      </c>
      <c r="U1182">
        <f t="shared" si="18"/>
        <v>0</v>
      </c>
    </row>
    <row r="1183" spans="1:21" x14ac:dyDescent="0.25">
      <c r="A1183" s="2" t="s">
        <v>1855</v>
      </c>
      <c r="B1183" s="2" t="s">
        <v>1856</v>
      </c>
      <c r="C1183" s="1">
        <v>45365</v>
      </c>
      <c r="D1183" s="2" t="s">
        <v>45</v>
      </c>
      <c r="E1183" s="2" t="s">
        <v>71</v>
      </c>
      <c r="F1183" s="2" t="s">
        <v>85</v>
      </c>
      <c r="G1183">
        <v>3</v>
      </c>
      <c r="H1183" s="2" t="s">
        <v>111</v>
      </c>
      <c r="I1183">
        <v>232.38</v>
      </c>
      <c r="J1183">
        <v>5</v>
      </c>
      <c r="K1183">
        <v>11.62</v>
      </c>
      <c r="L1183">
        <v>44.94</v>
      </c>
      <c r="M1183">
        <v>78.09</v>
      </c>
      <c r="N1183">
        <v>0</v>
      </c>
      <c r="O1183">
        <v>6.7</v>
      </c>
      <c r="P1183" s="2" t="s">
        <v>42</v>
      </c>
      <c r="Q1183">
        <v>0</v>
      </c>
      <c r="R1183">
        <v>220.76</v>
      </c>
      <c r="S1183">
        <v>129.72999999999999</v>
      </c>
      <c r="T1183">
        <v>91.03</v>
      </c>
      <c r="U1183">
        <f t="shared" si="18"/>
        <v>0</v>
      </c>
    </row>
    <row r="1184" spans="1:21" x14ac:dyDescent="0.25">
      <c r="A1184" s="2" t="s">
        <v>1857</v>
      </c>
      <c r="B1184" s="2" t="s">
        <v>1858</v>
      </c>
      <c r="C1184" s="1">
        <v>45626</v>
      </c>
      <c r="D1184" s="2" t="s">
        <v>59</v>
      </c>
      <c r="E1184" s="2" t="s">
        <v>46</v>
      </c>
      <c r="F1184" s="2" t="s">
        <v>85</v>
      </c>
      <c r="G1184">
        <v>1</v>
      </c>
      <c r="H1184" s="2" t="s">
        <v>74</v>
      </c>
      <c r="I1184">
        <v>41.34</v>
      </c>
      <c r="J1184">
        <v>15</v>
      </c>
      <c r="K1184">
        <v>6.2</v>
      </c>
      <c r="L1184">
        <v>11.18</v>
      </c>
      <c r="M1184">
        <v>21.84</v>
      </c>
      <c r="N1184">
        <v>5.27</v>
      </c>
      <c r="O1184">
        <v>1.32</v>
      </c>
      <c r="P1184" s="2" t="s">
        <v>42</v>
      </c>
      <c r="Q1184">
        <v>0</v>
      </c>
      <c r="R1184">
        <v>35.14</v>
      </c>
      <c r="S1184">
        <v>39.61</v>
      </c>
      <c r="T1184">
        <v>-4.47</v>
      </c>
      <c r="U1184">
        <f t="shared" si="18"/>
        <v>0</v>
      </c>
    </row>
    <row r="1185" spans="1:21" x14ac:dyDescent="0.25">
      <c r="A1185" s="2" t="s">
        <v>1859</v>
      </c>
      <c r="B1185" s="2" t="s">
        <v>876</v>
      </c>
      <c r="C1185" s="1">
        <v>45731</v>
      </c>
      <c r="D1185" s="2" t="s">
        <v>38</v>
      </c>
      <c r="E1185" s="2" t="s">
        <v>46</v>
      </c>
      <c r="F1185" s="2" t="s">
        <v>47</v>
      </c>
      <c r="G1185">
        <v>2</v>
      </c>
      <c r="H1185" s="2" t="s">
        <v>64</v>
      </c>
      <c r="I1185">
        <v>245.81</v>
      </c>
      <c r="J1185">
        <v>0</v>
      </c>
      <c r="K1185">
        <v>0</v>
      </c>
      <c r="L1185">
        <v>37.840000000000003</v>
      </c>
      <c r="M1185">
        <v>93.47</v>
      </c>
      <c r="N1185">
        <v>0</v>
      </c>
      <c r="O1185">
        <v>7.43</v>
      </c>
      <c r="P1185" s="2" t="s">
        <v>42</v>
      </c>
      <c r="Q1185">
        <v>0</v>
      </c>
      <c r="R1185">
        <v>245.81</v>
      </c>
      <c r="S1185">
        <v>138.74</v>
      </c>
      <c r="T1185">
        <v>107.07</v>
      </c>
      <c r="U1185">
        <f t="shared" si="18"/>
        <v>0</v>
      </c>
    </row>
    <row r="1186" spans="1:21" x14ac:dyDescent="0.25">
      <c r="A1186" s="2" t="s">
        <v>1860</v>
      </c>
      <c r="B1186" s="2" t="s">
        <v>485</v>
      </c>
      <c r="C1186" s="1">
        <v>45574</v>
      </c>
      <c r="D1186" s="2" t="s">
        <v>38</v>
      </c>
      <c r="E1186" s="2" t="s">
        <v>46</v>
      </c>
      <c r="F1186" s="2" t="s">
        <v>40</v>
      </c>
      <c r="G1186">
        <v>2</v>
      </c>
      <c r="H1186" s="2" t="s">
        <v>77</v>
      </c>
      <c r="I1186">
        <v>195.03</v>
      </c>
      <c r="J1186">
        <v>5</v>
      </c>
      <c r="K1186">
        <v>9.75</v>
      </c>
      <c r="L1186">
        <v>11.56</v>
      </c>
      <c r="M1186">
        <v>70.040000000000006</v>
      </c>
      <c r="N1186">
        <v>0</v>
      </c>
      <c r="O1186">
        <v>5.67</v>
      </c>
      <c r="P1186" s="2" t="s">
        <v>42</v>
      </c>
      <c r="Q1186">
        <v>0</v>
      </c>
      <c r="R1186">
        <v>185.28</v>
      </c>
      <c r="S1186">
        <v>87.27</v>
      </c>
      <c r="T1186">
        <v>98.01</v>
      </c>
      <c r="U1186">
        <f t="shared" si="18"/>
        <v>0</v>
      </c>
    </row>
    <row r="1187" spans="1:21" x14ac:dyDescent="0.25">
      <c r="A1187" s="2" t="s">
        <v>1861</v>
      </c>
      <c r="B1187" s="2" t="s">
        <v>420</v>
      </c>
      <c r="C1187" s="1">
        <v>45412</v>
      </c>
      <c r="D1187" s="2" t="s">
        <v>38</v>
      </c>
      <c r="E1187" s="2" t="s">
        <v>46</v>
      </c>
      <c r="F1187" s="2" t="s">
        <v>47</v>
      </c>
      <c r="G1187">
        <v>1</v>
      </c>
      <c r="H1187" s="2" t="s">
        <v>74</v>
      </c>
      <c r="I1187">
        <v>86.62</v>
      </c>
      <c r="J1187">
        <v>20</v>
      </c>
      <c r="K1187">
        <v>17.32</v>
      </c>
      <c r="L1187">
        <v>7.58</v>
      </c>
      <c r="M1187">
        <v>37.79</v>
      </c>
      <c r="N1187">
        <v>0</v>
      </c>
      <c r="O1187">
        <v>2.31</v>
      </c>
      <c r="P1187" s="2" t="s">
        <v>42</v>
      </c>
      <c r="Q1187">
        <v>0</v>
      </c>
      <c r="R1187">
        <v>69.3</v>
      </c>
      <c r="S1187">
        <v>47.68</v>
      </c>
      <c r="T1187">
        <v>21.62</v>
      </c>
      <c r="U1187">
        <f t="shared" si="18"/>
        <v>0</v>
      </c>
    </row>
    <row r="1188" spans="1:21" x14ac:dyDescent="0.25">
      <c r="A1188" s="2" t="s">
        <v>1862</v>
      </c>
      <c r="B1188" s="2" t="s">
        <v>916</v>
      </c>
      <c r="C1188" s="1">
        <v>45959</v>
      </c>
      <c r="D1188" s="2" t="s">
        <v>45</v>
      </c>
      <c r="E1188" s="2" t="s">
        <v>55</v>
      </c>
      <c r="F1188" s="2" t="s">
        <v>47</v>
      </c>
      <c r="G1188">
        <v>1</v>
      </c>
      <c r="H1188" s="2" t="s">
        <v>48</v>
      </c>
      <c r="I1188">
        <v>73.2</v>
      </c>
      <c r="J1188">
        <v>20</v>
      </c>
      <c r="K1188">
        <v>14.64</v>
      </c>
      <c r="L1188">
        <v>21.24</v>
      </c>
      <c r="M1188">
        <v>29.28</v>
      </c>
      <c r="N1188">
        <v>0</v>
      </c>
      <c r="O1188">
        <v>2</v>
      </c>
      <c r="P1188" s="2" t="s">
        <v>42</v>
      </c>
      <c r="Q1188">
        <v>0</v>
      </c>
      <c r="R1188">
        <v>58.56</v>
      </c>
      <c r="S1188">
        <v>52.52</v>
      </c>
      <c r="T1188">
        <v>6.04</v>
      </c>
      <c r="U1188">
        <f t="shared" si="18"/>
        <v>0</v>
      </c>
    </row>
    <row r="1189" spans="1:21" x14ac:dyDescent="0.25">
      <c r="A1189" s="2" t="s">
        <v>1863</v>
      </c>
      <c r="B1189" s="2" t="s">
        <v>96</v>
      </c>
      <c r="C1189" s="1">
        <v>45513</v>
      </c>
      <c r="D1189" s="2" t="s">
        <v>38</v>
      </c>
      <c r="E1189" s="2" t="s">
        <v>67</v>
      </c>
      <c r="F1189" s="2" t="s">
        <v>51</v>
      </c>
      <c r="G1189">
        <v>1</v>
      </c>
      <c r="H1189" s="2" t="s">
        <v>56</v>
      </c>
      <c r="I1189">
        <v>13.96</v>
      </c>
      <c r="J1189">
        <v>15</v>
      </c>
      <c r="K1189">
        <v>2.09</v>
      </c>
      <c r="L1189">
        <v>5.18</v>
      </c>
      <c r="M1189">
        <v>7.06</v>
      </c>
      <c r="N1189">
        <v>0</v>
      </c>
      <c r="O1189">
        <v>0.64</v>
      </c>
      <c r="P1189" s="2" t="s">
        <v>42</v>
      </c>
      <c r="Q1189">
        <v>0</v>
      </c>
      <c r="R1189">
        <v>11.87</v>
      </c>
      <c r="S1189">
        <v>12.88</v>
      </c>
      <c r="T1189">
        <v>-1.01</v>
      </c>
      <c r="U1189">
        <f t="shared" si="18"/>
        <v>0</v>
      </c>
    </row>
    <row r="1190" spans="1:21" x14ac:dyDescent="0.25">
      <c r="A1190" s="2" t="s">
        <v>1864</v>
      </c>
      <c r="B1190" s="2" t="s">
        <v>1865</v>
      </c>
      <c r="C1190" s="1">
        <v>45909</v>
      </c>
      <c r="D1190" s="2" t="s">
        <v>45</v>
      </c>
      <c r="E1190" s="2" t="s">
        <v>71</v>
      </c>
      <c r="F1190" s="2" t="s">
        <v>40</v>
      </c>
      <c r="G1190">
        <v>3</v>
      </c>
      <c r="H1190" s="2" t="s">
        <v>64</v>
      </c>
      <c r="I1190">
        <v>55.44</v>
      </c>
      <c r="J1190">
        <v>10</v>
      </c>
      <c r="K1190">
        <v>5.54</v>
      </c>
      <c r="L1190">
        <v>30.26</v>
      </c>
      <c r="M1190">
        <v>30.09</v>
      </c>
      <c r="N1190">
        <v>0</v>
      </c>
      <c r="O1190">
        <v>1.75</v>
      </c>
      <c r="P1190" s="2" t="s">
        <v>42</v>
      </c>
      <c r="Q1190">
        <v>0</v>
      </c>
      <c r="R1190">
        <v>49.9</v>
      </c>
      <c r="S1190">
        <v>62.1</v>
      </c>
      <c r="T1190">
        <v>-12.2</v>
      </c>
      <c r="U1190">
        <f t="shared" si="18"/>
        <v>0</v>
      </c>
    </row>
    <row r="1191" spans="1:21" x14ac:dyDescent="0.25">
      <c r="A1191" s="2" t="s">
        <v>1866</v>
      </c>
      <c r="B1191" s="2" t="s">
        <v>1615</v>
      </c>
      <c r="C1191" s="1">
        <v>45734</v>
      </c>
      <c r="D1191" s="2" t="s">
        <v>59</v>
      </c>
      <c r="E1191" s="2" t="s">
        <v>55</v>
      </c>
      <c r="F1191" s="2" t="s">
        <v>40</v>
      </c>
      <c r="G1191">
        <v>2</v>
      </c>
      <c r="H1191" s="2" t="s">
        <v>41</v>
      </c>
      <c r="I1191">
        <v>136.63999999999999</v>
      </c>
      <c r="J1191">
        <v>5</v>
      </c>
      <c r="K1191">
        <v>6.83</v>
      </c>
      <c r="L1191">
        <v>16.68</v>
      </c>
      <c r="M1191">
        <v>57.2</v>
      </c>
      <c r="N1191">
        <v>19.47</v>
      </c>
      <c r="O1191">
        <v>4.0599999999999996</v>
      </c>
      <c r="P1191" s="2" t="s">
        <v>42</v>
      </c>
      <c r="Q1191">
        <v>0</v>
      </c>
      <c r="R1191">
        <v>129.81</v>
      </c>
      <c r="S1191">
        <v>97.41</v>
      </c>
      <c r="T1191">
        <v>32.4</v>
      </c>
      <c r="U1191">
        <f t="shared" si="18"/>
        <v>0</v>
      </c>
    </row>
    <row r="1192" spans="1:21" x14ac:dyDescent="0.25">
      <c r="A1192" s="2" t="s">
        <v>1867</v>
      </c>
      <c r="B1192" s="2" t="s">
        <v>1868</v>
      </c>
      <c r="C1192" s="1">
        <v>45741</v>
      </c>
      <c r="D1192" s="2" t="s">
        <v>38</v>
      </c>
      <c r="E1192" s="2" t="s">
        <v>55</v>
      </c>
      <c r="F1192" s="2" t="s">
        <v>85</v>
      </c>
      <c r="G1192">
        <v>1</v>
      </c>
      <c r="H1192" s="2" t="s">
        <v>48</v>
      </c>
      <c r="I1192">
        <v>33.33</v>
      </c>
      <c r="J1192">
        <v>0</v>
      </c>
      <c r="K1192">
        <v>0</v>
      </c>
      <c r="L1192">
        <v>32.82</v>
      </c>
      <c r="M1192">
        <v>21.93</v>
      </c>
      <c r="N1192">
        <v>0</v>
      </c>
      <c r="O1192">
        <v>1.27</v>
      </c>
      <c r="P1192" s="2" t="s">
        <v>42</v>
      </c>
      <c r="Q1192">
        <v>0</v>
      </c>
      <c r="R1192">
        <v>33.33</v>
      </c>
      <c r="S1192">
        <v>56.02</v>
      </c>
      <c r="T1192">
        <v>-22.69</v>
      </c>
      <c r="U1192">
        <f t="shared" si="18"/>
        <v>0</v>
      </c>
    </row>
    <row r="1193" spans="1:21" x14ac:dyDescent="0.25">
      <c r="A1193" s="2" t="s">
        <v>1869</v>
      </c>
      <c r="B1193" s="2" t="s">
        <v>1100</v>
      </c>
      <c r="C1193" s="1">
        <v>45362</v>
      </c>
      <c r="D1193" s="2" t="s">
        <v>38</v>
      </c>
      <c r="E1193" s="2" t="s">
        <v>71</v>
      </c>
      <c r="F1193" s="2" t="s">
        <v>47</v>
      </c>
      <c r="G1193">
        <v>3</v>
      </c>
      <c r="H1193" s="2" t="s">
        <v>52</v>
      </c>
      <c r="I1193">
        <v>399.55</v>
      </c>
      <c r="J1193">
        <v>0</v>
      </c>
      <c r="K1193">
        <v>0</v>
      </c>
      <c r="L1193">
        <v>79.38</v>
      </c>
      <c r="M1193">
        <v>215.71</v>
      </c>
      <c r="N1193">
        <v>0</v>
      </c>
      <c r="O1193">
        <v>11.89</v>
      </c>
      <c r="P1193" s="2" t="s">
        <v>42</v>
      </c>
      <c r="Q1193">
        <v>0</v>
      </c>
      <c r="R1193">
        <v>399.55</v>
      </c>
      <c r="S1193">
        <v>306.98</v>
      </c>
      <c r="T1193">
        <v>92.57</v>
      </c>
      <c r="U1193">
        <f t="shared" si="18"/>
        <v>0</v>
      </c>
    </row>
    <row r="1194" spans="1:21" x14ac:dyDescent="0.25">
      <c r="A1194" s="2" t="s">
        <v>1870</v>
      </c>
      <c r="B1194" s="2" t="s">
        <v>481</v>
      </c>
      <c r="C1194" s="1">
        <v>45481</v>
      </c>
      <c r="D1194" s="2" t="s">
        <v>38</v>
      </c>
      <c r="E1194" s="2" t="s">
        <v>71</v>
      </c>
      <c r="F1194" s="2" t="s">
        <v>51</v>
      </c>
      <c r="G1194">
        <v>3</v>
      </c>
      <c r="H1194" s="2" t="s">
        <v>48</v>
      </c>
      <c r="I1194">
        <v>115.4</v>
      </c>
      <c r="J1194">
        <v>10</v>
      </c>
      <c r="K1194">
        <v>11.54</v>
      </c>
      <c r="L1194">
        <v>32.72</v>
      </c>
      <c r="M1194">
        <v>42.5</v>
      </c>
      <c r="N1194">
        <v>0</v>
      </c>
      <c r="O1194">
        <v>3.31</v>
      </c>
      <c r="P1194" s="2" t="s">
        <v>42</v>
      </c>
      <c r="Q1194">
        <v>0</v>
      </c>
      <c r="R1194">
        <v>103.86</v>
      </c>
      <c r="S1194">
        <v>78.53</v>
      </c>
      <c r="T1194">
        <v>25.33</v>
      </c>
      <c r="U1194">
        <f t="shared" si="18"/>
        <v>0</v>
      </c>
    </row>
    <row r="1195" spans="1:21" x14ac:dyDescent="0.25">
      <c r="A1195" s="2" t="s">
        <v>1871</v>
      </c>
      <c r="B1195" s="2" t="s">
        <v>186</v>
      </c>
      <c r="C1195" s="1">
        <v>45650</v>
      </c>
      <c r="D1195" s="2" t="s">
        <v>38</v>
      </c>
      <c r="E1195" s="2" t="s">
        <v>46</v>
      </c>
      <c r="F1195" s="2" t="s">
        <v>85</v>
      </c>
      <c r="G1195">
        <v>1</v>
      </c>
      <c r="H1195" s="2" t="s">
        <v>77</v>
      </c>
      <c r="I1195">
        <v>23.61</v>
      </c>
      <c r="J1195">
        <v>20</v>
      </c>
      <c r="K1195">
        <v>4.72</v>
      </c>
      <c r="L1195">
        <v>8.2200000000000006</v>
      </c>
      <c r="M1195">
        <v>7.31</v>
      </c>
      <c r="N1195">
        <v>0</v>
      </c>
      <c r="O1195">
        <v>0.85</v>
      </c>
      <c r="P1195" s="2" t="s">
        <v>42</v>
      </c>
      <c r="Q1195">
        <v>0</v>
      </c>
      <c r="R1195">
        <v>18.89</v>
      </c>
      <c r="S1195">
        <v>16.38</v>
      </c>
      <c r="T1195">
        <v>2.5099999999999998</v>
      </c>
      <c r="U1195">
        <f t="shared" si="18"/>
        <v>0</v>
      </c>
    </row>
    <row r="1196" spans="1:21" x14ac:dyDescent="0.25">
      <c r="A1196" s="2" t="s">
        <v>1872</v>
      </c>
      <c r="B1196" s="2" t="s">
        <v>1690</v>
      </c>
      <c r="C1196" s="1">
        <v>45598</v>
      </c>
      <c r="D1196" s="2" t="s">
        <v>45</v>
      </c>
      <c r="E1196" s="2" t="s">
        <v>71</v>
      </c>
      <c r="F1196" s="2" t="s">
        <v>85</v>
      </c>
      <c r="G1196">
        <v>2</v>
      </c>
      <c r="H1196" s="2" t="s">
        <v>52</v>
      </c>
      <c r="I1196">
        <v>48.39</v>
      </c>
      <c r="J1196">
        <v>10</v>
      </c>
      <c r="K1196">
        <v>4.84</v>
      </c>
      <c r="L1196">
        <v>43.76</v>
      </c>
      <c r="M1196">
        <v>17.3</v>
      </c>
      <c r="N1196">
        <v>0</v>
      </c>
      <c r="O1196">
        <v>1.56</v>
      </c>
      <c r="P1196" s="2" t="s">
        <v>42</v>
      </c>
      <c r="Q1196">
        <v>0</v>
      </c>
      <c r="R1196">
        <v>43.55</v>
      </c>
      <c r="S1196">
        <v>62.62</v>
      </c>
      <c r="T1196">
        <v>-19.07</v>
      </c>
      <c r="U1196">
        <f t="shared" si="18"/>
        <v>0</v>
      </c>
    </row>
    <row r="1197" spans="1:21" x14ac:dyDescent="0.25">
      <c r="A1197" s="2" t="s">
        <v>1873</v>
      </c>
      <c r="B1197" s="2" t="s">
        <v>119</v>
      </c>
      <c r="C1197" s="1">
        <v>45739</v>
      </c>
      <c r="D1197" s="2" t="s">
        <v>80</v>
      </c>
      <c r="E1197" s="2" t="s">
        <v>71</v>
      </c>
      <c r="F1197" s="2" t="s">
        <v>94</v>
      </c>
      <c r="G1197">
        <v>1</v>
      </c>
      <c r="H1197" s="2" t="s">
        <v>48</v>
      </c>
      <c r="I1197">
        <v>23.64</v>
      </c>
      <c r="J1197">
        <v>5</v>
      </c>
      <c r="K1197">
        <v>1.18</v>
      </c>
      <c r="L1197">
        <v>23.8</v>
      </c>
      <c r="M1197">
        <v>11.62</v>
      </c>
      <c r="N1197">
        <v>1.8</v>
      </c>
      <c r="O1197">
        <v>0.95</v>
      </c>
      <c r="P1197" s="2" t="s">
        <v>68</v>
      </c>
      <c r="Q1197">
        <v>22.46</v>
      </c>
      <c r="R1197">
        <v>0</v>
      </c>
      <c r="S1197">
        <v>38.17</v>
      </c>
      <c r="T1197">
        <v>-38.17</v>
      </c>
      <c r="U1197">
        <f t="shared" si="18"/>
        <v>0</v>
      </c>
    </row>
    <row r="1198" spans="1:21" x14ac:dyDescent="0.25">
      <c r="A1198" s="2" t="s">
        <v>1874</v>
      </c>
      <c r="B1198" s="2" t="s">
        <v>382</v>
      </c>
      <c r="C1198" s="1">
        <v>45642</v>
      </c>
      <c r="D1198" s="2" t="s">
        <v>80</v>
      </c>
      <c r="E1198" s="2" t="s">
        <v>67</v>
      </c>
      <c r="F1198" s="2" t="s">
        <v>94</v>
      </c>
      <c r="G1198">
        <v>3</v>
      </c>
      <c r="H1198" s="2" t="s">
        <v>74</v>
      </c>
      <c r="I1198">
        <v>153.55000000000001</v>
      </c>
      <c r="J1198">
        <v>10</v>
      </c>
      <c r="K1198">
        <v>15.36</v>
      </c>
      <c r="L1198">
        <v>26.98</v>
      </c>
      <c r="M1198">
        <v>70.150000000000006</v>
      </c>
      <c r="N1198">
        <v>11.06</v>
      </c>
      <c r="O1198">
        <v>4.3099999999999996</v>
      </c>
      <c r="P1198" s="2" t="s">
        <v>42</v>
      </c>
      <c r="Q1198">
        <v>0</v>
      </c>
      <c r="R1198">
        <v>138.19</v>
      </c>
      <c r="S1198">
        <v>112.5</v>
      </c>
      <c r="T1198">
        <v>25.69</v>
      </c>
      <c r="U1198">
        <f t="shared" si="18"/>
        <v>0</v>
      </c>
    </row>
    <row r="1199" spans="1:21" x14ac:dyDescent="0.25">
      <c r="A1199" s="2" t="s">
        <v>1875</v>
      </c>
      <c r="B1199" s="2" t="s">
        <v>1876</v>
      </c>
      <c r="C1199" s="1">
        <v>45643</v>
      </c>
      <c r="D1199" s="2" t="s">
        <v>45</v>
      </c>
      <c r="E1199" s="2" t="s">
        <v>55</v>
      </c>
      <c r="F1199" s="2" t="s">
        <v>85</v>
      </c>
      <c r="G1199">
        <v>1</v>
      </c>
      <c r="H1199" s="2" t="s">
        <v>74</v>
      </c>
      <c r="I1199">
        <v>223.28</v>
      </c>
      <c r="J1199">
        <v>15</v>
      </c>
      <c r="K1199">
        <v>33.49</v>
      </c>
      <c r="L1199">
        <v>28.44</v>
      </c>
      <c r="M1199">
        <v>75.680000000000007</v>
      </c>
      <c r="N1199">
        <v>0</v>
      </c>
      <c r="O1199">
        <v>5.8</v>
      </c>
      <c r="P1199" s="2" t="s">
        <v>42</v>
      </c>
      <c r="Q1199">
        <v>0</v>
      </c>
      <c r="R1199">
        <v>189.79</v>
      </c>
      <c r="S1199">
        <v>109.92</v>
      </c>
      <c r="T1199">
        <v>79.87</v>
      </c>
      <c r="U1199">
        <f t="shared" si="18"/>
        <v>1</v>
      </c>
    </row>
    <row r="1200" spans="1:21" x14ac:dyDescent="0.25">
      <c r="A1200" s="2" t="s">
        <v>1877</v>
      </c>
      <c r="B1200" s="2" t="s">
        <v>1280</v>
      </c>
      <c r="C1200" s="1">
        <v>45710</v>
      </c>
      <c r="D1200" s="2" t="s">
        <v>45</v>
      </c>
      <c r="E1200" s="2" t="s">
        <v>39</v>
      </c>
      <c r="F1200" s="2" t="s">
        <v>40</v>
      </c>
      <c r="G1200">
        <v>4</v>
      </c>
      <c r="H1200" s="2" t="s">
        <v>48</v>
      </c>
      <c r="I1200">
        <v>338.73</v>
      </c>
      <c r="J1200">
        <v>0</v>
      </c>
      <c r="K1200">
        <v>0</v>
      </c>
      <c r="L1200">
        <v>58.6</v>
      </c>
      <c r="M1200">
        <v>130.09</v>
      </c>
      <c r="N1200">
        <v>0</v>
      </c>
      <c r="O1200">
        <v>10.119999999999999</v>
      </c>
      <c r="P1200" s="2" t="s">
        <v>42</v>
      </c>
      <c r="Q1200">
        <v>0</v>
      </c>
      <c r="R1200">
        <v>338.73</v>
      </c>
      <c r="S1200">
        <v>198.81</v>
      </c>
      <c r="T1200">
        <v>139.91999999999999</v>
      </c>
      <c r="U1200">
        <f t="shared" si="18"/>
        <v>0</v>
      </c>
    </row>
    <row r="1201" spans="1:21" x14ac:dyDescent="0.25">
      <c r="A1201" s="2" t="s">
        <v>1878</v>
      </c>
      <c r="B1201" s="2" t="s">
        <v>386</v>
      </c>
      <c r="C1201" s="1">
        <v>45742</v>
      </c>
      <c r="D1201" s="2" t="s">
        <v>38</v>
      </c>
      <c r="E1201" s="2" t="s">
        <v>71</v>
      </c>
      <c r="F1201" s="2" t="s">
        <v>40</v>
      </c>
      <c r="G1201">
        <v>2</v>
      </c>
      <c r="H1201" s="2" t="s">
        <v>64</v>
      </c>
      <c r="I1201">
        <v>144.19999999999999</v>
      </c>
      <c r="J1201">
        <v>15</v>
      </c>
      <c r="K1201">
        <v>21.63</v>
      </c>
      <c r="L1201">
        <v>52.4</v>
      </c>
      <c r="M1201">
        <v>72.040000000000006</v>
      </c>
      <c r="N1201">
        <v>0</v>
      </c>
      <c r="O1201">
        <v>3.85</v>
      </c>
      <c r="P1201" s="2" t="s">
        <v>42</v>
      </c>
      <c r="Q1201">
        <v>0</v>
      </c>
      <c r="R1201">
        <v>122.57</v>
      </c>
      <c r="S1201">
        <v>128.29</v>
      </c>
      <c r="T1201">
        <v>-5.72</v>
      </c>
      <c r="U1201">
        <f t="shared" si="18"/>
        <v>0</v>
      </c>
    </row>
    <row r="1202" spans="1:21" x14ac:dyDescent="0.25">
      <c r="A1202" s="2" t="s">
        <v>1879</v>
      </c>
      <c r="B1202" s="2" t="s">
        <v>225</v>
      </c>
      <c r="C1202" s="1">
        <v>45699</v>
      </c>
      <c r="D1202" s="2" t="s">
        <v>59</v>
      </c>
      <c r="E1202" s="2" t="s">
        <v>67</v>
      </c>
      <c r="F1202" s="2" t="s">
        <v>47</v>
      </c>
      <c r="G1202">
        <v>1</v>
      </c>
      <c r="H1202" s="2" t="s">
        <v>111</v>
      </c>
      <c r="I1202">
        <v>13.82</v>
      </c>
      <c r="J1202">
        <v>10</v>
      </c>
      <c r="K1202">
        <v>1.38</v>
      </c>
      <c r="L1202">
        <v>15.18</v>
      </c>
      <c r="M1202">
        <v>6.6</v>
      </c>
      <c r="N1202">
        <v>1.87</v>
      </c>
      <c r="O1202">
        <v>0.66</v>
      </c>
      <c r="P1202" s="2" t="s">
        <v>42</v>
      </c>
      <c r="Q1202">
        <v>0</v>
      </c>
      <c r="R1202">
        <v>12.44</v>
      </c>
      <c r="S1202">
        <v>24.31</v>
      </c>
      <c r="T1202">
        <v>-11.87</v>
      </c>
      <c r="U1202">
        <f t="shared" si="18"/>
        <v>0</v>
      </c>
    </row>
    <row r="1203" spans="1:21" x14ac:dyDescent="0.25">
      <c r="A1203" s="2" t="s">
        <v>1880</v>
      </c>
      <c r="B1203" s="2" t="s">
        <v>336</v>
      </c>
      <c r="C1203" s="1">
        <v>45984</v>
      </c>
      <c r="D1203" s="2" t="s">
        <v>80</v>
      </c>
      <c r="E1203" s="2" t="s">
        <v>46</v>
      </c>
      <c r="F1203" s="2" t="s">
        <v>94</v>
      </c>
      <c r="G1203">
        <v>2</v>
      </c>
      <c r="H1203" s="2" t="s">
        <v>41</v>
      </c>
      <c r="I1203">
        <v>241.64</v>
      </c>
      <c r="J1203">
        <v>0</v>
      </c>
      <c r="K1203">
        <v>0</v>
      </c>
      <c r="L1203">
        <v>38.24</v>
      </c>
      <c r="M1203">
        <v>151.96</v>
      </c>
      <c r="N1203">
        <v>19.329999999999998</v>
      </c>
      <c r="O1203">
        <v>7.31</v>
      </c>
      <c r="P1203" s="2" t="s">
        <v>42</v>
      </c>
      <c r="Q1203">
        <v>0</v>
      </c>
      <c r="R1203">
        <v>241.64</v>
      </c>
      <c r="S1203">
        <v>216.84</v>
      </c>
      <c r="T1203">
        <v>24.8</v>
      </c>
      <c r="U1203">
        <f t="shared" si="18"/>
        <v>0</v>
      </c>
    </row>
    <row r="1204" spans="1:21" x14ac:dyDescent="0.25">
      <c r="A1204" s="2" t="s">
        <v>1881</v>
      </c>
      <c r="B1204" s="2" t="s">
        <v>1242</v>
      </c>
      <c r="C1204" s="1">
        <v>45666</v>
      </c>
      <c r="D1204" s="2" t="s">
        <v>80</v>
      </c>
      <c r="E1204" s="2" t="s">
        <v>46</v>
      </c>
      <c r="F1204" s="2" t="s">
        <v>51</v>
      </c>
      <c r="G1204">
        <v>2</v>
      </c>
      <c r="H1204" s="2" t="s">
        <v>77</v>
      </c>
      <c r="I1204">
        <v>79.47</v>
      </c>
      <c r="J1204">
        <v>20</v>
      </c>
      <c r="K1204">
        <v>15.89</v>
      </c>
      <c r="L1204">
        <v>31.78</v>
      </c>
      <c r="M1204">
        <v>33.18</v>
      </c>
      <c r="N1204">
        <v>5.09</v>
      </c>
      <c r="O1204">
        <v>2.14</v>
      </c>
      <c r="P1204" s="2" t="s">
        <v>42</v>
      </c>
      <c r="Q1204">
        <v>0</v>
      </c>
      <c r="R1204">
        <v>63.58</v>
      </c>
      <c r="S1204">
        <v>72.19</v>
      </c>
      <c r="T1204">
        <v>-8.61</v>
      </c>
      <c r="U1204">
        <f t="shared" si="18"/>
        <v>0</v>
      </c>
    </row>
    <row r="1205" spans="1:21" x14ac:dyDescent="0.25">
      <c r="A1205" s="2" t="s">
        <v>1882</v>
      </c>
      <c r="B1205" s="2" t="s">
        <v>463</v>
      </c>
      <c r="C1205" s="1">
        <v>45599</v>
      </c>
      <c r="D1205" s="2" t="s">
        <v>59</v>
      </c>
      <c r="E1205" s="2" t="s">
        <v>46</v>
      </c>
      <c r="F1205" s="2" t="s">
        <v>40</v>
      </c>
      <c r="G1205">
        <v>1</v>
      </c>
      <c r="H1205" s="2" t="s">
        <v>56</v>
      </c>
      <c r="I1205">
        <v>72.69</v>
      </c>
      <c r="J1205">
        <v>0</v>
      </c>
      <c r="K1205">
        <v>0</v>
      </c>
      <c r="L1205">
        <v>20.100000000000001</v>
      </c>
      <c r="M1205">
        <v>38.909999999999997</v>
      </c>
      <c r="N1205">
        <v>10.9</v>
      </c>
      <c r="O1205">
        <v>2.41</v>
      </c>
      <c r="P1205" s="2" t="s">
        <v>42</v>
      </c>
      <c r="Q1205">
        <v>0</v>
      </c>
      <c r="R1205">
        <v>72.69</v>
      </c>
      <c r="S1205">
        <v>72.319999999999993</v>
      </c>
      <c r="T1205">
        <v>0.37</v>
      </c>
      <c r="U1205">
        <f t="shared" si="18"/>
        <v>0</v>
      </c>
    </row>
    <row r="1206" spans="1:21" x14ac:dyDescent="0.25">
      <c r="A1206" s="2" t="s">
        <v>1883</v>
      </c>
      <c r="B1206" s="2" t="s">
        <v>1884</v>
      </c>
      <c r="C1206" s="1">
        <v>46002</v>
      </c>
      <c r="D1206" s="2" t="s">
        <v>38</v>
      </c>
      <c r="E1206" s="2" t="s">
        <v>67</v>
      </c>
      <c r="F1206" s="2" t="s">
        <v>85</v>
      </c>
      <c r="G1206">
        <v>1</v>
      </c>
      <c r="H1206" s="2" t="s">
        <v>41</v>
      </c>
      <c r="I1206">
        <v>68.98</v>
      </c>
      <c r="J1206">
        <v>15</v>
      </c>
      <c r="K1206">
        <v>10.35</v>
      </c>
      <c r="L1206">
        <v>14.54</v>
      </c>
      <c r="M1206">
        <v>25.39</v>
      </c>
      <c r="N1206">
        <v>0</v>
      </c>
      <c r="O1206">
        <v>2</v>
      </c>
      <c r="P1206" s="2" t="s">
        <v>42</v>
      </c>
      <c r="Q1206">
        <v>0</v>
      </c>
      <c r="R1206">
        <v>58.63</v>
      </c>
      <c r="S1206">
        <v>41.93</v>
      </c>
      <c r="T1206">
        <v>16.7</v>
      </c>
      <c r="U1206">
        <f t="shared" si="18"/>
        <v>0</v>
      </c>
    </row>
    <row r="1207" spans="1:21" x14ac:dyDescent="0.25">
      <c r="A1207" s="2" t="s">
        <v>1885</v>
      </c>
      <c r="B1207" s="2" t="s">
        <v>1886</v>
      </c>
      <c r="C1207" s="1">
        <v>45991</v>
      </c>
      <c r="D1207" s="2" t="s">
        <v>80</v>
      </c>
      <c r="E1207" s="2" t="s">
        <v>71</v>
      </c>
      <c r="F1207" s="2" t="s">
        <v>51</v>
      </c>
      <c r="G1207">
        <v>5</v>
      </c>
      <c r="H1207" s="2" t="s">
        <v>74</v>
      </c>
      <c r="I1207">
        <v>386.97</v>
      </c>
      <c r="J1207">
        <v>15</v>
      </c>
      <c r="K1207">
        <v>58.05</v>
      </c>
      <c r="L1207">
        <v>65.44</v>
      </c>
      <c r="M1207">
        <v>150.94</v>
      </c>
      <c r="N1207">
        <v>26.31</v>
      </c>
      <c r="O1207">
        <v>9.84</v>
      </c>
      <c r="P1207" s="2" t="s">
        <v>42</v>
      </c>
      <c r="Q1207">
        <v>0</v>
      </c>
      <c r="R1207">
        <v>328.92</v>
      </c>
      <c r="S1207">
        <v>252.53</v>
      </c>
      <c r="T1207">
        <v>76.39</v>
      </c>
      <c r="U1207">
        <f t="shared" si="18"/>
        <v>0</v>
      </c>
    </row>
    <row r="1208" spans="1:21" x14ac:dyDescent="0.25">
      <c r="A1208" s="2" t="s">
        <v>1887</v>
      </c>
      <c r="B1208" s="2" t="s">
        <v>1850</v>
      </c>
      <c r="C1208" s="1">
        <v>45787</v>
      </c>
      <c r="D1208" s="2" t="s">
        <v>45</v>
      </c>
      <c r="E1208" s="2" t="s">
        <v>67</v>
      </c>
      <c r="F1208" s="2" t="s">
        <v>51</v>
      </c>
      <c r="G1208">
        <v>1</v>
      </c>
      <c r="H1208" s="2" t="s">
        <v>77</v>
      </c>
      <c r="I1208">
        <v>16.100000000000001</v>
      </c>
      <c r="J1208">
        <v>10</v>
      </c>
      <c r="K1208">
        <v>1.61</v>
      </c>
      <c r="L1208">
        <v>12.62</v>
      </c>
      <c r="M1208">
        <v>5.42</v>
      </c>
      <c r="N1208">
        <v>0</v>
      </c>
      <c r="O1208">
        <v>0.72</v>
      </c>
      <c r="P1208" s="2" t="s">
        <v>42</v>
      </c>
      <c r="Q1208">
        <v>0</v>
      </c>
      <c r="R1208">
        <v>14.49</v>
      </c>
      <c r="S1208">
        <v>18.760000000000002</v>
      </c>
      <c r="T1208">
        <v>-4.2699999999999996</v>
      </c>
      <c r="U1208">
        <f t="shared" si="18"/>
        <v>0</v>
      </c>
    </row>
    <row r="1209" spans="1:21" x14ac:dyDescent="0.25">
      <c r="A1209" s="2" t="s">
        <v>1888</v>
      </c>
      <c r="B1209" s="2" t="s">
        <v>585</v>
      </c>
      <c r="C1209" s="1">
        <v>45653</v>
      </c>
      <c r="D1209" s="2" t="s">
        <v>38</v>
      </c>
      <c r="E1209" s="2" t="s">
        <v>46</v>
      </c>
      <c r="F1209" s="2" t="s">
        <v>85</v>
      </c>
      <c r="G1209">
        <v>3</v>
      </c>
      <c r="H1209" s="2" t="s">
        <v>77</v>
      </c>
      <c r="I1209">
        <v>244.16</v>
      </c>
      <c r="J1209">
        <v>5</v>
      </c>
      <c r="K1209">
        <v>12.21</v>
      </c>
      <c r="L1209">
        <v>42.72</v>
      </c>
      <c r="M1209">
        <v>82.33</v>
      </c>
      <c r="N1209">
        <v>0</v>
      </c>
      <c r="O1209">
        <v>7.03</v>
      </c>
      <c r="P1209" s="2" t="s">
        <v>42</v>
      </c>
      <c r="Q1209">
        <v>0</v>
      </c>
      <c r="R1209">
        <v>231.95</v>
      </c>
      <c r="S1209">
        <v>132.08000000000001</v>
      </c>
      <c r="T1209">
        <v>99.87</v>
      </c>
      <c r="U1209">
        <f t="shared" si="18"/>
        <v>0</v>
      </c>
    </row>
    <row r="1210" spans="1:21" x14ac:dyDescent="0.25">
      <c r="A1210" s="2" t="s">
        <v>1889</v>
      </c>
      <c r="B1210" s="2" t="s">
        <v>488</v>
      </c>
      <c r="C1210" s="1">
        <v>45888</v>
      </c>
      <c r="D1210" s="2" t="s">
        <v>38</v>
      </c>
      <c r="E1210" s="2" t="s">
        <v>55</v>
      </c>
      <c r="F1210" s="2" t="s">
        <v>85</v>
      </c>
      <c r="G1210">
        <v>2</v>
      </c>
      <c r="H1210" s="2" t="s">
        <v>41</v>
      </c>
      <c r="I1210">
        <v>496.37</v>
      </c>
      <c r="J1210">
        <v>5</v>
      </c>
      <c r="K1210">
        <v>24.82</v>
      </c>
      <c r="L1210">
        <v>35.78</v>
      </c>
      <c r="M1210">
        <v>148.88</v>
      </c>
      <c r="N1210">
        <v>0</v>
      </c>
      <c r="O1210">
        <v>13.97</v>
      </c>
      <c r="P1210" s="2" t="s">
        <v>42</v>
      </c>
      <c r="Q1210">
        <v>0</v>
      </c>
      <c r="R1210">
        <v>471.55</v>
      </c>
      <c r="S1210">
        <v>198.63</v>
      </c>
      <c r="T1210">
        <v>272.92</v>
      </c>
      <c r="U1210">
        <f t="shared" si="18"/>
        <v>0</v>
      </c>
    </row>
    <row r="1211" spans="1:21" x14ac:dyDescent="0.25">
      <c r="A1211" s="2" t="s">
        <v>1890</v>
      </c>
      <c r="B1211" s="2" t="s">
        <v>585</v>
      </c>
      <c r="C1211" s="1">
        <v>45647</v>
      </c>
      <c r="D1211" s="2" t="s">
        <v>45</v>
      </c>
      <c r="E1211" s="2" t="s">
        <v>55</v>
      </c>
      <c r="F1211" s="2" t="s">
        <v>40</v>
      </c>
      <c r="G1211">
        <v>3</v>
      </c>
      <c r="H1211" s="2" t="s">
        <v>56</v>
      </c>
      <c r="I1211">
        <v>355.16</v>
      </c>
      <c r="J1211">
        <v>20</v>
      </c>
      <c r="K1211">
        <v>71.03</v>
      </c>
      <c r="L1211">
        <v>62.54</v>
      </c>
      <c r="M1211">
        <v>117.04</v>
      </c>
      <c r="N1211">
        <v>0</v>
      </c>
      <c r="O1211">
        <v>8.5399999999999991</v>
      </c>
      <c r="P1211" s="2" t="s">
        <v>42</v>
      </c>
      <c r="Q1211">
        <v>0</v>
      </c>
      <c r="R1211">
        <v>284.13</v>
      </c>
      <c r="S1211">
        <v>188.12</v>
      </c>
      <c r="T1211">
        <v>96.01</v>
      </c>
      <c r="U1211">
        <f t="shared" si="18"/>
        <v>0</v>
      </c>
    </row>
    <row r="1212" spans="1:21" x14ac:dyDescent="0.25">
      <c r="A1212" s="2" t="s">
        <v>1891</v>
      </c>
      <c r="B1212" s="2" t="s">
        <v>227</v>
      </c>
      <c r="C1212" s="1">
        <v>45947</v>
      </c>
      <c r="D1212" s="2" t="s">
        <v>45</v>
      </c>
      <c r="E1212" s="2" t="s">
        <v>46</v>
      </c>
      <c r="F1212" s="2" t="s">
        <v>94</v>
      </c>
      <c r="G1212">
        <v>1</v>
      </c>
      <c r="H1212" s="2" t="s">
        <v>52</v>
      </c>
      <c r="I1212">
        <v>246.87</v>
      </c>
      <c r="J1212">
        <v>20</v>
      </c>
      <c r="K1212">
        <v>49.37</v>
      </c>
      <c r="L1212">
        <v>39.06</v>
      </c>
      <c r="M1212">
        <v>112.95</v>
      </c>
      <c r="N1212">
        <v>0</v>
      </c>
      <c r="O1212">
        <v>6.03</v>
      </c>
      <c r="P1212" s="2" t="s">
        <v>42</v>
      </c>
      <c r="Q1212">
        <v>0</v>
      </c>
      <c r="R1212">
        <v>197.5</v>
      </c>
      <c r="S1212">
        <v>158.04</v>
      </c>
      <c r="T1212">
        <v>39.46</v>
      </c>
      <c r="U1212">
        <f t="shared" si="18"/>
        <v>0</v>
      </c>
    </row>
    <row r="1213" spans="1:21" x14ac:dyDescent="0.25">
      <c r="A1213" s="2" t="s">
        <v>1892</v>
      </c>
      <c r="B1213" s="2" t="s">
        <v>1253</v>
      </c>
      <c r="C1213" s="1">
        <v>45825</v>
      </c>
      <c r="D1213" s="2" t="s">
        <v>38</v>
      </c>
      <c r="E1213" s="2" t="s">
        <v>71</v>
      </c>
      <c r="F1213" s="2" t="s">
        <v>40</v>
      </c>
      <c r="G1213">
        <v>1</v>
      </c>
      <c r="H1213" s="2" t="s">
        <v>77</v>
      </c>
      <c r="I1213">
        <v>31.87</v>
      </c>
      <c r="J1213">
        <v>0</v>
      </c>
      <c r="K1213">
        <v>0</v>
      </c>
      <c r="L1213">
        <v>9.58</v>
      </c>
      <c r="M1213">
        <v>10.3</v>
      </c>
      <c r="N1213">
        <v>0</v>
      </c>
      <c r="O1213">
        <v>1.22</v>
      </c>
      <c r="P1213" s="2" t="s">
        <v>42</v>
      </c>
      <c r="Q1213">
        <v>0</v>
      </c>
      <c r="R1213">
        <v>31.87</v>
      </c>
      <c r="S1213">
        <v>21.1</v>
      </c>
      <c r="T1213">
        <v>10.77</v>
      </c>
      <c r="U1213">
        <f t="shared" si="18"/>
        <v>0</v>
      </c>
    </row>
    <row r="1214" spans="1:21" x14ac:dyDescent="0.25">
      <c r="A1214" s="2" t="s">
        <v>1893</v>
      </c>
      <c r="B1214" s="2" t="s">
        <v>253</v>
      </c>
      <c r="C1214" s="1">
        <v>45906</v>
      </c>
      <c r="D1214" s="2" t="s">
        <v>59</v>
      </c>
      <c r="E1214" s="2" t="s">
        <v>46</v>
      </c>
      <c r="F1214" s="2" t="s">
        <v>47</v>
      </c>
      <c r="G1214">
        <v>1</v>
      </c>
      <c r="H1214" s="2" t="s">
        <v>64</v>
      </c>
      <c r="I1214">
        <v>20.57</v>
      </c>
      <c r="J1214">
        <v>20</v>
      </c>
      <c r="K1214">
        <v>4.1100000000000003</v>
      </c>
      <c r="L1214">
        <v>7.02</v>
      </c>
      <c r="M1214">
        <v>7.36</v>
      </c>
      <c r="N1214">
        <v>2.4700000000000002</v>
      </c>
      <c r="O1214">
        <v>0.78</v>
      </c>
      <c r="P1214" s="2" t="s">
        <v>42</v>
      </c>
      <c r="Q1214">
        <v>0</v>
      </c>
      <c r="R1214">
        <v>16.46</v>
      </c>
      <c r="S1214">
        <v>17.63</v>
      </c>
      <c r="T1214">
        <v>-1.17</v>
      </c>
      <c r="U1214">
        <f t="shared" si="18"/>
        <v>0</v>
      </c>
    </row>
    <row r="1215" spans="1:21" x14ac:dyDescent="0.25">
      <c r="A1215" s="2" t="s">
        <v>1894</v>
      </c>
      <c r="B1215" s="2" t="s">
        <v>1288</v>
      </c>
      <c r="C1215" s="1">
        <v>45431</v>
      </c>
      <c r="D1215" s="2" t="s">
        <v>45</v>
      </c>
      <c r="E1215" s="2" t="s">
        <v>46</v>
      </c>
      <c r="F1215" s="2" t="s">
        <v>94</v>
      </c>
      <c r="G1215">
        <v>1</v>
      </c>
      <c r="H1215" s="2" t="s">
        <v>41</v>
      </c>
      <c r="I1215">
        <v>20.67</v>
      </c>
      <c r="J1215">
        <v>0</v>
      </c>
      <c r="K1215">
        <v>0</v>
      </c>
      <c r="L1215">
        <v>4.3</v>
      </c>
      <c r="M1215">
        <v>5.96</v>
      </c>
      <c r="N1215">
        <v>0</v>
      </c>
      <c r="O1215">
        <v>0.9</v>
      </c>
      <c r="P1215" s="2" t="s">
        <v>42</v>
      </c>
      <c r="Q1215">
        <v>0</v>
      </c>
      <c r="R1215">
        <v>20.67</v>
      </c>
      <c r="S1215">
        <v>11.16</v>
      </c>
      <c r="T1215">
        <v>9.51</v>
      </c>
      <c r="U1215">
        <f t="shared" si="18"/>
        <v>0</v>
      </c>
    </row>
    <row r="1216" spans="1:21" x14ac:dyDescent="0.25">
      <c r="A1216" s="2" t="s">
        <v>1895</v>
      </c>
      <c r="B1216" s="2" t="s">
        <v>359</v>
      </c>
      <c r="C1216" s="1">
        <v>45954</v>
      </c>
      <c r="D1216" s="2" t="s">
        <v>45</v>
      </c>
      <c r="E1216" s="2" t="s">
        <v>46</v>
      </c>
      <c r="F1216" s="2" t="s">
        <v>40</v>
      </c>
      <c r="G1216">
        <v>2</v>
      </c>
      <c r="H1216" s="2" t="s">
        <v>56</v>
      </c>
      <c r="I1216">
        <v>77.89</v>
      </c>
      <c r="J1216">
        <v>25</v>
      </c>
      <c r="K1216">
        <v>19.47</v>
      </c>
      <c r="L1216">
        <v>36.82</v>
      </c>
      <c r="M1216">
        <v>39.049999999999997</v>
      </c>
      <c r="N1216">
        <v>0</v>
      </c>
      <c r="O1216">
        <v>1.99</v>
      </c>
      <c r="P1216" s="2" t="s">
        <v>42</v>
      </c>
      <c r="Q1216">
        <v>0</v>
      </c>
      <c r="R1216">
        <v>58.42</v>
      </c>
      <c r="S1216">
        <v>77.86</v>
      </c>
      <c r="T1216">
        <v>-19.440000000000001</v>
      </c>
      <c r="U1216">
        <f t="shared" si="18"/>
        <v>0</v>
      </c>
    </row>
    <row r="1217" spans="1:21" x14ac:dyDescent="0.25">
      <c r="A1217" s="2" t="s">
        <v>1896</v>
      </c>
      <c r="B1217" s="2" t="s">
        <v>1897</v>
      </c>
      <c r="C1217" s="1">
        <v>45849</v>
      </c>
      <c r="D1217" s="2" t="s">
        <v>45</v>
      </c>
      <c r="E1217" s="2" t="s">
        <v>55</v>
      </c>
      <c r="F1217" s="2" t="s">
        <v>94</v>
      </c>
      <c r="G1217">
        <v>1</v>
      </c>
      <c r="H1217" s="2" t="s">
        <v>52</v>
      </c>
      <c r="I1217">
        <v>10.050000000000001</v>
      </c>
      <c r="J1217">
        <v>15</v>
      </c>
      <c r="K1217">
        <v>1.51</v>
      </c>
      <c r="L1217">
        <v>9.18</v>
      </c>
      <c r="M1217">
        <v>6.91</v>
      </c>
      <c r="N1217">
        <v>0</v>
      </c>
      <c r="O1217">
        <v>0.55000000000000004</v>
      </c>
      <c r="P1217" s="2" t="s">
        <v>42</v>
      </c>
      <c r="Q1217">
        <v>0</v>
      </c>
      <c r="R1217">
        <v>8.5399999999999991</v>
      </c>
      <c r="S1217">
        <v>16.64</v>
      </c>
      <c r="T1217">
        <v>-8.1</v>
      </c>
      <c r="U1217">
        <f t="shared" si="18"/>
        <v>0</v>
      </c>
    </row>
    <row r="1218" spans="1:21" x14ac:dyDescent="0.25">
      <c r="A1218" s="2" t="s">
        <v>1898</v>
      </c>
      <c r="B1218" s="2" t="s">
        <v>522</v>
      </c>
      <c r="C1218" s="1">
        <v>45856</v>
      </c>
      <c r="D1218" s="2" t="s">
        <v>38</v>
      </c>
      <c r="E1218" s="2" t="s">
        <v>39</v>
      </c>
      <c r="F1218" s="2" t="s">
        <v>47</v>
      </c>
      <c r="G1218">
        <v>1</v>
      </c>
      <c r="H1218" s="2" t="s">
        <v>77</v>
      </c>
      <c r="I1218">
        <v>16.8</v>
      </c>
      <c r="J1218">
        <v>0</v>
      </c>
      <c r="K1218">
        <v>0</v>
      </c>
      <c r="L1218">
        <v>4.1399999999999997</v>
      </c>
      <c r="M1218">
        <v>8.25</v>
      </c>
      <c r="N1218">
        <v>0</v>
      </c>
      <c r="O1218">
        <v>0.79</v>
      </c>
      <c r="P1218" s="2" t="s">
        <v>42</v>
      </c>
      <c r="Q1218">
        <v>0</v>
      </c>
      <c r="R1218">
        <v>16.8</v>
      </c>
      <c r="S1218">
        <v>13.18</v>
      </c>
      <c r="T1218">
        <v>3.62</v>
      </c>
      <c r="U1218">
        <f t="shared" si="18"/>
        <v>0</v>
      </c>
    </row>
    <row r="1219" spans="1:21" x14ac:dyDescent="0.25">
      <c r="A1219" s="2" t="s">
        <v>1899</v>
      </c>
      <c r="B1219" s="2" t="s">
        <v>289</v>
      </c>
      <c r="C1219" s="1">
        <v>45591</v>
      </c>
      <c r="D1219" s="2" t="s">
        <v>59</v>
      </c>
      <c r="E1219" s="2" t="s">
        <v>55</v>
      </c>
      <c r="F1219" s="2" t="s">
        <v>47</v>
      </c>
      <c r="G1219">
        <v>1</v>
      </c>
      <c r="H1219" s="2" t="s">
        <v>111</v>
      </c>
      <c r="I1219">
        <v>57.08</v>
      </c>
      <c r="J1219">
        <v>0</v>
      </c>
      <c r="K1219">
        <v>0</v>
      </c>
      <c r="L1219">
        <v>11.26</v>
      </c>
      <c r="M1219">
        <v>26.65</v>
      </c>
      <c r="N1219">
        <v>8.56</v>
      </c>
      <c r="O1219">
        <v>1.96</v>
      </c>
      <c r="P1219" s="2" t="s">
        <v>42</v>
      </c>
      <c r="Q1219">
        <v>0</v>
      </c>
      <c r="R1219">
        <v>57.08</v>
      </c>
      <c r="S1219">
        <v>48.43</v>
      </c>
      <c r="T1219">
        <v>8.65</v>
      </c>
      <c r="U1219">
        <f t="shared" si="18"/>
        <v>0</v>
      </c>
    </row>
    <row r="1220" spans="1:21" x14ac:dyDescent="0.25">
      <c r="A1220" s="2" t="s">
        <v>1900</v>
      </c>
      <c r="B1220" s="2" t="s">
        <v>1787</v>
      </c>
      <c r="C1220" s="1">
        <v>45654</v>
      </c>
      <c r="D1220" s="2" t="s">
        <v>38</v>
      </c>
      <c r="E1220" s="2" t="s">
        <v>71</v>
      </c>
      <c r="F1220" s="2" t="s">
        <v>94</v>
      </c>
      <c r="G1220">
        <v>2</v>
      </c>
      <c r="H1220" s="2" t="s">
        <v>111</v>
      </c>
      <c r="I1220">
        <v>214.73</v>
      </c>
      <c r="J1220">
        <v>0</v>
      </c>
      <c r="K1220">
        <v>0</v>
      </c>
      <c r="L1220">
        <v>32.1</v>
      </c>
      <c r="M1220">
        <v>83.14</v>
      </c>
      <c r="N1220">
        <v>0</v>
      </c>
      <c r="O1220">
        <v>6.53</v>
      </c>
      <c r="P1220" s="2" t="s">
        <v>42</v>
      </c>
      <c r="Q1220">
        <v>0</v>
      </c>
      <c r="R1220">
        <v>214.73</v>
      </c>
      <c r="S1220">
        <v>121.77</v>
      </c>
      <c r="T1220">
        <v>92.96</v>
      </c>
      <c r="U1220">
        <f t="shared" si="18"/>
        <v>0</v>
      </c>
    </row>
    <row r="1221" spans="1:21" x14ac:dyDescent="0.25">
      <c r="A1221" s="2" t="s">
        <v>1901</v>
      </c>
      <c r="B1221" s="2" t="s">
        <v>1902</v>
      </c>
      <c r="C1221" s="1">
        <v>45716</v>
      </c>
      <c r="D1221" s="2" t="s">
        <v>80</v>
      </c>
      <c r="E1221" s="2" t="s">
        <v>67</v>
      </c>
      <c r="F1221" s="2" t="s">
        <v>47</v>
      </c>
      <c r="G1221">
        <v>1</v>
      </c>
      <c r="H1221" s="2" t="s">
        <v>111</v>
      </c>
      <c r="I1221">
        <v>62.18</v>
      </c>
      <c r="J1221">
        <v>0</v>
      </c>
      <c r="K1221">
        <v>0</v>
      </c>
      <c r="L1221">
        <v>6.06</v>
      </c>
      <c r="M1221">
        <v>26.96</v>
      </c>
      <c r="N1221">
        <v>4.97</v>
      </c>
      <c r="O1221">
        <v>2.1</v>
      </c>
      <c r="P1221" s="2" t="s">
        <v>42</v>
      </c>
      <c r="Q1221">
        <v>0</v>
      </c>
      <c r="R1221">
        <v>62.18</v>
      </c>
      <c r="S1221">
        <v>40.090000000000003</v>
      </c>
      <c r="T1221">
        <v>22.09</v>
      </c>
      <c r="U1221">
        <f t="shared" ref="U1221:U1284" si="19">IF(P1219="Yes", 1, 0)</f>
        <v>0</v>
      </c>
    </row>
    <row r="1222" spans="1:21" x14ac:dyDescent="0.25">
      <c r="A1222" s="2" t="s">
        <v>1903</v>
      </c>
      <c r="B1222" s="2" t="s">
        <v>1904</v>
      </c>
      <c r="C1222" s="1">
        <v>45728</v>
      </c>
      <c r="D1222" s="2" t="s">
        <v>80</v>
      </c>
      <c r="E1222" s="2" t="s">
        <v>46</v>
      </c>
      <c r="F1222" s="2" t="s">
        <v>40</v>
      </c>
      <c r="G1222">
        <v>5</v>
      </c>
      <c r="H1222" s="2" t="s">
        <v>77</v>
      </c>
      <c r="I1222">
        <v>334.11</v>
      </c>
      <c r="J1222">
        <v>10</v>
      </c>
      <c r="K1222">
        <v>33.409999999999997</v>
      </c>
      <c r="L1222">
        <v>71.239999999999995</v>
      </c>
      <c r="M1222">
        <v>139.51</v>
      </c>
      <c r="N1222">
        <v>24.06</v>
      </c>
      <c r="O1222">
        <v>9.02</v>
      </c>
      <c r="P1222" s="2" t="s">
        <v>42</v>
      </c>
      <c r="Q1222">
        <v>0</v>
      </c>
      <c r="R1222">
        <v>300.7</v>
      </c>
      <c r="S1222">
        <v>243.83</v>
      </c>
      <c r="T1222">
        <v>56.87</v>
      </c>
      <c r="U1222">
        <f t="shared" si="19"/>
        <v>0</v>
      </c>
    </row>
    <row r="1223" spans="1:21" x14ac:dyDescent="0.25">
      <c r="A1223" s="2" t="s">
        <v>1905</v>
      </c>
      <c r="B1223" s="2" t="s">
        <v>231</v>
      </c>
      <c r="C1223" s="1">
        <v>45604</v>
      </c>
      <c r="D1223" s="2" t="s">
        <v>38</v>
      </c>
      <c r="E1223" s="2" t="s">
        <v>71</v>
      </c>
      <c r="F1223" s="2" t="s">
        <v>51</v>
      </c>
      <c r="G1223">
        <v>2</v>
      </c>
      <c r="H1223" s="2" t="s">
        <v>56</v>
      </c>
      <c r="I1223">
        <v>115.34</v>
      </c>
      <c r="J1223">
        <v>0</v>
      </c>
      <c r="K1223">
        <v>0</v>
      </c>
      <c r="L1223">
        <v>25.94</v>
      </c>
      <c r="M1223">
        <v>45.01</v>
      </c>
      <c r="N1223">
        <v>0</v>
      </c>
      <c r="O1223">
        <v>3.64</v>
      </c>
      <c r="P1223" s="2" t="s">
        <v>42</v>
      </c>
      <c r="Q1223">
        <v>0</v>
      </c>
      <c r="R1223">
        <v>115.34</v>
      </c>
      <c r="S1223">
        <v>74.59</v>
      </c>
      <c r="T1223">
        <v>40.75</v>
      </c>
      <c r="U1223">
        <f t="shared" si="19"/>
        <v>0</v>
      </c>
    </row>
    <row r="1224" spans="1:21" x14ac:dyDescent="0.25">
      <c r="A1224" s="2" t="s">
        <v>1906</v>
      </c>
      <c r="B1224" s="2" t="s">
        <v>439</v>
      </c>
      <c r="C1224" s="1">
        <v>45971</v>
      </c>
      <c r="D1224" s="2" t="s">
        <v>45</v>
      </c>
      <c r="E1224" s="2" t="s">
        <v>67</v>
      </c>
      <c r="F1224" s="2" t="s">
        <v>40</v>
      </c>
      <c r="G1224">
        <v>2</v>
      </c>
      <c r="H1224" s="2" t="s">
        <v>52</v>
      </c>
      <c r="I1224">
        <v>45.58</v>
      </c>
      <c r="J1224">
        <v>25</v>
      </c>
      <c r="K1224">
        <v>11.39</v>
      </c>
      <c r="L1224">
        <v>10.44</v>
      </c>
      <c r="M1224">
        <v>16.13</v>
      </c>
      <c r="N1224">
        <v>0</v>
      </c>
      <c r="O1224">
        <v>1.29</v>
      </c>
      <c r="P1224" s="2" t="s">
        <v>42</v>
      </c>
      <c r="Q1224">
        <v>0</v>
      </c>
      <c r="R1224">
        <v>34.19</v>
      </c>
      <c r="S1224">
        <v>27.86</v>
      </c>
      <c r="T1224">
        <v>6.33</v>
      </c>
      <c r="U1224">
        <f t="shared" si="19"/>
        <v>0</v>
      </c>
    </row>
    <row r="1225" spans="1:21" x14ac:dyDescent="0.25">
      <c r="A1225" s="2" t="s">
        <v>1907</v>
      </c>
      <c r="B1225" s="2" t="s">
        <v>1437</v>
      </c>
      <c r="C1225" s="1">
        <v>45717</v>
      </c>
      <c r="D1225" s="2" t="s">
        <v>45</v>
      </c>
      <c r="E1225" s="2" t="s">
        <v>55</v>
      </c>
      <c r="F1225" s="2" t="s">
        <v>51</v>
      </c>
      <c r="G1225">
        <v>1</v>
      </c>
      <c r="H1225" s="2" t="s">
        <v>77</v>
      </c>
      <c r="I1225">
        <v>10</v>
      </c>
      <c r="J1225">
        <v>0</v>
      </c>
      <c r="K1225">
        <v>0</v>
      </c>
      <c r="L1225">
        <v>6.14</v>
      </c>
      <c r="M1225">
        <v>3.35</v>
      </c>
      <c r="N1225">
        <v>0</v>
      </c>
      <c r="O1225">
        <v>0.59</v>
      </c>
      <c r="P1225" s="2" t="s">
        <v>42</v>
      </c>
      <c r="Q1225">
        <v>0</v>
      </c>
      <c r="R1225">
        <v>10</v>
      </c>
      <c r="S1225">
        <v>10.08</v>
      </c>
      <c r="T1225">
        <v>-0.08</v>
      </c>
      <c r="U1225">
        <f t="shared" si="19"/>
        <v>0</v>
      </c>
    </row>
    <row r="1226" spans="1:21" x14ac:dyDescent="0.25">
      <c r="A1226" s="2" t="s">
        <v>1908</v>
      </c>
      <c r="B1226" s="2" t="s">
        <v>768</v>
      </c>
      <c r="C1226" s="1">
        <v>45788</v>
      </c>
      <c r="D1226" s="2" t="s">
        <v>45</v>
      </c>
      <c r="E1226" s="2" t="s">
        <v>39</v>
      </c>
      <c r="F1226" s="2" t="s">
        <v>85</v>
      </c>
      <c r="G1226">
        <v>1</v>
      </c>
      <c r="H1226" s="2" t="s">
        <v>111</v>
      </c>
      <c r="I1226">
        <v>115.01</v>
      </c>
      <c r="J1226">
        <v>0</v>
      </c>
      <c r="K1226">
        <v>0</v>
      </c>
      <c r="L1226">
        <v>13.18</v>
      </c>
      <c r="M1226">
        <v>35.49</v>
      </c>
      <c r="N1226">
        <v>0</v>
      </c>
      <c r="O1226">
        <v>3.64</v>
      </c>
      <c r="P1226" s="2" t="s">
        <v>42</v>
      </c>
      <c r="Q1226">
        <v>0</v>
      </c>
      <c r="R1226">
        <v>115.01</v>
      </c>
      <c r="S1226">
        <v>52.31</v>
      </c>
      <c r="T1226">
        <v>62.7</v>
      </c>
      <c r="U1226">
        <f t="shared" si="19"/>
        <v>0</v>
      </c>
    </row>
    <row r="1227" spans="1:21" x14ac:dyDescent="0.25">
      <c r="A1227" s="2" t="s">
        <v>1909</v>
      </c>
      <c r="B1227" s="2" t="s">
        <v>828</v>
      </c>
      <c r="C1227" s="1">
        <v>45717</v>
      </c>
      <c r="D1227" s="2" t="s">
        <v>80</v>
      </c>
      <c r="E1227" s="2" t="s">
        <v>67</v>
      </c>
      <c r="F1227" s="2" t="s">
        <v>85</v>
      </c>
      <c r="G1227">
        <v>1</v>
      </c>
      <c r="H1227" s="2" t="s">
        <v>52</v>
      </c>
      <c r="I1227">
        <v>52.54</v>
      </c>
      <c r="J1227">
        <v>25</v>
      </c>
      <c r="K1227">
        <v>13.13</v>
      </c>
      <c r="L1227">
        <v>5.82</v>
      </c>
      <c r="M1227">
        <v>30.58</v>
      </c>
      <c r="N1227">
        <v>3.15</v>
      </c>
      <c r="O1227">
        <v>1.44</v>
      </c>
      <c r="P1227" s="2" t="s">
        <v>42</v>
      </c>
      <c r="Q1227">
        <v>0</v>
      </c>
      <c r="R1227">
        <v>39.409999999999997</v>
      </c>
      <c r="S1227">
        <v>40.99</v>
      </c>
      <c r="T1227">
        <v>-1.58</v>
      </c>
      <c r="U1227">
        <f t="shared" si="19"/>
        <v>0</v>
      </c>
    </row>
    <row r="1228" spans="1:21" x14ac:dyDescent="0.25">
      <c r="A1228" s="2" t="s">
        <v>1910</v>
      </c>
      <c r="B1228" s="2" t="s">
        <v>1911</v>
      </c>
      <c r="C1228" s="1">
        <v>45464</v>
      </c>
      <c r="D1228" s="2" t="s">
        <v>38</v>
      </c>
      <c r="E1228" s="2" t="s">
        <v>55</v>
      </c>
      <c r="F1228" s="2" t="s">
        <v>47</v>
      </c>
      <c r="G1228">
        <v>3</v>
      </c>
      <c r="H1228" s="2" t="s">
        <v>64</v>
      </c>
      <c r="I1228">
        <v>139.26</v>
      </c>
      <c r="J1228">
        <v>5</v>
      </c>
      <c r="K1228">
        <v>6.96</v>
      </c>
      <c r="L1228">
        <v>32.9</v>
      </c>
      <c r="M1228">
        <v>62.85</v>
      </c>
      <c r="N1228">
        <v>0</v>
      </c>
      <c r="O1228">
        <v>4.1399999999999997</v>
      </c>
      <c r="P1228" s="2" t="s">
        <v>42</v>
      </c>
      <c r="Q1228">
        <v>0</v>
      </c>
      <c r="R1228">
        <v>132.30000000000001</v>
      </c>
      <c r="S1228">
        <v>99.89</v>
      </c>
      <c r="T1228">
        <v>32.409999999999997</v>
      </c>
      <c r="U1228">
        <f t="shared" si="19"/>
        <v>0</v>
      </c>
    </row>
    <row r="1229" spans="1:21" x14ac:dyDescent="0.25">
      <c r="A1229" s="2" t="s">
        <v>1912</v>
      </c>
      <c r="B1229" s="2" t="s">
        <v>713</v>
      </c>
      <c r="C1229" s="1">
        <v>45697</v>
      </c>
      <c r="D1229" s="2" t="s">
        <v>38</v>
      </c>
      <c r="E1229" s="2" t="s">
        <v>55</v>
      </c>
      <c r="F1229" s="2" t="s">
        <v>47</v>
      </c>
      <c r="G1229">
        <v>1</v>
      </c>
      <c r="H1229" s="2" t="s">
        <v>56</v>
      </c>
      <c r="I1229">
        <v>19.260000000000002</v>
      </c>
      <c r="J1229">
        <v>0</v>
      </c>
      <c r="K1229">
        <v>0</v>
      </c>
      <c r="L1229">
        <v>5.26</v>
      </c>
      <c r="M1229">
        <v>7.33</v>
      </c>
      <c r="N1229">
        <v>0</v>
      </c>
      <c r="O1229">
        <v>0.86</v>
      </c>
      <c r="P1229" s="2" t="s">
        <v>42</v>
      </c>
      <c r="Q1229">
        <v>0</v>
      </c>
      <c r="R1229">
        <v>19.260000000000002</v>
      </c>
      <c r="S1229">
        <v>13.45</v>
      </c>
      <c r="T1229">
        <v>5.81</v>
      </c>
      <c r="U1229">
        <f t="shared" si="19"/>
        <v>0</v>
      </c>
    </row>
    <row r="1230" spans="1:21" x14ac:dyDescent="0.25">
      <c r="A1230" s="2" t="s">
        <v>1913</v>
      </c>
      <c r="B1230" s="2" t="s">
        <v>1725</v>
      </c>
      <c r="C1230" s="1">
        <v>45629</v>
      </c>
      <c r="D1230" s="2" t="s">
        <v>59</v>
      </c>
      <c r="E1230" s="2" t="s">
        <v>46</v>
      </c>
      <c r="F1230" s="2" t="s">
        <v>85</v>
      </c>
      <c r="G1230">
        <v>3</v>
      </c>
      <c r="H1230" s="2" t="s">
        <v>48</v>
      </c>
      <c r="I1230">
        <v>131.04</v>
      </c>
      <c r="J1230">
        <v>0</v>
      </c>
      <c r="K1230">
        <v>0</v>
      </c>
      <c r="L1230">
        <v>44.48</v>
      </c>
      <c r="M1230">
        <v>53.91</v>
      </c>
      <c r="N1230">
        <v>19.66</v>
      </c>
      <c r="O1230">
        <v>4.0999999999999996</v>
      </c>
      <c r="P1230" s="2" t="s">
        <v>42</v>
      </c>
      <c r="Q1230">
        <v>0</v>
      </c>
      <c r="R1230">
        <v>131.04</v>
      </c>
      <c r="S1230">
        <v>122.15</v>
      </c>
      <c r="T1230">
        <v>8.89</v>
      </c>
      <c r="U1230">
        <f t="shared" si="19"/>
        <v>0</v>
      </c>
    </row>
    <row r="1231" spans="1:21" x14ac:dyDescent="0.25">
      <c r="A1231" s="2" t="s">
        <v>1914</v>
      </c>
      <c r="B1231" s="2" t="s">
        <v>348</v>
      </c>
      <c r="C1231" s="1">
        <v>45883</v>
      </c>
      <c r="D1231" s="2" t="s">
        <v>45</v>
      </c>
      <c r="E1231" s="2" t="s">
        <v>46</v>
      </c>
      <c r="F1231" s="2" t="s">
        <v>51</v>
      </c>
      <c r="G1231">
        <v>2</v>
      </c>
      <c r="H1231" s="2" t="s">
        <v>77</v>
      </c>
      <c r="I1231">
        <v>35.86</v>
      </c>
      <c r="J1231">
        <v>20</v>
      </c>
      <c r="K1231">
        <v>7.17</v>
      </c>
      <c r="L1231">
        <v>24.04</v>
      </c>
      <c r="M1231">
        <v>17.760000000000002</v>
      </c>
      <c r="N1231">
        <v>0</v>
      </c>
      <c r="O1231">
        <v>1.1299999999999999</v>
      </c>
      <c r="P1231" s="2" t="s">
        <v>68</v>
      </c>
      <c r="Q1231">
        <v>28.69</v>
      </c>
      <c r="R1231">
        <v>0</v>
      </c>
      <c r="S1231">
        <v>42.93</v>
      </c>
      <c r="T1231">
        <v>-42.93</v>
      </c>
      <c r="U1231">
        <f t="shared" si="19"/>
        <v>0</v>
      </c>
    </row>
    <row r="1232" spans="1:21" x14ac:dyDescent="0.25">
      <c r="A1232" s="2" t="s">
        <v>1915</v>
      </c>
      <c r="B1232" s="2" t="s">
        <v>1083</v>
      </c>
      <c r="C1232" s="1">
        <v>45848</v>
      </c>
      <c r="D1232" s="2" t="s">
        <v>80</v>
      </c>
      <c r="E1232" s="2" t="s">
        <v>55</v>
      </c>
      <c r="F1232" s="2" t="s">
        <v>40</v>
      </c>
      <c r="G1232">
        <v>3</v>
      </c>
      <c r="H1232" s="2" t="s">
        <v>56</v>
      </c>
      <c r="I1232">
        <v>176.11</v>
      </c>
      <c r="J1232">
        <v>20</v>
      </c>
      <c r="K1232">
        <v>35.22</v>
      </c>
      <c r="L1232">
        <v>38.700000000000003</v>
      </c>
      <c r="M1232">
        <v>84.4</v>
      </c>
      <c r="N1232">
        <v>11.27</v>
      </c>
      <c r="O1232">
        <v>4.3899999999999997</v>
      </c>
      <c r="P1232" s="2" t="s">
        <v>42</v>
      </c>
      <c r="Q1232">
        <v>0</v>
      </c>
      <c r="R1232">
        <v>140.88999999999999</v>
      </c>
      <c r="S1232">
        <v>138.76</v>
      </c>
      <c r="T1232">
        <v>2.13</v>
      </c>
      <c r="U1232">
        <f t="shared" si="19"/>
        <v>0</v>
      </c>
    </row>
    <row r="1233" spans="1:21" x14ac:dyDescent="0.25">
      <c r="A1233" s="2" t="s">
        <v>1916</v>
      </c>
      <c r="B1233" s="2" t="s">
        <v>1145</v>
      </c>
      <c r="C1233" s="1">
        <v>45921</v>
      </c>
      <c r="D1233" s="2" t="s">
        <v>38</v>
      </c>
      <c r="E1233" s="2" t="s">
        <v>55</v>
      </c>
      <c r="F1233" s="2" t="s">
        <v>40</v>
      </c>
      <c r="G1233">
        <v>1</v>
      </c>
      <c r="H1233" s="2" t="s">
        <v>56</v>
      </c>
      <c r="I1233">
        <v>91.38</v>
      </c>
      <c r="J1233">
        <v>10</v>
      </c>
      <c r="K1233">
        <v>9.14</v>
      </c>
      <c r="L1233">
        <v>23.16</v>
      </c>
      <c r="M1233">
        <v>56.42</v>
      </c>
      <c r="N1233">
        <v>0</v>
      </c>
      <c r="O1233">
        <v>2.68</v>
      </c>
      <c r="P1233" s="2" t="s">
        <v>42</v>
      </c>
      <c r="Q1233">
        <v>0</v>
      </c>
      <c r="R1233">
        <v>82.24</v>
      </c>
      <c r="S1233">
        <v>82.26</v>
      </c>
      <c r="T1233">
        <v>-0.02</v>
      </c>
      <c r="U1233">
        <f t="shared" si="19"/>
        <v>1</v>
      </c>
    </row>
    <row r="1234" spans="1:21" x14ac:dyDescent="0.25">
      <c r="A1234" s="2" t="s">
        <v>1917</v>
      </c>
      <c r="B1234" s="2" t="s">
        <v>964</v>
      </c>
      <c r="C1234" s="1">
        <v>45557</v>
      </c>
      <c r="D1234" s="2" t="s">
        <v>59</v>
      </c>
      <c r="E1234" s="2" t="s">
        <v>71</v>
      </c>
      <c r="F1234" s="2" t="s">
        <v>47</v>
      </c>
      <c r="G1234">
        <v>2</v>
      </c>
      <c r="H1234" s="2" t="s">
        <v>64</v>
      </c>
      <c r="I1234">
        <v>119.28</v>
      </c>
      <c r="J1234">
        <v>15</v>
      </c>
      <c r="K1234">
        <v>17.89</v>
      </c>
      <c r="L1234">
        <v>28.9</v>
      </c>
      <c r="M1234">
        <v>64.95</v>
      </c>
      <c r="N1234">
        <v>15.21</v>
      </c>
      <c r="O1234">
        <v>3.24</v>
      </c>
      <c r="P1234" s="2" t="s">
        <v>42</v>
      </c>
      <c r="Q1234">
        <v>0</v>
      </c>
      <c r="R1234">
        <v>101.39</v>
      </c>
      <c r="S1234">
        <v>112.3</v>
      </c>
      <c r="T1234">
        <v>-10.91</v>
      </c>
      <c r="U1234">
        <f t="shared" si="19"/>
        <v>0</v>
      </c>
    </row>
    <row r="1235" spans="1:21" x14ac:dyDescent="0.25">
      <c r="A1235" s="2" t="s">
        <v>1918</v>
      </c>
      <c r="B1235" s="2" t="s">
        <v>1919</v>
      </c>
      <c r="C1235" s="1">
        <v>45627</v>
      </c>
      <c r="D1235" s="2" t="s">
        <v>38</v>
      </c>
      <c r="E1235" s="2" t="s">
        <v>46</v>
      </c>
      <c r="F1235" s="2" t="s">
        <v>40</v>
      </c>
      <c r="G1235">
        <v>2</v>
      </c>
      <c r="H1235" s="2" t="s">
        <v>77</v>
      </c>
      <c r="I1235">
        <v>131.80000000000001</v>
      </c>
      <c r="J1235">
        <v>10</v>
      </c>
      <c r="K1235">
        <v>13.18</v>
      </c>
      <c r="L1235">
        <v>20.2</v>
      </c>
      <c r="M1235">
        <v>44.92</v>
      </c>
      <c r="N1235">
        <v>0</v>
      </c>
      <c r="O1235">
        <v>3.74</v>
      </c>
      <c r="P1235" s="2" t="s">
        <v>42</v>
      </c>
      <c r="Q1235">
        <v>0</v>
      </c>
      <c r="R1235">
        <v>118.62</v>
      </c>
      <c r="S1235">
        <v>68.86</v>
      </c>
      <c r="T1235">
        <v>49.76</v>
      </c>
      <c r="U1235">
        <f t="shared" si="19"/>
        <v>0</v>
      </c>
    </row>
    <row r="1236" spans="1:21" x14ac:dyDescent="0.25">
      <c r="A1236" s="2" t="s">
        <v>1920</v>
      </c>
      <c r="B1236" s="2" t="s">
        <v>264</v>
      </c>
      <c r="C1236" s="1">
        <v>45598</v>
      </c>
      <c r="D1236" s="2" t="s">
        <v>45</v>
      </c>
      <c r="E1236" s="2" t="s">
        <v>55</v>
      </c>
      <c r="F1236" s="2" t="s">
        <v>47</v>
      </c>
      <c r="G1236">
        <v>3</v>
      </c>
      <c r="H1236" s="2" t="s">
        <v>64</v>
      </c>
      <c r="I1236">
        <v>237.42</v>
      </c>
      <c r="J1236">
        <v>0</v>
      </c>
      <c r="K1236">
        <v>0</v>
      </c>
      <c r="L1236">
        <v>35.92</v>
      </c>
      <c r="M1236">
        <v>107.46</v>
      </c>
      <c r="N1236">
        <v>0</v>
      </c>
      <c r="O1236">
        <v>7.19</v>
      </c>
      <c r="P1236" s="2" t="s">
        <v>42</v>
      </c>
      <c r="Q1236">
        <v>0</v>
      </c>
      <c r="R1236">
        <v>237.42</v>
      </c>
      <c r="S1236">
        <v>150.57</v>
      </c>
      <c r="T1236">
        <v>86.85</v>
      </c>
      <c r="U1236">
        <f t="shared" si="19"/>
        <v>0</v>
      </c>
    </row>
    <row r="1237" spans="1:21" x14ac:dyDescent="0.25">
      <c r="A1237" s="2" t="s">
        <v>1921</v>
      </c>
      <c r="B1237" s="2" t="s">
        <v>1922</v>
      </c>
      <c r="C1237" s="1">
        <v>45641</v>
      </c>
      <c r="D1237" s="2" t="s">
        <v>45</v>
      </c>
      <c r="E1237" s="2" t="s">
        <v>46</v>
      </c>
      <c r="F1237" s="2" t="s">
        <v>40</v>
      </c>
      <c r="G1237">
        <v>1</v>
      </c>
      <c r="H1237" s="2" t="s">
        <v>41</v>
      </c>
      <c r="I1237">
        <v>126.75</v>
      </c>
      <c r="J1237">
        <v>10</v>
      </c>
      <c r="K1237">
        <v>12.68</v>
      </c>
      <c r="L1237">
        <v>40.74</v>
      </c>
      <c r="M1237">
        <v>68.849999999999994</v>
      </c>
      <c r="N1237">
        <v>0</v>
      </c>
      <c r="O1237">
        <v>3.61</v>
      </c>
      <c r="P1237" s="2" t="s">
        <v>42</v>
      </c>
      <c r="Q1237">
        <v>0</v>
      </c>
      <c r="R1237">
        <v>114.07</v>
      </c>
      <c r="S1237">
        <v>113.2</v>
      </c>
      <c r="T1237">
        <v>0.87</v>
      </c>
      <c r="U1237">
        <f t="shared" si="19"/>
        <v>0</v>
      </c>
    </row>
    <row r="1238" spans="1:21" x14ac:dyDescent="0.25">
      <c r="A1238" s="2" t="s">
        <v>1923</v>
      </c>
      <c r="B1238" s="2" t="s">
        <v>1647</v>
      </c>
      <c r="C1238" s="1">
        <v>45741</v>
      </c>
      <c r="D1238" s="2" t="s">
        <v>45</v>
      </c>
      <c r="E1238" s="2" t="s">
        <v>46</v>
      </c>
      <c r="F1238" s="2" t="s">
        <v>47</v>
      </c>
      <c r="G1238">
        <v>1</v>
      </c>
      <c r="H1238" s="2" t="s">
        <v>52</v>
      </c>
      <c r="I1238">
        <v>76.83</v>
      </c>
      <c r="J1238">
        <v>25</v>
      </c>
      <c r="K1238">
        <v>19.21</v>
      </c>
      <c r="L1238">
        <v>9.02</v>
      </c>
      <c r="M1238">
        <v>27.31</v>
      </c>
      <c r="N1238">
        <v>0</v>
      </c>
      <c r="O1238">
        <v>1.97</v>
      </c>
      <c r="P1238" s="2" t="s">
        <v>42</v>
      </c>
      <c r="Q1238">
        <v>0</v>
      </c>
      <c r="R1238">
        <v>57.62</v>
      </c>
      <c r="S1238">
        <v>38.299999999999997</v>
      </c>
      <c r="T1238">
        <v>19.32</v>
      </c>
      <c r="U1238">
        <f t="shared" si="19"/>
        <v>0</v>
      </c>
    </row>
    <row r="1239" spans="1:21" x14ac:dyDescent="0.25">
      <c r="A1239" s="2" t="s">
        <v>1924</v>
      </c>
      <c r="B1239" s="2" t="s">
        <v>999</v>
      </c>
      <c r="C1239" s="1">
        <v>45916</v>
      </c>
      <c r="D1239" s="2" t="s">
        <v>59</v>
      </c>
      <c r="E1239" s="2" t="s">
        <v>46</v>
      </c>
      <c r="F1239" s="2" t="s">
        <v>94</v>
      </c>
      <c r="G1239">
        <v>1</v>
      </c>
      <c r="H1239" s="2" t="s">
        <v>64</v>
      </c>
      <c r="I1239">
        <v>6.07</v>
      </c>
      <c r="J1239">
        <v>10</v>
      </c>
      <c r="K1239">
        <v>0.61</v>
      </c>
      <c r="L1239">
        <v>12.94</v>
      </c>
      <c r="M1239">
        <v>4.1399999999999997</v>
      </c>
      <c r="N1239">
        <v>0.82</v>
      </c>
      <c r="O1239">
        <v>0.46</v>
      </c>
      <c r="P1239" s="2" t="s">
        <v>68</v>
      </c>
      <c r="Q1239">
        <v>5.46</v>
      </c>
      <c r="R1239">
        <v>0</v>
      </c>
      <c r="S1239">
        <v>18.36</v>
      </c>
      <c r="T1239">
        <v>-18.36</v>
      </c>
      <c r="U1239">
        <f t="shared" si="19"/>
        <v>0</v>
      </c>
    </row>
    <row r="1240" spans="1:21" x14ac:dyDescent="0.25">
      <c r="A1240" s="2" t="s">
        <v>1925</v>
      </c>
      <c r="B1240" s="2" t="s">
        <v>520</v>
      </c>
      <c r="C1240" s="1">
        <v>45667</v>
      </c>
      <c r="D1240" s="2" t="s">
        <v>45</v>
      </c>
      <c r="E1240" s="2" t="s">
        <v>71</v>
      </c>
      <c r="F1240" s="2" t="s">
        <v>85</v>
      </c>
      <c r="G1240">
        <v>2</v>
      </c>
      <c r="H1240" s="2" t="s">
        <v>64</v>
      </c>
      <c r="I1240">
        <v>112.48</v>
      </c>
      <c r="J1240">
        <v>0</v>
      </c>
      <c r="K1240">
        <v>0</v>
      </c>
      <c r="L1240">
        <v>28.28</v>
      </c>
      <c r="M1240">
        <v>58.74</v>
      </c>
      <c r="N1240">
        <v>0</v>
      </c>
      <c r="O1240">
        <v>3.56</v>
      </c>
      <c r="P1240" s="2" t="s">
        <v>42</v>
      </c>
      <c r="Q1240">
        <v>0</v>
      </c>
      <c r="R1240">
        <v>112.48</v>
      </c>
      <c r="S1240">
        <v>90.58</v>
      </c>
      <c r="T1240">
        <v>21.9</v>
      </c>
      <c r="U1240">
        <f t="shared" si="19"/>
        <v>0</v>
      </c>
    </row>
    <row r="1241" spans="1:21" x14ac:dyDescent="0.25">
      <c r="A1241" s="2" t="s">
        <v>1926</v>
      </c>
      <c r="B1241" s="2" t="s">
        <v>922</v>
      </c>
      <c r="C1241" s="1">
        <v>45827</v>
      </c>
      <c r="D1241" s="2" t="s">
        <v>59</v>
      </c>
      <c r="E1241" s="2" t="s">
        <v>55</v>
      </c>
      <c r="F1241" s="2" t="s">
        <v>94</v>
      </c>
      <c r="G1241">
        <v>1</v>
      </c>
      <c r="H1241" s="2" t="s">
        <v>64</v>
      </c>
      <c r="I1241">
        <v>46.68</v>
      </c>
      <c r="J1241">
        <v>0</v>
      </c>
      <c r="K1241">
        <v>0</v>
      </c>
      <c r="L1241">
        <v>10.3</v>
      </c>
      <c r="M1241">
        <v>15.73</v>
      </c>
      <c r="N1241">
        <v>7</v>
      </c>
      <c r="O1241">
        <v>1.65</v>
      </c>
      <c r="P1241" s="2" t="s">
        <v>42</v>
      </c>
      <c r="Q1241">
        <v>0</v>
      </c>
      <c r="R1241">
        <v>46.68</v>
      </c>
      <c r="S1241">
        <v>34.68</v>
      </c>
      <c r="T1241">
        <v>12</v>
      </c>
      <c r="U1241">
        <f t="shared" si="19"/>
        <v>1</v>
      </c>
    </row>
    <row r="1242" spans="1:21" x14ac:dyDescent="0.25">
      <c r="A1242" s="2" t="s">
        <v>1927</v>
      </c>
      <c r="B1242" s="2" t="s">
        <v>873</v>
      </c>
      <c r="C1242" s="1">
        <v>45778</v>
      </c>
      <c r="D1242" s="2" t="s">
        <v>45</v>
      </c>
      <c r="E1242" s="2" t="s">
        <v>39</v>
      </c>
      <c r="F1242" s="2" t="s">
        <v>94</v>
      </c>
      <c r="G1242">
        <v>1</v>
      </c>
      <c r="H1242" s="2" t="s">
        <v>48</v>
      </c>
      <c r="I1242">
        <v>24.9</v>
      </c>
      <c r="J1242">
        <v>0</v>
      </c>
      <c r="K1242">
        <v>0</v>
      </c>
      <c r="L1242">
        <v>39.54</v>
      </c>
      <c r="M1242">
        <v>10.95</v>
      </c>
      <c r="N1242">
        <v>0</v>
      </c>
      <c r="O1242">
        <v>1.02</v>
      </c>
      <c r="P1242" s="2" t="s">
        <v>42</v>
      </c>
      <c r="Q1242">
        <v>0</v>
      </c>
      <c r="R1242">
        <v>24.9</v>
      </c>
      <c r="S1242">
        <v>51.51</v>
      </c>
      <c r="T1242">
        <v>-26.61</v>
      </c>
      <c r="U1242">
        <f t="shared" si="19"/>
        <v>0</v>
      </c>
    </row>
    <row r="1243" spans="1:21" x14ac:dyDescent="0.25">
      <c r="A1243" s="2" t="s">
        <v>1928</v>
      </c>
      <c r="B1243" s="2" t="s">
        <v>1902</v>
      </c>
      <c r="C1243" s="1">
        <v>45889</v>
      </c>
      <c r="D1243" s="2" t="s">
        <v>59</v>
      </c>
      <c r="E1243" s="2" t="s">
        <v>71</v>
      </c>
      <c r="F1243" s="2" t="s">
        <v>94</v>
      </c>
      <c r="G1243">
        <v>2</v>
      </c>
      <c r="H1243" s="2" t="s">
        <v>77</v>
      </c>
      <c r="I1243">
        <v>64.95</v>
      </c>
      <c r="J1243">
        <v>10</v>
      </c>
      <c r="K1243">
        <v>6.5</v>
      </c>
      <c r="L1243">
        <v>19.399999999999999</v>
      </c>
      <c r="M1243">
        <v>29.15</v>
      </c>
      <c r="N1243">
        <v>8.77</v>
      </c>
      <c r="O1243">
        <v>2</v>
      </c>
      <c r="P1243" s="2" t="s">
        <v>42</v>
      </c>
      <c r="Q1243">
        <v>0</v>
      </c>
      <c r="R1243">
        <v>58.45</v>
      </c>
      <c r="S1243">
        <v>59.32</v>
      </c>
      <c r="T1243">
        <v>-0.87</v>
      </c>
      <c r="U1243">
        <f t="shared" si="19"/>
        <v>0</v>
      </c>
    </row>
    <row r="1244" spans="1:21" x14ac:dyDescent="0.25">
      <c r="A1244" s="2" t="s">
        <v>1929</v>
      </c>
      <c r="B1244" s="2" t="s">
        <v>1930</v>
      </c>
      <c r="C1244" s="1">
        <v>45803</v>
      </c>
      <c r="D1244" s="2" t="s">
        <v>38</v>
      </c>
      <c r="E1244" s="2" t="s">
        <v>71</v>
      </c>
      <c r="F1244" s="2" t="s">
        <v>85</v>
      </c>
      <c r="G1244">
        <v>2</v>
      </c>
      <c r="H1244" s="2" t="s">
        <v>64</v>
      </c>
      <c r="I1244">
        <v>41.77</v>
      </c>
      <c r="J1244">
        <v>0</v>
      </c>
      <c r="K1244">
        <v>0</v>
      </c>
      <c r="L1244">
        <v>18.36</v>
      </c>
      <c r="M1244">
        <v>26.5</v>
      </c>
      <c r="N1244">
        <v>0</v>
      </c>
      <c r="O1244">
        <v>1.51</v>
      </c>
      <c r="P1244" s="2" t="s">
        <v>42</v>
      </c>
      <c r="Q1244">
        <v>0</v>
      </c>
      <c r="R1244">
        <v>41.77</v>
      </c>
      <c r="S1244">
        <v>46.37</v>
      </c>
      <c r="T1244">
        <v>-4.5999999999999996</v>
      </c>
      <c r="U1244">
        <f t="shared" si="19"/>
        <v>0</v>
      </c>
    </row>
    <row r="1245" spans="1:21" x14ac:dyDescent="0.25">
      <c r="A1245" s="2" t="s">
        <v>1931</v>
      </c>
      <c r="B1245" s="2" t="s">
        <v>1615</v>
      </c>
      <c r="C1245" s="1">
        <v>45851</v>
      </c>
      <c r="D1245" s="2" t="s">
        <v>45</v>
      </c>
      <c r="E1245" s="2" t="s">
        <v>39</v>
      </c>
      <c r="F1245" s="2" t="s">
        <v>40</v>
      </c>
      <c r="G1245">
        <v>2</v>
      </c>
      <c r="H1245" s="2" t="s">
        <v>64</v>
      </c>
      <c r="I1245">
        <v>114.78</v>
      </c>
      <c r="J1245">
        <v>25</v>
      </c>
      <c r="K1245">
        <v>28.7</v>
      </c>
      <c r="L1245">
        <v>24.9</v>
      </c>
      <c r="M1245">
        <v>44.88</v>
      </c>
      <c r="N1245">
        <v>0</v>
      </c>
      <c r="O1245">
        <v>2.8</v>
      </c>
      <c r="P1245" s="2" t="s">
        <v>42</v>
      </c>
      <c r="Q1245">
        <v>0</v>
      </c>
      <c r="R1245">
        <v>86.08</v>
      </c>
      <c r="S1245">
        <v>72.58</v>
      </c>
      <c r="T1245">
        <v>13.5</v>
      </c>
      <c r="U1245">
        <f t="shared" si="19"/>
        <v>0</v>
      </c>
    </row>
    <row r="1246" spans="1:21" x14ac:dyDescent="0.25">
      <c r="A1246" s="2" t="s">
        <v>1932</v>
      </c>
      <c r="B1246" s="2" t="s">
        <v>1433</v>
      </c>
      <c r="C1246" s="1">
        <v>45727</v>
      </c>
      <c r="D1246" s="2" t="s">
        <v>38</v>
      </c>
      <c r="E1246" s="2" t="s">
        <v>46</v>
      </c>
      <c r="F1246" s="2" t="s">
        <v>94</v>
      </c>
      <c r="G1246">
        <v>2</v>
      </c>
      <c r="H1246" s="2" t="s">
        <v>56</v>
      </c>
      <c r="I1246">
        <v>96.06</v>
      </c>
      <c r="J1246">
        <v>20</v>
      </c>
      <c r="K1246">
        <v>19.21</v>
      </c>
      <c r="L1246">
        <v>16.84</v>
      </c>
      <c r="M1246">
        <v>60.53</v>
      </c>
      <c r="N1246">
        <v>0</v>
      </c>
      <c r="O1246">
        <v>2.5299999999999998</v>
      </c>
      <c r="P1246" s="2" t="s">
        <v>42</v>
      </c>
      <c r="Q1246">
        <v>0</v>
      </c>
      <c r="R1246">
        <v>76.849999999999994</v>
      </c>
      <c r="S1246">
        <v>79.900000000000006</v>
      </c>
      <c r="T1246">
        <v>-3.05</v>
      </c>
      <c r="U1246">
        <f t="shared" si="19"/>
        <v>0</v>
      </c>
    </row>
    <row r="1247" spans="1:21" x14ac:dyDescent="0.25">
      <c r="A1247" s="2" t="s">
        <v>1933</v>
      </c>
      <c r="B1247" s="2" t="s">
        <v>1934</v>
      </c>
      <c r="C1247" s="1">
        <v>45865</v>
      </c>
      <c r="D1247" s="2" t="s">
        <v>45</v>
      </c>
      <c r="E1247" s="2" t="s">
        <v>71</v>
      </c>
      <c r="F1247" s="2" t="s">
        <v>85</v>
      </c>
      <c r="G1247">
        <v>1</v>
      </c>
      <c r="H1247" s="2" t="s">
        <v>41</v>
      </c>
      <c r="I1247">
        <v>42.25</v>
      </c>
      <c r="J1247">
        <v>0</v>
      </c>
      <c r="K1247">
        <v>0</v>
      </c>
      <c r="L1247">
        <v>13.58</v>
      </c>
      <c r="M1247">
        <v>22.95</v>
      </c>
      <c r="N1247">
        <v>0</v>
      </c>
      <c r="O1247">
        <v>1.53</v>
      </c>
      <c r="P1247" s="2" t="s">
        <v>42</v>
      </c>
      <c r="Q1247">
        <v>0</v>
      </c>
      <c r="R1247">
        <v>42.25</v>
      </c>
      <c r="S1247">
        <v>38.06</v>
      </c>
      <c r="T1247">
        <v>4.1900000000000004</v>
      </c>
      <c r="U1247">
        <f t="shared" si="19"/>
        <v>0</v>
      </c>
    </row>
    <row r="1248" spans="1:21" x14ac:dyDescent="0.25">
      <c r="A1248" s="2" t="s">
        <v>1935</v>
      </c>
      <c r="B1248" s="2" t="s">
        <v>1290</v>
      </c>
      <c r="C1248" s="1">
        <v>45976</v>
      </c>
      <c r="D1248" s="2" t="s">
        <v>59</v>
      </c>
      <c r="E1248" s="2" t="s">
        <v>71</v>
      </c>
      <c r="F1248" s="2" t="s">
        <v>51</v>
      </c>
      <c r="G1248">
        <v>2</v>
      </c>
      <c r="H1248" s="2" t="s">
        <v>64</v>
      </c>
      <c r="I1248">
        <v>144.84</v>
      </c>
      <c r="J1248">
        <v>0</v>
      </c>
      <c r="K1248">
        <v>0</v>
      </c>
      <c r="L1248">
        <v>20.52</v>
      </c>
      <c r="M1248">
        <v>51.55</v>
      </c>
      <c r="N1248">
        <v>21.73</v>
      </c>
      <c r="O1248">
        <v>4.5</v>
      </c>
      <c r="P1248" s="2" t="s">
        <v>42</v>
      </c>
      <c r="Q1248">
        <v>0</v>
      </c>
      <c r="R1248">
        <v>144.84</v>
      </c>
      <c r="S1248">
        <v>98.3</v>
      </c>
      <c r="T1248">
        <v>46.54</v>
      </c>
      <c r="U1248">
        <f t="shared" si="19"/>
        <v>0</v>
      </c>
    </row>
    <row r="1249" spans="1:21" x14ac:dyDescent="0.25">
      <c r="A1249" s="2" t="s">
        <v>1936</v>
      </c>
      <c r="B1249" s="2" t="s">
        <v>1182</v>
      </c>
      <c r="C1249" s="1">
        <v>45792</v>
      </c>
      <c r="D1249" s="2" t="s">
        <v>45</v>
      </c>
      <c r="E1249" s="2" t="s">
        <v>71</v>
      </c>
      <c r="F1249" s="2" t="s">
        <v>94</v>
      </c>
      <c r="G1249">
        <v>1</v>
      </c>
      <c r="H1249" s="2" t="s">
        <v>77</v>
      </c>
      <c r="I1249">
        <v>35.979999999999997</v>
      </c>
      <c r="J1249">
        <v>5</v>
      </c>
      <c r="K1249">
        <v>1.8</v>
      </c>
      <c r="L1249">
        <v>23.48</v>
      </c>
      <c r="M1249">
        <v>15.76</v>
      </c>
      <c r="N1249">
        <v>0</v>
      </c>
      <c r="O1249">
        <v>1.29</v>
      </c>
      <c r="P1249" s="2" t="s">
        <v>42</v>
      </c>
      <c r="Q1249">
        <v>0</v>
      </c>
      <c r="R1249">
        <v>34.18</v>
      </c>
      <c r="S1249">
        <v>40.53</v>
      </c>
      <c r="T1249">
        <v>-6.35</v>
      </c>
      <c r="U1249">
        <f t="shared" si="19"/>
        <v>0</v>
      </c>
    </row>
    <row r="1250" spans="1:21" x14ac:dyDescent="0.25">
      <c r="A1250" s="2" t="s">
        <v>1937</v>
      </c>
      <c r="B1250" s="2" t="s">
        <v>818</v>
      </c>
      <c r="C1250" s="1">
        <v>45861</v>
      </c>
      <c r="D1250" s="2" t="s">
        <v>45</v>
      </c>
      <c r="E1250" s="2" t="s">
        <v>46</v>
      </c>
      <c r="F1250" s="2" t="s">
        <v>47</v>
      </c>
      <c r="G1250">
        <v>1</v>
      </c>
      <c r="H1250" s="2" t="s">
        <v>52</v>
      </c>
      <c r="I1250">
        <v>69.12</v>
      </c>
      <c r="J1250">
        <v>0</v>
      </c>
      <c r="K1250">
        <v>0</v>
      </c>
      <c r="L1250">
        <v>9.1</v>
      </c>
      <c r="M1250">
        <v>20.88</v>
      </c>
      <c r="N1250">
        <v>0</v>
      </c>
      <c r="O1250">
        <v>2.2999999999999998</v>
      </c>
      <c r="P1250" s="2" t="s">
        <v>42</v>
      </c>
      <c r="Q1250">
        <v>0</v>
      </c>
      <c r="R1250">
        <v>69.12</v>
      </c>
      <c r="S1250">
        <v>32.28</v>
      </c>
      <c r="T1250">
        <v>36.840000000000003</v>
      </c>
      <c r="U1250">
        <f t="shared" si="19"/>
        <v>0</v>
      </c>
    </row>
    <row r="1251" spans="1:21" x14ac:dyDescent="0.25">
      <c r="A1251" s="2" t="s">
        <v>1938</v>
      </c>
      <c r="B1251" s="2" t="s">
        <v>1223</v>
      </c>
      <c r="C1251" s="1">
        <v>45531</v>
      </c>
      <c r="D1251" s="2" t="s">
        <v>38</v>
      </c>
      <c r="E1251" s="2" t="s">
        <v>46</v>
      </c>
      <c r="F1251" s="2" t="s">
        <v>51</v>
      </c>
      <c r="G1251">
        <v>2</v>
      </c>
      <c r="H1251" s="2" t="s">
        <v>52</v>
      </c>
      <c r="I1251">
        <v>147.91</v>
      </c>
      <c r="J1251">
        <v>15</v>
      </c>
      <c r="K1251">
        <v>22.19</v>
      </c>
      <c r="L1251">
        <v>22.6</v>
      </c>
      <c r="M1251">
        <v>52.24</v>
      </c>
      <c r="N1251">
        <v>0</v>
      </c>
      <c r="O1251">
        <v>3.95</v>
      </c>
      <c r="P1251" s="2" t="s">
        <v>42</v>
      </c>
      <c r="Q1251">
        <v>0</v>
      </c>
      <c r="R1251">
        <v>125.72</v>
      </c>
      <c r="S1251">
        <v>78.790000000000006</v>
      </c>
      <c r="T1251">
        <v>46.93</v>
      </c>
      <c r="U1251">
        <f t="shared" si="19"/>
        <v>0</v>
      </c>
    </row>
    <row r="1252" spans="1:21" x14ac:dyDescent="0.25">
      <c r="A1252" s="2" t="s">
        <v>1939</v>
      </c>
      <c r="B1252" s="2" t="s">
        <v>1940</v>
      </c>
      <c r="C1252" s="1">
        <v>45784</v>
      </c>
      <c r="D1252" s="2" t="s">
        <v>80</v>
      </c>
      <c r="E1252" s="2" t="s">
        <v>55</v>
      </c>
      <c r="F1252" s="2" t="s">
        <v>51</v>
      </c>
      <c r="G1252">
        <v>2</v>
      </c>
      <c r="H1252" s="2" t="s">
        <v>64</v>
      </c>
      <c r="I1252">
        <v>198.83</v>
      </c>
      <c r="J1252">
        <v>20</v>
      </c>
      <c r="K1252">
        <v>39.770000000000003</v>
      </c>
      <c r="L1252">
        <v>54.64</v>
      </c>
      <c r="M1252">
        <v>98.51</v>
      </c>
      <c r="N1252">
        <v>12.72</v>
      </c>
      <c r="O1252">
        <v>4.91</v>
      </c>
      <c r="P1252" s="2" t="s">
        <v>42</v>
      </c>
      <c r="Q1252">
        <v>0</v>
      </c>
      <c r="R1252">
        <v>159.06</v>
      </c>
      <c r="S1252">
        <v>170.78</v>
      </c>
      <c r="T1252">
        <v>-11.72</v>
      </c>
      <c r="U1252">
        <f t="shared" si="19"/>
        <v>0</v>
      </c>
    </row>
    <row r="1253" spans="1:21" x14ac:dyDescent="0.25">
      <c r="A1253" s="2" t="s">
        <v>1941</v>
      </c>
      <c r="B1253" s="2" t="s">
        <v>1942</v>
      </c>
      <c r="C1253" s="1">
        <v>45734</v>
      </c>
      <c r="D1253" s="2" t="s">
        <v>59</v>
      </c>
      <c r="E1253" s="2" t="s">
        <v>67</v>
      </c>
      <c r="F1253" s="2" t="s">
        <v>40</v>
      </c>
      <c r="G1253">
        <v>5</v>
      </c>
      <c r="H1253" s="2" t="s">
        <v>74</v>
      </c>
      <c r="I1253">
        <v>244.46</v>
      </c>
      <c r="J1253">
        <v>15</v>
      </c>
      <c r="K1253">
        <v>36.67</v>
      </c>
      <c r="L1253">
        <v>92.62</v>
      </c>
      <c r="M1253">
        <v>103</v>
      </c>
      <c r="N1253">
        <v>31.17</v>
      </c>
      <c r="O1253">
        <v>6.33</v>
      </c>
      <c r="P1253" s="2" t="s">
        <v>42</v>
      </c>
      <c r="Q1253">
        <v>0</v>
      </c>
      <c r="R1253">
        <v>207.79</v>
      </c>
      <c r="S1253">
        <v>233.12</v>
      </c>
      <c r="T1253">
        <v>-25.33</v>
      </c>
      <c r="U1253">
        <f t="shared" si="19"/>
        <v>0</v>
      </c>
    </row>
    <row r="1254" spans="1:21" x14ac:dyDescent="0.25">
      <c r="A1254" s="2" t="s">
        <v>1943</v>
      </c>
      <c r="B1254" s="2" t="s">
        <v>342</v>
      </c>
      <c r="C1254" s="1">
        <v>45510</v>
      </c>
      <c r="D1254" s="2" t="s">
        <v>45</v>
      </c>
      <c r="E1254" s="2" t="s">
        <v>46</v>
      </c>
      <c r="F1254" s="2" t="s">
        <v>40</v>
      </c>
      <c r="G1254">
        <v>1</v>
      </c>
      <c r="H1254" s="2" t="s">
        <v>77</v>
      </c>
      <c r="I1254">
        <v>16.190000000000001</v>
      </c>
      <c r="J1254">
        <v>10</v>
      </c>
      <c r="K1254">
        <v>1.62</v>
      </c>
      <c r="L1254">
        <v>14.7</v>
      </c>
      <c r="M1254">
        <v>5.89</v>
      </c>
      <c r="N1254">
        <v>0</v>
      </c>
      <c r="O1254">
        <v>0.72</v>
      </c>
      <c r="P1254" s="2" t="s">
        <v>42</v>
      </c>
      <c r="Q1254">
        <v>0</v>
      </c>
      <c r="R1254">
        <v>14.57</v>
      </c>
      <c r="S1254">
        <v>21.31</v>
      </c>
      <c r="T1254">
        <v>-6.74</v>
      </c>
      <c r="U1254">
        <f t="shared" si="19"/>
        <v>0</v>
      </c>
    </row>
    <row r="1255" spans="1:21" x14ac:dyDescent="0.25">
      <c r="A1255" s="2" t="s">
        <v>1944</v>
      </c>
      <c r="B1255" s="2" t="s">
        <v>842</v>
      </c>
      <c r="C1255" s="1">
        <v>45877</v>
      </c>
      <c r="D1255" s="2" t="s">
        <v>45</v>
      </c>
      <c r="E1255" s="2" t="s">
        <v>46</v>
      </c>
      <c r="F1255" s="2" t="s">
        <v>40</v>
      </c>
      <c r="G1255">
        <v>1</v>
      </c>
      <c r="H1255" s="2" t="s">
        <v>56</v>
      </c>
      <c r="I1255">
        <v>45.69</v>
      </c>
      <c r="J1255">
        <v>0</v>
      </c>
      <c r="K1255">
        <v>0</v>
      </c>
      <c r="L1255">
        <v>11.58</v>
      </c>
      <c r="M1255">
        <v>28.21</v>
      </c>
      <c r="N1255">
        <v>0</v>
      </c>
      <c r="O1255">
        <v>1.63</v>
      </c>
      <c r="P1255" s="2" t="s">
        <v>42</v>
      </c>
      <c r="Q1255">
        <v>0</v>
      </c>
      <c r="R1255">
        <v>45.69</v>
      </c>
      <c r="S1255">
        <v>41.42</v>
      </c>
      <c r="T1255">
        <v>4.2699999999999996</v>
      </c>
      <c r="U1255">
        <f t="shared" si="19"/>
        <v>0</v>
      </c>
    </row>
    <row r="1256" spans="1:21" x14ac:dyDescent="0.25">
      <c r="A1256" s="2" t="s">
        <v>1945</v>
      </c>
      <c r="B1256" s="2" t="s">
        <v>808</v>
      </c>
      <c r="C1256" s="1">
        <v>45824</v>
      </c>
      <c r="D1256" s="2" t="s">
        <v>38</v>
      </c>
      <c r="E1256" s="2" t="s">
        <v>67</v>
      </c>
      <c r="F1256" s="2" t="s">
        <v>85</v>
      </c>
      <c r="G1256">
        <v>2</v>
      </c>
      <c r="H1256" s="2" t="s">
        <v>64</v>
      </c>
      <c r="I1256">
        <v>74.69</v>
      </c>
      <c r="J1256">
        <v>15</v>
      </c>
      <c r="K1256">
        <v>11.2</v>
      </c>
      <c r="L1256">
        <v>17.8</v>
      </c>
      <c r="M1256">
        <v>27.67</v>
      </c>
      <c r="N1256">
        <v>0</v>
      </c>
      <c r="O1256">
        <v>2.14</v>
      </c>
      <c r="P1256" s="2" t="s">
        <v>42</v>
      </c>
      <c r="Q1256">
        <v>0</v>
      </c>
      <c r="R1256">
        <v>63.49</v>
      </c>
      <c r="S1256">
        <v>47.61</v>
      </c>
      <c r="T1256">
        <v>15.88</v>
      </c>
      <c r="U1256">
        <f t="shared" si="19"/>
        <v>0</v>
      </c>
    </row>
    <row r="1257" spans="1:21" x14ac:dyDescent="0.25">
      <c r="A1257" s="2" t="s">
        <v>1946</v>
      </c>
      <c r="B1257" s="2" t="s">
        <v>1081</v>
      </c>
      <c r="C1257" s="1">
        <v>45507</v>
      </c>
      <c r="D1257" s="2" t="s">
        <v>45</v>
      </c>
      <c r="E1257" s="2" t="s">
        <v>71</v>
      </c>
      <c r="F1257" s="2" t="s">
        <v>51</v>
      </c>
      <c r="G1257">
        <v>3</v>
      </c>
      <c r="H1257" s="2" t="s">
        <v>52</v>
      </c>
      <c r="I1257">
        <v>332.74</v>
      </c>
      <c r="J1257">
        <v>15</v>
      </c>
      <c r="K1257">
        <v>49.91</v>
      </c>
      <c r="L1257">
        <v>55.74</v>
      </c>
      <c r="M1257">
        <v>116.83</v>
      </c>
      <c r="N1257">
        <v>0</v>
      </c>
      <c r="O1257">
        <v>8.5</v>
      </c>
      <c r="P1257" s="2" t="s">
        <v>42</v>
      </c>
      <c r="Q1257">
        <v>0</v>
      </c>
      <c r="R1257">
        <v>282.83</v>
      </c>
      <c r="S1257">
        <v>181.07</v>
      </c>
      <c r="T1257">
        <v>101.76</v>
      </c>
      <c r="U1257">
        <f t="shared" si="19"/>
        <v>0</v>
      </c>
    </row>
    <row r="1258" spans="1:21" x14ac:dyDescent="0.25">
      <c r="A1258" s="2" t="s">
        <v>1947</v>
      </c>
      <c r="B1258" s="2" t="s">
        <v>1948</v>
      </c>
      <c r="C1258" s="1">
        <v>45542</v>
      </c>
      <c r="D1258" s="2" t="s">
        <v>38</v>
      </c>
      <c r="E1258" s="2" t="s">
        <v>71</v>
      </c>
      <c r="F1258" s="2" t="s">
        <v>85</v>
      </c>
      <c r="G1258">
        <v>2</v>
      </c>
      <c r="H1258" s="2" t="s">
        <v>64</v>
      </c>
      <c r="I1258">
        <v>199.19</v>
      </c>
      <c r="J1258">
        <v>10</v>
      </c>
      <c r="K1258">
        <v>19.920000000000002</v>
      </c>
      <c r="L1258">
        <v>40.880000000000003</v>
      </c>
      <c r="M1258">
        <v>66.55</v>
      </c>
      <c r="N1258">
        <v>0</v>
      </c>
      <c r="O1258">
        <v>5.5</v>
      </c>
      <c r="P1258" s="2" t="s">
        <v>42</v>
      </c>
      <c r="Q1258">
        <v>0</v>
      </c>
      <c r="R1258">
        <v>179.27</v>
      </c>
      <c r="S1258">
        <v>112.93</v>
      </c>
      <c r="T1258">
        <v>66.34</v>
      </c>
      <c r="U1258">
        <f t="shared" si="19"/>
        <v>0</v>
      </c>
    </row>
    <row r="1259" spans="1:21" x14ac:dyDescent="0.25">
      <c r="A1259" s="2" t="s">
        <v>1949</v>
      </c>
      <c r="B1259" s="2" t="s">
        <v>217</v>
      </c>
      <c r="C1259" s="1">
        <v>45656</v>
      </c>
      <c r="D1259" s="2" t="s">
        <v>45</v>
      </c>
      <c r="E1259" s="2" t="s">
        <v>67</v>
      </c>
      <c r="F1259" s="2" t="s">
        <v>47</v>
      </c>
      <c r="G1259">
        <v>1</v>
      </c>
      <c r="H1259" s="2" t="s">
        <v>52</v>
      </c>
      <c r="I1259">
        <v>14.74</v>
      </c>
      <c r="J1259">
        <v>20</v>
      </c>
      <c r="K1259">
        <v>2.95</v>
      </c>
      <c r="L1259">
        <v>5.58</v>
      </c>
      <c r="M1259">
        <v>4.57</v>
      </c>
      <c r="N1259">
        <v>0</v>
      </c>
      <c r="O1259">
        <v>0.64</v>
      </c>
      <c r="P1259" s="2" t="s">
        <v>42</v>
      </c>
      <c r="Q1259">
        <v>0</v>
      </c>
      <c r="R1259">
        <v>11.79</v>
      </c>
      <c r="S1259">
        <v>10.79</v>
      </c>
      <c r="T1259">
        <v>1</v>
      </c>
      <c r="U1259">
        <f t="shared" si="19"/>
        <v>0</v>
      </c>
    </row>
    <row r="1260" spans="1:21" x14ac:dyDescent="0.25">
      <c r="A1260" s="2" t="s">
        <v>1950</v>
      </c>
      <c r="B1260" s="2" t="s">
        <v>1951</v>
      </c>
      <c r="C1260" s="1">
        <v>45640</v>
      </c>
      <c r="D1260" s="2" t="s">
        <v>59</v>
      </c>
      <c r="E1260" s="2" t="s">
        <v>39</v>
      </c>
      <c r="F1260" s="2" t="s">
        <v>51</v>
      </c>
      <c r="G1260">
        <v>3</v>
      </c>
      <c r="H1260" s="2" t="s">
        <v>41</v>
      </c>
      <c r="I1260">
        <v>394.07</v>
      </c>
      <c r="J1260">
        <v>10</v>
      </c>
      <c r="K1260">
        <v>39.409999999999997</v>
      </c>
      <c r="L1260">
        <v>60.06</v>
      </c>
      <c r="M1260">
        <v>158.02000000000001</v>
      </c>
      <c r="N1260">
        <v>53.2</v>
      </c>
      <c r="O1260">
        <v>10.59</v>
      </c>
      <c r="P1260" s="2" t="s">
        <v>42</v>
      </c>
      <c r="Q1260">
        <v>0</v>
      </c>
      <c r="R1260">
        <v>354.66</v>
      </c>
      <c r="S1260">
        <v>281.87</v>
      </c>
      <c r="T1260">
        <v>72.790000000000006</v>
      </c>
      <c r="U1260">
        <f t="shared" si="19"/>
        <v>0</v>
      </c>
    </row>
    <row r="1261" spans="1:21" x14ac:dyDescent="0.25">
      <c r="A1261" s="2" t="s">
        <v>1952</v>
      </c>
      <c r="B1261" s="2" t="s">
        <v>1242</v>
      </c>
      <c r="C1261" s="1">
        <v>45887</v>
      </c>
      <c r="D1261" s="2" t="s">
        <v>59</v>
      </c>
      <c r="E1261" s="2" t="s">
        <v>67</v>
      </c>
      <c r="F1261" s="2" t="s">
        <v>40</v>
      </c>
      <c r="G1261">
        <v>1</v>
      </c>
      <c r="H1261" s="2" t="s">
        <v>56</v>
      </c>
      <c r="I1261">
        <v>29.69</v>
      </c>
      <c r="J1261">
        <v>15</v>
      </c>
      <c r="K1261">
        <v>4.45</v>
      </c>
      <c r="L1261">
        <v>6.06</v>
      </c>
      <c r="M1261">
        <v>18.66</v>
      </c>
      <c r="N1261">
        <v>3.79</v>
      </c>
      <c r="O1261">
        <v>1.03</v>
      </c>
      <c r="P1261" s="2" t="s">
        <v>42</v>
      </c>
      <c r="Q1261">
        <v>0</v>
      </c>
      <c r="R1261">
        <v>25.24</v>
      </c>
      <c r="S1261">
        <v>29.54</v>
      </c>
      <c r="T1261">
        <v>-4.3</v>
      </c>
      <c r="U1261">
        <f t="shared" si="19"/>
        <v>0</v>
      </c>
    </row>
    <row r="1262" spans="1:21" x14ac:dyDescent="0.25">
      <c r="A1262" s="2" t="s">
        <v>1953</v>
      </c>
      <c r="B1262" s="2" t="s">
        <v>386</v>
      </c>
      <c r="C1262" s="1">
        <v>45777</v>
      </c>
      <c r="D1262" s="2" t="s">
        <v>38</v>
      </c>
      <c r="E1262" s="2" t="s">
        <v>46</v>
      </c>
      <c r="F1262" s="2" t="s">
        <v>47</v>
      </c>
      <c r="G1262">
        <v>2</v>
      </c>
      <c r="H1262" s="2" t="s">
        <v>48</v>
      </c>
      <c r="I1262">
        <v>193.27</v>
      </c>
      <c r="J1262">
        <v>0</v>
      </c>
      <c r="K1262">
        <v>0</v>
      </c>
      <c r="L1262">
        <v>37.36</v>
      </c>
      <c r="M1262">
        <v>88.69</v>
      </c>
      <c r="N1262">
        <v>0</v>
      </c>
      <c r="O1262">
        <v>5.9</v>
      </c>
      <c r="P1262" s="2" t="s">
        <v>42</v>
      </c>
      <c r="Q1262">
        <v>0</v>
      </c>
      <c r="R1262">
        <v>193.27</v>
      </c>
      <c r="S1262">
        <v>131.94999999999999</v>
      </c>
      <c r="T1262">
        <v>61.32</v>
      </c>
      <c r="U1262">
        <f t="shared" si="19"/>
        <v>0</v>
      </c>
    </row>
    <row r="1263" spans="1:21" x14ac:dyDescent="0.25">
      <c r="A1263" s="2" t="s">
        <v>1954</v>
      </c>
      <c r="B1263" s="2" t="s">
        <v>1955</v>
      </c>
      <c r="C1263" s="1">
        <v>45681</v>
      </c>
      <c r="D1263" s="2" t="s">
        <v>45</v>
      </c>
      <c r="E1263" s="2" t="s">
        <v>39</v>
      </c>
      <c r="F1263" s="2" t="s">
        <v>85</v>
      </c>
      <c r="G1263">
        <v>1</v>
      </c>
      <c r="H1263" s="2" t="s">
        <v>56</v>
      </c>
      <c r="I1263">
        <v>103.35</v>
      </c>
      <c r="J1263">
        <v>0</v>
      </c>
      <c r="K1263">
        <v>0</v>
      </c>
      <c r="L1263">
        <v>5.0199999999999996</v>
      </c>
      <c r="M1263">
        <v>30.95</v>
      </c>
      <c r="N1263">
        <v>0</v>
      </c>
      <c r="O1263">
        <v>3.3</v>
      </c>
      <c r="P1263" s="2" t="s">
        <v>42</v>
      </c>
      <c r="Q1263">
        <v>0</v>
      </c>
      <c r="R1263">
        <v>103.35</v>
      </c>
      <c r="S1263">
        <v>39.270000000000003</v>
      </c>
      <c r="T1263">
        <v>64.08</v>
      </c>
      <c r="U1263">
        <f t="shared" si="19"/>
        <v>0</v>
      </c>
    </row>
    <row r="1264" spans="1:21" x14ac:dyDescent="0.25">
      <c r="A1264" s="2" t="s">
        <v>1956</v>
      </c>
      <c r="B1264" s="2" t="s">
        <v>1957</v>
      </c>
      <c r="C1264" s="1">
        <v>45344</v>
      </c>
      <c r="D1264" s="2" t="s">
        <v>59</v>
      </c>
      <c r="E1264" s="2" t="s">
        <v>46</v>
      </c>
      <c r="F1264" s="2" t="s">
        <v>85</v>
      </c>
      <c r="G1264">
        <v>3</v>
      </c>
      <c r="H1264" s="2" t="s">
        <v>111</v>
      </c>
      <c r="I1264">
        <v>259.8</v>
      </c>
      <c r="J1264">
        <v>5</v>
      </c>
      <c r="K1264">
        <v>12.99</v>
      </c>
      <c r="L1264">
        <v>35.42</v>
      </c>
      <c r="M1264">
        <v>98.18</v>
      </c>
      <c r="N1264">
        <v>37.020000000000003</v>
      </c>
      <c r="O1264">
        <v>7.46</v>
      </c>
      <c r="P1264" s="2" t="s">
        <v>42</v>
      </c>
      <c r="Q1264">
        <v>0</v>
      </c>
      <c r="R1264">
        <v>246.81</v>
      </c>
      <c r="S1264">
        <v>178.08</v>
      </c>
      <c r="T1264">
        <v>68.73</v>
      </c>
      <c r="U1264">
        <f t="shared" si="19"/>
        <v>0</v>
      </c>
    </row>
    <row r="1265" spans="1:21" x14ac:dyDescent="0.25">
      <c r="A1265" s="2" t="s">
        <v>1958</v>
      </c>
      <c r="B1265" s="2" t="s">
        <v>1959</v>
      </c>
      <c r="C1265" s="1">
        <v>45887</v>
      </c>
      <c r="D1265" s="2" t="s">
        <v>38</v>
      </c>
      <c r="E1265" s="2" t="s">
        <v>46</v>
      </c>
      <c r="F1265" s="2" t="s">
        <v>47</v>
      </c>
      <c r="G1265">
        <v>4</v>
      </c>
      <c r="H1265" s="2" t="s">
        <v>56</v>
      </c>
      <c r="I1265">
        <v>96.25</v>
      </c>
      <c r="J1265">
        <v>15</v>
      </c>
      <c r="K1265">
        <v>14.44</v>
      </c>
      <c r="L1265">
        <v>52</v>
      </c>
      <c r="M1265">
        <v>41.35</v>
      </c>
      <c r="N1265">
        <v>0</v>
      </c>
      <c r="O1265">
        <v>2.67</v>
      </c>
      <c r="P1265" s="2" t="s">
        <v>42</v>
      </c>
      <c r="Q1265">
        <v>0</v>
      </c>
      <c r="R1265">
        <v>81.81</v>
      </c>
      <c r="S1265">
        <v>96.02</v>
      </c>
      <c r="T1265">
        <v>-14.21</v>
      </c>
      <c r="U1265">
        <f t="shared" si="19"/>
        <v>0</v>
      </c>
    </row>
    <row r="1266" spans="1:21" x14ac:dyDescent="0.25">
      <c r="A1266" s="2" t="s">
        <v>1960</v>
      </c>
      <c r="B1266" s="2" t="s">
        <v>213</v>
      </c>
      <c r="C1266" s="1">
        <v>45867</v>
      </c>
      <c r="D1266" s="2" t="s">
        <v>38</v>
      </c>
      <c r="E1266" s="2" t="s">
        <v>46</v>
      </c>
      <c r="F1266" s="2" t="s">
        <v>40</v>
      </c>
      <c r="G1266">
        <v>1</v>
      </c>
      <c r="H1266" s="2" t="s">
        <v>56</v>
      </c>
      <c r="I1266">
        <v>17.399999999999999</v>
      </c>
      <c r="J1266">
        <v>0</v>
      </c>
      <c r="K1266">
        <v>0</v>
      </c>
      <c r="L1266">
        <v>12.3</v>
      </c>
      <c r="M1266">
        <v>7.23</v>
      </c>
      <c r="N1266">
        <v>0</v>
      </c>
      <c r="O1266">
        <v>0.8</v>
      </c>
      <c r="P1266" s="2" t="s">
        <v>42</v>
      </c>
      <c r="Q1266">
        <v>0</v>
      </c>
      <c r="R1266">
        <v>17.399999999999999</v>
      </c>
      <c r="S1266">
        <v>20.329999999999998</v>
      </c>
      <c r="T1266">
        <v>-2.93</v>
      </c>
      <c r="U1266">
        <f t="shared" si="19"/>
        <v>0</v>
      </c>
    </row>
    <row r="1267" spans="1:21" x14ac:dyDescent="0.25">
      <c r="A1267" s="2" t="s">
        <v>1961</v>
      </c>
      <c r="B1267" s="2" t="s">
        <v>619</v>
      </c>
      <c r="C1267" s="1">
        <v>45537</v>
      </c>
      <c r="D1267" s="2" t="s">
        <v>45</v>
      </c>
      <c r="E1267" s="2" t="s">
        <v>55</v>
      </c>
      <c r="F1267" s="2" t="s">
        <v>94</v>
      </c>
      <c r="G1267">
        <v>2</v>
      </c>
      <c r="H1267" s="2" t="s">
        <v>77</v>
      </c>
      <c r="I1267">
        <v>75.989999999999995</v>
      </c>
      <c r="J1267">
        <v>20</v>
      </c>
      <c r="K1267">
        <v>15.2</v>
      </c>
      <c r="L1267">
        <v>22.2</v>
      </c>
      <c r="M1267">
        <v>30.15</v>
      </c>
      <c r="N1267">
        <v>0</v>
      </c>
      <c r="O1267">
        <v>2.06</v>
      </c>
      <c r="P1267" s="2" t="s">
        <v>42</v>
      </c>
      <c r="Q1267">
        <v>0</v>
      </c>
      <c r="R1267">
        <v>60.79</v>
      </c>
      <c r="S1267">
        <v>54.41</v>
      </c>
      <c r="T1267">
        <v>6.38</v>
      </c>
      <c r="U1267">
        <f t="shared" si="19"/>
        <v>0</v>
      </c>
    </row>
    <row r="1268" spans="1:21" x14ac:dyDescent="0.25">
      <c r="A1268" s="2" t="s">
        <v>1962</v>
      </c>
      <c r="B1268" s="2" t="s">
        <v>1963</v>
      </c>
      <c r="C1268" s="1">
        <v>45989</v>
      </c>
      <c r="D1268" s="2" t="s">
        <v>38</v>
      </c>
      <c r="E1268" s="2" t="s">
        <v>71</v>
      </c>
      <c r="F1268" s="2" t="s">
        <v>51</v>
      </c>
      <c r="G1268">
        <v>1</v>
      </c>
      <c r="H1268" s="2" t="s">
        <v>77</v>
      </c>
      <c r="I1268">
        <v>53</v>
      </c>
      <c r="J1268">
        <v>20</v>
      </c>
      <c r="K1268">
        <v>10.6</v>
      </c>
      <c r="L1268">
        <v>11</v>
      </c>
      <c r="M1268">
        <v>16.12</v>
      </c>
      <c r="N1268">
        <v>0</v>
      </c>
      <c r="O1268">
        <v>1.53</v>
      </c>
      <c r="P1268" s="2" t="s">
        <v>42</v>
      </c>
      <c r="Q1268">
        <v>0</v>
      </c>
      <c r="R1268">
        <v>42.4</v>
      </c>
      <c r="S1268">
        <v>28.65</v>
      </c>
      <c r="T1268">
        <v>13.75</v>
      </c>
      <c r="U1268">
        <f t="shared" si="19"/>
        <v>0</v>
      </c>
    </row>
    <row r="1269" spans="1:21" x14ac:dyDescent="0.25">
      <c r="A1269" s="2" t="s">
        <v>1964</v>
      </c>
      <c r="B1269" s="2" t="s">
        <v>1282</v>
      </c>
      <c r="C1269" s="1">
        <v>45682</v>
      </c>
      <c r="D1269" s="2" t="s">
        <v>59</v>
      </c>
      <c r="E1269" s="2" t="s">
        <v>46</v>
      </c>
      <c r="F1269" s="2" t="s">
        <v>51</v>
      </c>
      <c r="G1269">
        <v>1</v>
      </c>
      <c r="H1269" s="2" t="s">
        <v>64</v>
      </c>
      <c r="I1269">
        <v>267.3</v>
      </c>
      <c r="J1269">
        <v>0</v>
      </c>
      <c r="K1269">
        <v>0</v>
      </c>
      <c r="L1269">
        <v>20.34</v>
      </c>
      <c r="M1269">
        <v>97.65</v>
      </c>
      <c r="N1269">
        <v>40.090000000000003</v>
      </c>
      <c r="O1269">
        <v>8.0500000000000007</v>
      </c>
      <c r="P1269" s="2" t="s">
        <v>68</v>
      </c>
      <c r="Q1269">
        <v>267.3</v>
      </c>
      <c r="R1269">
        <v>0</v>
      </c>
      <c r="S1269">
        <v>166.13</v>
      </c>
      <c r="T1269">
        <v>-166.13</v>
      </c>
      <c r="U1269">
        <f t="shared" si="19"/>
        <v>0</v>
      </c>
    </row>
    <row r="1270" spans="1:21" x14ac:dyDescent="0.25">
      <c r="A1270" s="2" t="s">
        <v>1965</v>
      </c>
      <c r="B1270" s="2" t="s">
        <v>1083</v>
      </c>
      <c r="C1270" s="1">
        <v>45580</v>
      </c>
      <c r="D1270" s="2" t="s">
        <v>45</v>
      </c>
      <c r="E1270" s="2" t="s">
        <v>67</v>
      </c>
      <c r="F1270" s="2" t="s">
        <v>47</v>
      </c>
      <c r="G1270">
        <v>2</v>
      </c>
      <c r="H1270" s="2" t="s">
        <v>77</v>
      </c>
      <c r="I1270">
        <v>49.02</v>
      </c>
      <c r="J1270">
        <v>10</v>
      </c>
      <c r="K1270">
        <v>4.9000000000000004</v>
      </c>
      <c r="L1270">
        <v>24.04</v>
      </c>
      <c r="M1270">
        <v>19.440000000000001</v>
      </c>
      <c r="N1270">
        <v>0</v>
      </c>
      <c r="O1270">
        <v>1.58</v>
      </c>
      <c r="P1270" s="2" t="s">
        <v>42</v>
      </c>
      <c r="Q1270">
        <v>0</v>
      </c>
      <c r="R1270">
        <v>44.12</v>
      </c>
      <c r="S1270">
        <v>45.06</v>
      </c>
      <c r="T1270">
        <v>-0.94</v>
      </c>
      <c r="U1270">
        <f t="shared" si="19"/>
        <v>0</v>
      </c>
    </row>
    <row r="1271" spans="1:21" x14ac:dyDescent="0.25">
      <c r="A1271" s="2" t="s">
        <v>1966</v>
      </c>
      <c r="B1271" s="2" t="s">
        <v>96</v>
      </c>
      <c r="C1271" s="1">
        <v>45838</v>
      </c>
      <c r="D1271" s="2" t="s">
        <v>80</v>
      </c>
      <c r="E1271" s="2" t="s">
        <v>46</v>
      </c>
      <c r="F1271" s="2" t="s">
        <v>85</v>
      </c>
      <c r="G1271">
        <v>1</v>
      </c>
      <c r="H1271" s="2" t="s">
        <v>48</v>
      </c>
      <c r="I1271">
        <v>18.829999999999998</v>
      </c>
      <c r="J1271">
        <v>0</v>
      </c>
      <c r="K1271">
        <v>0</v>
      </c>
      <c r="L1271">
        <v>9.9</v>
      </c>
      <c r="M1271">
        <v>11.04</v>
      </c>
      <c r="N1271">
        <v>1.51</v>
      </c>
      <c r="O1271">
        <v>0.85</v>
      </c>
      <c r="P1271" s="2" t="s">
        <v>42</v>
      </c>
      <c r="Q1271">
        <v>0</v>
      </c>
      <c r="R1271">
        <v>18.829999999999998</v>
      </c>
      <c r="S1271">
        <v>23.3</v>
      </c>
      <c r="T1271">
        <v>-4.47</v>
      </c>
      <c r="U1271">
        <f t="shared" si="19"/>
        <v>1</v>
      </c>
    </row>
    <row r="1272" spans="1:21" x14ac:dyDescent="0.25">
      <c r="A1272" s="2" t="s">
        <v>1967</v>
      </c>
      <c r="B1272" s="2" t="s">
        <v>509</v>
      </c>
      <c r="C1272" s="1">
        <v>45778</v>
      </c>
      <c r="D1272" s="2" t="s">
        <v>38</v>
      </c>
      <c r="E1272" s="2" t="s">
        <v>71</v>
      </c>
      <c r="F1272" s="2" t="s">
        <v>51</v>
      </c>
      <c r="G1272">
        <v>2</v>
      </c>
      <c r="H1272" s="2" t="s">
        <v>74</v>
      </c>
      <c r="I1272">
        <v>32.520000000000003</v>
      </c>
      <c r="J1272">
        <v>10</v>
      </c>
      <c r="K1272">
        <v>3.25</v>
      </c>
      <c r="L1272">
        <v>26.36</v>
      </c>
      <c r="M1272">
        <v>16.579999999999998</v>
      </c>
      <c r="N1272">
        <v>0</v>
      </c>
      <c r="O1272">
        <v>1.1499999999999999</v>
      </c>
      <c r="P1272" s="2" t="s">
        <v>42</v>
      </c>
      <c r="Q1272">
        <v>0</v>
      </c>
      <c r="R1272">
        <v>29.27</v>
      </c>
      <c r="S1272">
        <v>44.09</v>
      </c>
      <c r="T1272">
        <v>-14.82</v>
      </c>
      <c r="U1272">
        <f t="shared" si="19"/>
        <v>0</v>
      </c>
    </row>
    <row r="1273" spans="1:21" x14ac:dyDescent="0.25">
      <c r="A1273" s="2" t="s">
        <v>1968</v>
      </c>
      <c r="B1273" s="2" t="s">
        <v>1969</v>
      </c>
      <c r="C1273" s="1">
        <v>45883</v>
      </c>
      <c r="D1273" s="2" t="s">
        <v>80</v>
      </c>
      <c r="E1273" s="2" t="s">
        <v>71</v>
      </c>
      <c r="F1273" s="2" t="s">
        <v>40</v>
      </c>
      <c r="G1273">
        <v>1</v>
      </c>
      <c r="H1273" s="2" t="s">
        <v>64</v>
      </c>
      <c r="I1273">
        <v>75.72</v>
      </c>
      <c r="J1273">
        <v>10</v>
      </c>
      <c r="K1273">
        <v>7.57</v>
      </c>
      <c r="L1273">
        <v>18.04</v>
      </c>
      <c r="M1273">
        <v>53.68</v>
      </c>
      <c r="N1273">
        <v>5.45</v>
      </c>
      <c r="O1273">
        <v>2.2799999999999998</v>
      </c>
      <c r="P1273" s="2" t="s">
        <v>42</v>
      </c>
      <c r="Q1273">
        <v>0</v>
      </c>
      <c r="R1273">
        <v>68.150000000000006</v>
      </c>
      <c r="S1273">
        <v>79.45</v>
      </c>
      <c r="T1273">
        <v>-11.3</v>
      </c>
      <c r="U1273">
        <f t="shared" si="19"/>
        <v>0</v>
      </c>
    </row>
    <row r="1274" spans="1:21" x14ac:dyDescent="0.25">
      <c r="A1274" s="2" t="s">
        <v>1970</v>
      </c>
      <c r="B1274" s="2" t="s">
        <v>708</v>
      </c>
      <c r="C1274" s="1">
        <v>45663</v>
      </c>
      <c r="D1274" s="2" t="s">
        <v>45</v>
      </c>
      <c r="E1274" s="2" t="s">
        <v>46</v>
      </c>
      <c r="F1274" s="2" t="s">
        <v>51</v>
      </c>
      <c r="G1274">
        <v>1</v>
      </c>
      <c r="H1274" s="2" t="s">
        <v>52</v>
      </c>
      <c r="I1274">
        <v>29.5</v>
      </c>
      <c r="J1274">
        <v>20</v>
      </c>
      <c r="K1274">
        <v>5.9</v>
      </c>
      <c r="L1274">
        <v>11.74</v>
      </c>
      <c r="M1274">
        <v>16.62</v>
      </c>
      <c r="N1274">
        <v>0</v>
      </c>
      <c r="O1274">
        <v>0.98</v>
      </c>
      <c r="P1274" s="2" t="s">
        <v>42</v>
      </c>
      <c r="Q1274">
        <v>0</v>
      </c>
      <c r="R1274">
        <v>23.6</v>
      </c>
      <c r="S1274">
        <v>29.34</v>
      </c>
      <c r="T1274">
        <v>-5.74</v>
      </c>
      <c r="U1274">
        <f t="shared" si="19"/>
        <v>0</v>
      </c>
    </row>
    <row r="1275" spans="1:21" x14ac:dyDescent="0.25">
      <c r="A1275" s="2" t="s">
        <v>1971</v>
      </c>
      <c r="B1275" s="2" t="s">
        <v>605</v>
      </c>
      <c r="C1275" s="1">
        <v>45771</v>
      </c>
      <c r="D1275" s="2" t="s">
        <v>80</v>
      </c>
      <c r="E1275" s="2" t="s">
        <v>39</v>
      </c>
      <c r="F1275" s="2" t="s">
        <v>51</v>
      </c>
      <c r="G1275">
        <v>2</v>
      </c>
      <c r="H1275" s="2" t="s">
        <v>52</v>
      </c>
      <c r="I1275">
        <v>778.86</v>
      </c>
      <c r="J1275">
        <v>5</v>
      </c>
      <c r="K1275">
        <v>38.94</v>
      </c>
      <c r="L1275">
        <v>53.16</v>
      </c>
      <c r="M1275">
        <v>267.27</v>
      </c>
      <c r="N1275">
        <v>59.19</v>
      </c>
      <c r="O1275">
        <v>21.76</v>
      </c>
      <c r="P1275" s="2" t="s">
        <v>42</v>
      </c>
      <c r="Q1275">
        <v>0</v>
      </c>
      <c r="R1275">
        <v>739.92</v>
      </c>
      <c r="S1275">
        <v>401.38</v>
      </c>
      <c r="T1275">
        <v>338.54</v>
      </c>
      <c r="U1275">
        <f t="shared" si="19"/>
        <v>0</v>
      </c>
    </row>
    <row r="1276" spans="1:21" x14ac:dyDescent="0.25">
      <c r="A1276" s="2" t="s">
        <v>1972</v>
      </c>
      <c r="B1276" s="2" t="s">
        <v>564</v>
      </c>
      <c r="C1276" s="1">
        <v>45806</v>
      </c>
      <c r="D1276" s="2" t="s">
        <v>80</v>
      </c>
      <c r="E1276" s="2" t="s">
        <v>55</v>
      </c>
      <c r="F1276" s="2" t="s">
        <v>51</v>
      </c>
      <c r="G1276">
        <v>2</v>
      </c>
      <c r="H1276" s="2" t="s">
        <v>56</v>
      </c>
      <c r="I1276">
        <v>105.92</v>
      </c>
      <c r="J1276">
        <v>10</v>
      </c>
      <c r="K1276">
        <v>10.59</v>
      </c>
      <c r="L1276">
        <v>32.82</v>
      </c>
      <c r="M1276">
        <v>49.93</v>
      </c>
      <c r="N1276">
        <v>7.63</v>
      </c>
      <c r="O1276">
        <v>3.06</v>
      </c>
      <c r="P1276" s="2" t="s">
        <v>42</v>
      </c>
      <c r="Q1276">
        <v>0</v>
      </c>
      <c r="R1276">
        <v>95.33</v>
      </c>
      <c r="S1276">
        <v>93.44</v>
      </c>
      <c r="T1276">
        <v>1.89</v>
      </c>
      <c r="U1276">
        <f t="shared" si="19"/>
        <v>0</v>
      </c>
    </row>
    <row r="1277" spans="1:21" x14ac:dyDescent="0.25">
      <c r="A1277" s="2" t="s">
        <v>1973</v>
      </c>
      <c r="B1277" s="2" t="s">
        <v>694</v>
      </c>
      <c r="C1277" s="1">
        <v>45881</v>
      </c>
      <c r="D1277" s="2" t="s">
        <v>45</v>
      </c>
      <c r="E1277" s="2" t="s">
        <v>71</v>
      </c>
      <c r="F1277" s="2" t="s">
        <v>47</v>
      </c>
      <c r="G1277">
        <v>1</v>
      </c>
      <c r="H1277" s="2" t="s">
        <v>74</v>
      </c>
      <c r="I1277">
        <v>389.4</v>
      </c>
      <c r="J1277">
        <v>0</v>
      </c>
      <c r="K1277">
        <v>0</v>
      </c>
      <c r="L1277">
        <v>11.46</v>
      </c>
      <c r="M1277">
        <v>115.92</v>
      </c>
      <c r="N1277">
        <v>0</v>
      </c>
      <c r="O1277">
        <v>11.59</v>
      </c>
      <c r="P1277" s="2" t="s">
        <v>42</v>
      </c>
      <c r="Q1277">
        <v>0</v>
      </c>
      <c r="R1277">
        <v>389.4</v>
      </c>
      <c r="S1277">
        <v>138.97</v>
      </c>
      <c r="T1277">
        <v>250.43</v>
      </c>
      <c r="U1277">
        <f t="shared" si="19"/>
        <v>0</v>
      </c>
    </row>
    <row r="1278" spans="1:21" x14ac:dyDescent="0.25">
      <c r="A1278" s="2" t="s">
        <v>1974</v>
      </c>
      <c r="B1278" s="2" t="s">
        <v>1975</v>
      </c>
      <c r="C1278" s="1">
        <v>45746</v>
      </c>
      <c r="D1278" s="2" t="s">
        <v>80</v>
      </c>
      <c r="E1278" s="2" t="s">
        <v>55</v>
      </c>
      <c r="F1278" s="2" t="s">
        <v>85</v>
      </c>
      <c r="G1278">
        <v>1</v>
      </c>
      <c r="H1278" s="2" t="s">
        <v>64</v>
      </c>
      <c r="I1278">
        <v>59.15</v>
      </c>
      <c r="J1278">
        <v>5</v>
      </c>
      <c r="K1278">
        <v>2.96</v>
      </c>
      <c r="L1278">
        <v>9.98</v>
      </c>
      <c r="M1278">
        <v>19.36</v>
      </c>
      <c r="N1278">
        <v>4.5</v>
      </c>
      <c r="O1278">
        <v>1.93</v>
      </c>
      <c r="P1278" s="2" t="s">
        <v>42</v>
      </c>
      <c r="Q1278">
        <v>0</v>
      </c>
      <c r="R1278">
        <v>56.19</v>
      </c>
      <c r="S1278">
        <v>35.770000000000003</v>
      </c>
      <c r="T1278">
        <v>20.420000000000002</v>
      </c>
      <c r="U1278">
        <f t="shared" si="19"/>
        <v>0</v>
      </c>
    </row>
    <row r="1279" spans="1:21" x14ac:dyDescent="0.25">
      <c r="A1279" s="2" t="s">
        <v>1976</v>
      </c>
      <c r="B1279" s="2" t="s">
        <v>245</v>
      </c>
      <c r="C1279" s="1">
        <v>45858</v>
      </c>
      <c r="D1279" s="2" t="s">
        <v>59</v>
      </c>
      <c r="E1279" s="2" t="s">
        <v>71</v>
      </c>
      <c r="F1279" s="2" t="s">
        <v>40</v>
      </c>
      <c r="G1279">
        <v>2</v>
      </c>
      <c r="H1279" s="2" t="s">
        <v>41</v>
      </c>
      <c r="I1279">
        <v>142.32</v>
      </c>
      <c r="J1279">
        <v>10</v>
      </c>
      <c r="K1279">
        <v>14.23</v>
      </c>
      <c r="L1279">
        <v>20.04</v>
      </c>
      <c r="M1279">
        <v>54.77</v>
      </c>
      <c r="N1279">
        <v>19.21</v>
      </c>
      <c r="O1279">
        <v>4.01</v>
      </c>
      <c r="P1279" s="2" t="s">
        <v>42</v>
      </c>
      <c r="Q1279">
        <v>0</v>
      </c>
      <c r="R1279">
        <v>128.09</v>
      </c>
      <c r="S1279">
        <v>98.03</v>
      </c>
      <c r="T1279">
        <v>30.06</v>
      </c>
      <c r="U1279">
        <f t="shared" si="19"/>
        <v>0</v>
      </c>
    </row>
    <row r="1280" spans="1:21" x14ac:dyDescent="0.25">
      <c r="A1280" s="2" t="s">
        <v>1977</v>
      </c>
      <c r="B1280" s="2" t="s">
        <v>1242</v>
      </c>
      <c r="C1280" s="1">
        <v>45850</v>
      </c>
      <c r="D1280" s="2" t="s">
        <v>59</v>
      </c>
      <c r="E1280" s="2" t="s">
        <v>46</v>
      </c>
      <c r="F1280" s="2" t="s">
        <v>85</v>
      </c>
      <c r="G1280">
        <v>2</v>
      </c>
      <c r="H1280" s="2" t="s">
        <v>111</v>
      </c>
      <c r="I1280">
        <v>121.15</v>
      </c>
      <c r="J1280">
        <v>10</v>
      </c>
      <c r="K1280">
        <v>12.12</v>
      </c>
      <c r="L1280">
        <v>23.8</v>
      </c>
      <c r="M1280">
        <v>49.45</v>
      </c>
      <c r="N1280">
        <v>16.350000000000001</v>
      </c>
      <c r="O1280">
        <v>3.46</v>
      </c>
      <c r="P1280" s="2" t="s">
        <v>42</v>
      </c>
      <c r="Q1280">
        <v>0</v>
      </c>
      <c r="R1280">
        <v>109.03</v>
      </c>
      <c r="S1280">
        <v>93.06</v>
      </c>
      <c r="T1280">
        <v>15.97</v>
      </c>
      <c r="U1280">
        <f t="shared" si="19"/>
        <v>0</v>
      </c>
    </row>
    <row r="1281" spans="1:21" x14ac:dyDescent="0.25">
      <c r="A1281" s="2" t="s">
        <v>1978</v>
      </c>
      <c r="B1281" s="2" t="s">
        <v>1979</v>
      </c>
      <c r="C1281" s="1">
        <v>45678</v>
      </c>
      <c r="D1281" s="2" t="s">
        <v>45</v>
      </c>
      <c r="E1281" s="2" t="s">
        <v>46</v>
      </c>
      <c r="F1281" s="2" t="s">
        <v>40</v>
      </c>
      <c r="G1281">
        <v>1</v>
      </c>
      <c r="H1281" s="2" t="s">
        <v>77</v>
      </c>
      <c r="I1281">
        <v>10.41</v>
      </c>
      <c r="J1281">
        <v>15</v>
      </c>
      <c r="K1281">
        <v>1.56</v>
      </c>
      <c r="L1281">
        <v>9.58</v>
      </c>
      <c r="M1281">
        <v>4.5599999999999996</v>
      </c>
      <c r="N1281">
        <v>0</v>
      </c>
      <c r="O1281">
        <v>0.56000000000000005</v>
      </c>
      <c r="P1281" s="2" t="s">
        <v>42</v>
      </c>
      <c r="Q1281">
        <v>0</v>
      </c>
      <c r="R1281">
        <v>8.85</v>
      </c>
      <c r="S1281">
        <v>14.7</v>
      </c>
      <c r="T1281">
        <v>-5.85</v>
      </c>
      <c r="U1281">
        <f t="shared" si="19"/>
        <v>0</v>
      </c>
    </row>
    <row r="1282" spans="1:21" x14ac:dyDescent="0.25">
      <c r="A1282" s="2" t="s">
        <v>1980</v>
      </c>
      <c r="B1282" s="2" t="s">
        <v>382</v>
      </c>
      <c r="C1282" s="1">
        <v>45669</v>
      </c>
      <c r="D1282" s="2" t="s">
        <v>59</v>
      </c>
      <c r="E1282" s="2" t="s">
        <v>46</v>
      </c>
      <c r="F1282" s="2" t="s">
        <v>40</v>
      </c>
      <c r="G1282">
        <v>1</v>
      </c>
      <c r="H1282" s="2" t="s">
        <v>111</v>
      </c>
      <c r="I1282">
        <v>33.22</v>
      </c>
      <c r="J1282">
        <v>20</v>
      </c>
      <c r="K1282">
        <v>6.64</v>
      </c>
      <c r="L1282">
        <v>8.94</v>
      </c>
      <c r="M1282">
        <v>19.46</v>
      </c>
      <c r="N1282">
        <v>3.99</v>
      </c>
      <c r="O1282">
        <v>1.07</v>
      </c>
      <c r="P1282" s="2" t="s">
        <v>42</v>
      </c>
      <c r="Q1282">
        <v>0</v>
      </c>
      <c r="R1282">
        <v>26.58</v>
      </c>
      <c r="S1282">
        <v>33.46</v>
      </c>
      <c r="T1282">
        <v>-6.88</v>
      </c>
      <c r="U1282">
        <f t="shared" si="19"/>
        <v>0</v>
      </c>
    </row>
    <row r="1283" spans="1:21" x14ac:dyDescent="0.25">
      <c r="A1283" s="2" t="s">
        <v>1981</v>
      </c>
      <c r="B1283" s="2" t="s">
        <v>1982</v>
      </c>
      <c r="C1283" s="1">
        <v>45795</v>
      </c>
      <c r="D1283" s="2" t="s">
        <v>45</v>
      </c>
      <c r="E1283" s="2" t="s">
        <v>71</v>
      </c>
      <c r="F1283" s="2" t="s">
        <v>85</v>
      </c>
      <c r="G1283">
        <v>1</v>
      </c>
      <c r="H1283" s="2" t="s">
        <v>74</v>
      </c>
      <c r="I1283">
        <v>28.96</v>
      </c>
      <c r="J1283">
        <v>10</v>
      </c>
      <c r="K1283">
        <v>2.9</v>
      </c>
      <c r="L1283">
        <v>9.02</v>
      </c>
      <c r="M1283">
        <v>8.3000000000000007</v>
      </c>
      <c r="N1283">
        <v>0</v>
      </c>
      <c r="O1283">
        <v>1.06</v>
      </c>
      <c r="P1283" s="2" t="s">
        <v>42</v>
      </c>
      <c r="Q1283">
        <v>0</v>
      </c>
      <c r="R1283">
        <v>26.06</v>
      </c>
      <c r="S1283">
        <v>18.38</v>
      </c>
      <c r="T1283">
        <v>7.68</v>
      </c>
      <c r="U1283">
        <f t="shared" si="19"/>
        <v>0</v>
      </c>
    </row>
    <row r="1284" spans="1:21" x14ac:dyDescent="0.25">
      <c r="A1284" s="2" t="s">
        <v>1983</v>
      </c>
      <c r="B1284" s="2" t="s">
        <v>280</v>
      </c>
      <c r="C1284" s="1">
        <v>45856</v>
      </c>
      <c r="D1284" s="2" t="s">
        <v>45</v>
      </c>
      <c r="E1284" s="2" t="s">
        <v>46</v>
      </c>
      <c r="F1284" s="2" t="s">
        <v>85</v>
      </c>
      <c r="G1284">
        <v>2</v>
      </c>
      <c r="H1284" s="2" t="s">
        <v>41</v>
      </c>
      <c r="I1284">
        <v>172.3</v>
      </c>
      <c r="J1284">
        <v>0</v>
      </c>
      <c r="K1284">
        <v>0</v>
      </c>
      <c r="L1284">
        <v>19.079999999999998</v>
      </c>
      <c r="M1284">
        <v>78.36</v>
      </c>
      <c r="N1284">
        <v>0</v>
      </c>
      <c r="O1284">
        <v>5.3</v>
      </c>
      <c r="P1284" s="2" t="s">
        <v>42</v>
      </c>
      <c r="Q1284">
        <v>0</v>
      </c>
      <c r="R1284">
        <v>172.3</v>
      </c>
      <c r="S1284">
        <v>102.74</v>
      </c>
      <c r="T1284">
        <v>69.56</v>
      </c>
      <c r="U1284">
        <f t="shared" si="19"/>
        <v>0</v>
      </c>
    </row>
    <row r="1285" spans="1:21" x14ac:dyDescent="0.25">
      <c r="A1285" s="2" t="s">
        <v>1984</v>
      </c>
      <c r="B1285" s="2" t="s">
        <v>402</v>
      </c>
      <c r="C1285" s="1">
        <v>45562</v>
      </c>
      <c r="D1285" s="2" t="s">
        <v>45</v>
      </c>
      <c r="E1285" s="2" t="s">
        <v>39</v>
      </c>
      <c r="F1285" s="2" t="s">
        <v>94</v>
      </c>
      <c r="G1285">
        <v>1</v>
      </c>
      <c r="H1285" s="2" t="s">
        <v>41</v>
      </c>
      <c r="I1285">
        <v>260.5</v>
      </c>
      <c r="J1285">
        <v>15</v>
      </c>
      <c r="K1285">
        <v>39.08</v>
      </c>
      <c r="L1285">
        <v>11.82</v>
      </c>
      <c r="M1285">
        <v>78.92</v>
      </c>
      <c r="N1285">
        <v>0</v>
      </c>
      <c r="O1285">
        <v>6.72</v>
      </c>
      <c r="P1285" s="2" t="s">
        <v>42</v>
      </c>
      <c r="Q1285">
        <v>0</v>
      </c>
      <c r="R1285">
        <v>221.42</v>
      </c>
      <c r="S1285">
        <v>97.46</v>
      </c>
      <c r="T1285">
        <v>123.96</v>
      </c>
      <c r="U1285">
        <f t="shared" ref="U1285:U1348" si="20">IF(P1283="Yes", 1, 0)</f>
        <v>0</v>
      </c>
    </row>
    <row r="1286" spans="1:21" x14ac:dyDescent="0.25">
      <c r="A1286" s="2" t="s">
        <v>1985</v>
      </c>
      <c r="B1286" s="2" t="s">
        <v>289</v>
      </c>
      <c r="C1286" s="1">
        <v>45844</v>
      </c>
      <c r="D1286" s="2" t="s">
        <v>59</v>
      </c>
      <c r="E1286" s="2" t="s">
        <v>67</v>
      </c>
      <c r="F1286" s="2" t="s">
        <v>85</v>
      </c>
      <c r="G1286">
        <v>3</v>
      </c>
      <c r="H1286" s="2" t="s">
        <v>52</v>
      </c>
      <c r="I1286">
        <v>138.51</v>
      </c>
      <c r="J1286">
        <v>0</v>
      </c>
      <c r="K1286">
        <v>0</v>
      </c>
      <c r="L1286">
        <v>39.6</v>
      </c>
      <c r="M1286">
        <v>57.25</v>
      </c>
      <c r="N1286">
        <v>20.78</v>
      </c>
      <c r="O1286">
        <v>4.32</v>
      </c>
      <c r="P1286" s="2" t="s">
        <v>42</v>
      </c>
      <c r="Q1286">
        <v>0</v>
      </c>
      <c r="R1286">
        <v>138.51</v>
      </c>
      <c r="S1286">
        <v>121.95</v>
      </c>
      <c r="T1286">
        <v>16.559999999999999</v>
      </c>
      <c r="U1286">
        <f t="shared" si="20"/>
        <v>0</v>
      </c>
    </row>
    <row r="1287" spans="1:21" x14ac:dyDescent="0.25">
      <c r="A1287" s="2" t="s">
        <v>1986</v>
      </c>
      <c r="B1287" s="2" t="s">
        <v>1839</v>
      </c>
      <c r="C1287" s="1">
        <v>45743</v>
      </c>
      <c r="D1287" s="2" t="s">
        <v>45</v>
      </c>
      <c r="E1287" s="2" t="s">
        <v>46</v>
      </c>
      <c r="F1287" s="2" t="s">
        <v>40</v>
      </c>
      <c r="G1287">
        <v>1</v>
      </c>
      <c r="H1287" s="2" t="s">
        <v>41</v>
      </c>
      <c r="I1287">
        <v>56.08</v>
      </c>
      <c r="J1287">
        <v>0</v>
      </c>
      <c r="K1287">
        <v>0</v>
      </c>
      <c r="L1287">
        <v>13.42</v>
      </c>
      <c r="M1287">
        <v>29.44</v>
      </c>
      <c r="N1287">
        <v>0</v>
      </c>
      <c r="O1287">
        <v>1.93</v>
      </c>
      <c r="P1287" s="2" t="s">
        <v>42</v>
      </c>
      <c r="Q1287">
        <v>0</v>
      </c>
      <c r="R1287">
        <v>56.08</v>
      </c>
      <c r="S1287">
        <v>44.79</v>
      </c>
      <c r="T1287">
        <v>11.29</v>
      </c>
      <c r="U1287">
        <f t="shared" si="20"/>
        <v>0</v>
      </c>
    </row>
    <row r="1288" spans="1:21" x14ac:dyDescent="0.25">
      <c r="A1288" s="2" t="s">
        <v>1987</v>
      </c>
      <c r="B1288" s="2" t="s">
        <v>576</v>
      </c>
      <c r="C1288" s="1">
        <v>45832</v>
      </c>
      <c r="D1288" s="2" t="s">
        <v>38</v>
      </c>
      <c r="E1288" s="2" t="s">
        <v>46</v>
      </c>
      <c r="F1288" s="2" t="s">
        <v>40</v>
      </c>
      <c r="G1288">
        <v>1</v>
      </c>
      <c r="H1288" s="2" t="s">
        <v>48</v>
      </c>
      <c r="I1288">
        <v>18.829999999999998</v>
      </c>
      <c r="J1288">
        <v>15</v>
      </c>
      <c r="K1288">
        <v>2.82</v>
      </c>
      <c r="L1288">
        <v>9.9</v>
      </c>
      <c r="M1288">
        <v>11.04</v>
      </c>
      <c r="N1288">
        <v>0</v>
      </c>
      <c r="O1288">
        <v>0.76</v>
      </c>
      <c r="P1288" s="2" t="s">
        <v>68</v>
      </c>
      <c r="Q1288">
        <v>16.010000000000002</v>
      </c>
      <c r="R1288">
        <v>0</v>
      </c>
      <c r="S1288">
        <v>21.7</v>
      </c>
      <c r="T1288">
        <v>-21.7</v>
      </c>
      <c r="U1288">
        <f t="shared" si="20"/>
        <v>0</v>
      </c>
    </row>
    <row r="1289" spans="1:21" x14ac:dyDescent="0.25">
      <c r="A1289" s="2" t="s">
        <v>1988</v>
      </c>
      <c r="B1289" s="2" t="s">
        <v>540</v>
      </c>
      <c r="C1289" s="1">
        <v>45877</v>
      </c>
      <c r="D1289" s="2" t="s">
        <v>45</v>
      </c>
      <c r="E1289" s="2" t="s">
        <v>71</v>
      </c>
      <c r="F1289" s="2" t="s">
        <v>47</v>
      </c>
      <c r="G1289">
        <v>1</v>
      </c>
      <c r="H1289" s="2" t="s">
        <v>48</v>
      </c>
      <c r="I1289">
        <v>52.86</v>
      </c>
      <c r="J1289">
        <v>10</v>
      </c>
      <c r="K1289">
        <v>5.29</v>
      </c>
      <c r="L1289">
        <v>34.979999999999997</v>
      </c>
      <c r="M1289">
        <v>25.59</v>
      </c>
      <c r="N1289">
        <v>0</v>
      </c>
      <c r="O1289">
        <v>1.68</v>
      </c>
      <c r="P1289" s="2" t="s">
        <v>42</v>
      </c>
      <c r="Q1289">
        <v>0</v>
      </c>
      <c r="R1289">
        <v>47.57</v>
      </c>
      <c r="S1289">
        <v>62.25</v>
      </c>
      <c r="T1289">
        <v>-14.68</v>
      </c>
      <c r="U1289">
        <f t="shared" si="20"/>
        <v>0</v>
      </c>
    </row>
    <row r="1290" spans="1:21" x14ac:dyDescent="0.25">
      <c r="A1290" s="2" t="s">
        <v>1989</v>
      </c>
      <c r="B1290" s="2" t="s">
        <v>361</v>
      </c>
      <c r="C1290" s="1">
        <v>45468</v>
      </c>
      <c r="D1290" s="2" t="s">
        <v>45</v>
      </c>
      <c r="E1290" s="2" t="s">
        <v>71</v>
      </c>
      <c r="F1290" s="2" t="s">
        <v>85</v>
      </c>
      <c r="G1290">
        <v>2</v>
      </c>
      <c r="H1290" s="2" t="s">
        <v>64</v>
      </c>
      <c r="I1290">
        <v>93.71</v>
      </c>
      <c r="J1290">
        <v>10</v>
      </c>
      <c r="K1290">
        <v>9.3699999999999992</v>
      </c>
      <c r="L1290">
        <v>22.76</v>
      </c>
      <c r="M1290">
        <v>46.89</v>
      </c>
      <c r="N1290">
        <v>0</v>
      </c>
      <c r="O1290">
        <v>2.75</v>
      </c>
      <c r="P1290" s="2" t="s">
        <v>42</v>
      </c>
      <c r="Q1290">
        <v>0</v>
      </c>
      <c r="R1290">
        <v>84.34</v>
      </c>
      <c r="S1290">
        <v>72.400000000000006</v>
      </c>
      <c r="T1290">
        <v>11.94</v>
      </c>
      <c r="U1290">
        <f t="shared" si="20"/>
        <v>1</v>
      </c>
    </row>
    <row r="1291" spans="1:21" x14ac:dyDescent="0.25">
      <c r="A1291" s="2" t="s">
        <v>1990</v>
      </c>
      <c r="B1291" s="2" t="s">
        <v>416</v>
      </c>
      <c r="C1291" s="1">
        <v>45972</v>
      </c>
      <c r="D1291" s="2" t="s">
        <v>59</v>
      </c>
      <c r="E1291" s="2" t="s">
        <v>46</v>
      </c>
      <c r="F1291" s="2" t="s">
        <v>85</v>
      </c>
      <c r="G1291">
        <v>2</v>
      </c>
      <c r="H1291" s="2" t="s">
        <v>74</v>
      </c>
      <c r="I1291">
        <v>52.07</v>
      </c>
      <c r="J1291">
        <v>10</v>
      </c>
      <c r="K1291">
        <v>5.21</v>
      </c>
      <c r="L1291">
        <v>14.12</v>
      </c>
      <c r="M1291">
        <v>21.21</v>
      </c>
      <c r="N1291">
        <v>7.03</v>
      </c>
      <c r="O1291">
        <v>1.66</v>
      </c>
      <c r="P1291" s="2" t="s">
        <v>42</v>
      </c>
      <c r="Q1291">
        <v>0</v>
      </c>
      <c r="R1291">
        <v>46.86</v>
      </c>
      <c r="S1291">
        <v>44.02</v>
      </c>
      <c r="T1291">
        <v>2.84</v>
      </c>
      <c r="U1291">
        <f t="shared" si="20"/>
        <v>0</v>
      </c>
    </row>
    <row r="1292" spans="1:21" x14ac:dyDescent="0.25">
      <c r="A1292" s="2" t="s">
        <v>1991</v>
      </c>
      <c r="B1292" s="2" t="s">
        <v>1992</v>
      </c>
      <c r="C1292" s="1">
        <v>45862</v>
      </c>
      <c r="D1292" s="2" t="s">
        <v>45</v>
      </c>
      <c r="E1292" s="2" t="s">
        <v>46</v>
      </c>
      <c r="F1292" s="2" t="s">
        <v>51</v>
      </c>
      <c r="G1292">
        <v>3</v>
      </c>
      <c r="H1292" s="2" t="s">
        <v>111</v>
      </c>
      <c r="I1292">
        <v>237.9</v>
      </c>
      <c r="J1292">
        <v>15</v>
      </c>
      <c r="K1292">
        <v>35.69</v>
      </c>
      <c r="L1292">
        <v>61.24</v>
      </c>
      <c r="M1292">
        <v>100.09</v>
      </c>
      <c r="N1292">
        <v>0</v>
      </c>
      <c r="O1292">
        <v>6.16</v>
      </c>
      <c r="P1292" s="2" t="s">
        <v>42</v>
      </c>
      <c r="Q1292">
        <v>0</v>
      </c>
      <c r="R1292">
        <v>202.21</v>
      </c>
      <c r="S1292">
        <v>167.49</v>
      </c>
      <c r="T1292">
        <v>34.72</v>
      </c>
      <c r="U1292">
        <f t="shared" si="20"/>
        <v>0</v>
      </c>
    </row>
    <row r="1293" spans="1:21" x14ac:dyDescent="0.25">
      <c r="A1293" s="2" t="s">
        <v>1993</v>
      </c>
      <c r="B1293" s="2" t="s">
        <v>1799</v>
      </c>
      <c r="C1293" s="1">
        <v>45814</v>
      </c>
      <c r="D1293" s="2" t="s">
        <v>45</v>
      </c>
      <c r="E1293" s="2" t="s">
        <v>46</v>
      </c>
      <c r="F1293" s="2" t="s">
        <v>47</v>
      </c>
      <c r="G1293">
        <v>1</v>
      </c>
      <c r="H1293" s="2" t="s">
        <v>64</v>
      </c>
      <c r="I1293">
        <v>51.68</v>
      </c>
      <c r="J1293">
        <v>5</v>
      </c>
      <c r="K1293">
        <v>2.58</v>
      </c>
      <c r="L1293">
        <v>29.56</v>
      </c>
      <c r="M1293">
        <v>19.78</v>
      </c>
      <c r="N1293">
        <v>0</v>
      </c>
      <c r="O1293">
        <v>1.72</v>
      </c>
      <c r="P1293" s="2" t="s">
        <v>42</v>
      </c>
      <c r="Q1293">
        <v>0</v>
      </c>
      <c r="R1293">
        <v>49.1</v>
      </c>
      <c r="S1293">
        <v>51.06</v>
      </c>
      <c r="T1293">
        <v>-1.96</v>
      </c>
      <c r="U1293">
        <f t="shared" si="20"/>
        <v>0</v>
      </c>
    </row>
    <row r="1294" spans="1:21" x14ac:dyDescent="0.25">
      <c r="A1294" s="2" t="s">
        <v>1994</v>
      </c>
      <c r="B1294" s="2" t="s">
        <v>1640</v>
      </c>
      <c r="C1294" s="1">
        <v>45915</v>
      </c>
      <c r="D1294" s="2" t="s">
        <v>59</v>
      </c>
      <c r="E1294" s="2" t="s">
        <v>71</v>
      </c>
      <c r="F1294" s="2" t="s">
        <v>85</v>
      </c>
      <c r="G1294">
        <v>2</v>
      </c>
      <c r="H1294" s="2" t="s">
        <v>56</v>
      </c>
      <c r="I1294">
        <v>44.26</v>
      </c>
      <c r="J1294">
        <v>20</v>
      </c>
      <c r="K1294">
        <v>8.85</v>
      </c>
      <c r="L1294">
        <v>17.079999999999998</v>
      </c>
      <c r="M1294">
        <v>19.78</v>
      </c>
      <c r="N1294">
        <v>5.31</v>
      </c>
      <c r="O1294">
        <v>1.33</v>
      </c>
      <c r="P1294" s="2" t="s">
        <v>42</v>
      </c>
      <c r="Q1294">
        <v>0</v>
      </c>
      <c r="R1294">
        <v>35.409999999999997</v>
      </c>
      <c r="S1294">
        <v>43.5</v>
      </c>
      <c r="T1294">
        <v>-8.09</v>
      </c>
      <c r="U1294">
        <f t="shared" si="20"/>
        <v>0</v>
      </c>
    </row>
    <row r="1295" spans="1:21" x14ac:dyDescent="0.25">
      <c r="A1295" s="2" t="s">
        <v>1995</v>
      </c>
      <c r="B1295" s="2" t="s">
        <v>1797</v>
      </c>
      <c r="C1295" s="1">
        <v>45831</v>
      </c>
      <c r="D1295" s="2" t="s">
        <v>38</v>
      </c>
      <c r="E1295" s="2" t="s">
        <v>55</v>
      </c>
      <c r="F1295" s="2" t="s">
        <v>47</v>
      </c>
      <c r="G1295">
        <v>4</v>
      </c>
      <c r="H1295" s="2" t="s">
        <v>77</v>
      </c>
      <c r="I1295">
        <v>357.64</v>
      </c>
      <c r="J1295">
        <v>0</v>
      </c>
      <c r="K1295">
        <v>0</v>
      </c>
      <c r="L1295">
        <v>68.42</v>
      </c>
      <c r="M1295">
        <v>161.26</v>
      </c>
      <c r="N1295">
        <v>0</v>
      </c>
      <c r="O1295">
        <v>10.67</v>
      </c>
      <c r="P1295" s="2" t="s">
        <v>42</v>
      </c>
      <c r="Q1295">
        <v>0</v>
      </c>
      <c r="R1295">
        <v>357.64</v>
      </c>
      <c r="S1295">
        <v>240.35</v>
      </c>
      <c r="T1295">
        <v>117.29</v>
      </c>
      <c r="U1295">
        <f t="shared" si="20"/>
        <v>0</v>
      </c>
    </row>
    <row r="1296" spans="1:21" x14ac:dyDescent="0.25">
      <c r="A1296" s="2" t="s">
        <v>1996</v>
      </c>
      <c r="B1296" s="2" t="s">
        <v>1552</v>
      </c>
      <c r="C1296" s="1">
        <v>45906</v>
      </c>
      <c r="D1296" s="2" t="s">
        <v>45</v>
      </c>
      <c r="E1296" s="2" t="s">
        <v>71</v>
      </c>
      <c r="F1296" s="2" t="s">
        <v>85</v>
      </c>
      <c r="G1296">
        <v>1</v>
      </c>
      <c r="H1296" s="2" t="s">
        <v>48</v>
      </c>
      <c r="I1296">
        <v>75.03</v>
      </c>
      <c r="J1296">
        <v>0</v>
      </c>
      <c r="K1296">
        <v>0</v>
      </c>
      <c r="L1296">
        <v>23.7</v>
      </c>
      <c r="M1296">
        <v>27.03</v>
      </c>
      <c r="N1296">
        <v>0</v>
      </c>
      <c r="O1296">
        <v>2.48</v>
      </c>
      <c r="P1296" s="2" t="s">
        <v>42</v>
      </c>
      <c r="Q1296">
        <v>0</v>
      </c>
      <c r="R1296">
        <v>75.03</v>
      </c>
      <c r="S1296">
        <v>53.21</v>
      </c>
      <c r="T1296">
        <v>21.82</v>
      </c>
      <c r="U1296">
        <f t="shared" si="20"/>
        <v>0</v>
      </c>
    </row>
    <row r="1297" spans="1:21" x14ac:dyDescent="0.25">
      <c r="A1297" s="2" t="s">
        <v>1997</v>
      </c>
      <c r="B1297" s="2" t="s">
        <v>1998</v>
      </c>
      <c r="C1297" s="1">
        <v>45517</v>
      </c>
      <c r="D1297" s="2" t="s">
        <v>38</v>
      </c>
      <c r="E1297" s="2" t="s">
        <v>67</v>
      </c>
      <c r="F1297" s="2" t="s">
        <v>47</v>
      </c>
      <c r="G1297">
        <v>2</v>
      </c>
      <c r="H1297" s="2" t="s">
        <v>56</v>
      </c>
      <c r="I1297">
        <v>73.989999999999995</v>
      </c>
      <c r="J1297">
        <v>0</v>
      </c>
      <c r="K1297">
        <v>0</v>
      </c>
      <c r="L1297">
        <v>20.74</v>
      </c>
      <c r="M1297">
        <v>40.51</v>
      </c>
      <c r="N1297">
        <v>0</v>
      </c>
      <c r="O1297">
        <v>2.4500000000000002</v>
      </c>
      <c r="P1297" s="2" t="s">
        <v>42</v>
      </c>
      <c r="Q1297">
        <v>0</v>
      </c>
      <c r="R1297">
        <v>73.989999999999995</v>
      </c>
      <c r="S1297">
        <v>63.7</v>
      </c>
      <c r="T1297">
        <v>10.29</v>
      </c>
      <c r="U1297">
        <f t="shared" si="20"/>
        <v>0</v>
      </c>
    </row>
    <row r="1298" spans="1:21" x14ac:dyDescent="0.25">
      <c r="A1298" s="2" t="s">
        <v>1999</v>
      </c>
      <c r="B1298" s="2" t="s">
        <v>439</v>
      </c>
      <c r="C1298" s="1">
        <v>45654</v>
      </c>
      <c r="D1298" s="2" t="s">
        <v>45</v>
      </c>
      <c r="E1298" s="2" t="s">
        <v>46</v>
      </c>
      <c r="F1298" s="2" t="s">
        <v>51</v>
      </c>
      <c r="G1298">
        <v>1</v>
      </c>
      <c r="H1298" s="2" t="s">
        <v>64</v>
      </c>
      <c r="I1298">
        <v>44.72</v>
      </c>
      <c r="J1298">
        <v>10</v>
      </c>
      <c r="K1298">
        <v>4.47</v>
      </c>
      <c r="L1298">
        <v>9.42</v>
      </c>
      <c r="M1298">
        <v>31.09</v>
      </c>
      <c r="N1298">
        <v>0</v>
      </c>
      <c r="O1298">
        <v>1.47</v>
      </c>
      <c r="P1298" s="2" t="s">
        <v>42</v>
      </c>
      <c r="Q1298">
        <v>0</v>
      </c>
      <c r="R1298">
        <v>40.25</v>
      </c>
      <c r="S1298">
        <v>41.98</v>
      </c>
      <c r="T1298">
        <v>-1.73</v>
      </c>
      <c r="U1298">
        <f t="shared" si="20"/>
        <v>0</v>
      </c>
    </row>
    <row r="1299" spans="1:21" x14ac:dyDescent="0.25">
      <c r="A1299" s="2" t="s">
        <v>2000</v>
      </c>
      <c r="B1299" s="2" t="s">
        <v>764</v>
      </c>
      <c r="C1299" s="1">
        <v>45828</v>
      </c>
      <c r="D1299" s="2" t="s">
        <v>59</v>
      </c>
      <c r="E1299" s="2" t="s">
        <v>39</v>
      </c>
      <c r="F1299" s="2" t="s">
        <v>40</v>
      </c>
      <c r="G1299">
        <v>4</v>
      </c>
      <c r="H1299" s="2" t="s">
        <v>77</v>
      </c>
      <c r="I1299">
        <v>170.21</v>
      </c>
      <c r="J1299">
        <v>0</v>
      </c>
      <c r="K1299">
        <v>0</v>
      </c>
      <c r="L1299">
        <v>71.040000000000006</v>
      </c>
      <c r="M1299">
        <v>60.13</v>
      </c>
      <c r="N1299">
        <v>25.53</v>
      </c>
      <c r="O1299">
        <v>5.24</v>
      </c>
      <c r="P1299" s="2" t="s">
        <v>42</v>
      </c>
      <c r="Q1299">
        <v>0</v>
      </c>
      <c r="R1299">
        <v>170.21</v>
      </c>
      <c r="S1299">
        <v>161.94</v>
      </c>
      <c r="T1299">
        <v>8.27</v>
      </c>
      <c r="U1299">
        <f t="shared" si="20"/>
        <v>0</v>
      </c>
    </row>
    <row r="1300" spans="1:21" x14ac:dyDescent="0.25">
      <c r="A1300" s="2" t="s">
        <v>2001</v>
      </c>
      <c r="B1300" s="2" t="s">
        <v>1363</v>
      </c>
      <c r="C1300" s="1">
        <v>45644</v>
      </c>
      <c r="D1300" s="2" t="s">
        <v>45</v>
      </c>
      <c r="E1300" s="2" t="s">
        <v>71</v>
      </c>
      <c r="F1300" s="2" t="s">
        <v>85</v>
      </c>
      <c r="G1300">
        <v>3</v>
      </c>
      <c r="H1300" s="2" t="s">
        <v>111</v>
      </c>
      <c r="I1300">
        <v>253.98</v>
      </c>
      <c r="J1300">
        <v>15</v>
      </c>
      <c r="K1300">
        <v>38.1</v>
      </c>
      <c r="L1300">
        <v>37.68</v>
      </c>
      <c r="M1300">
        <v>81.39</v>
      </c>
      <c r="N1300">
        <v>0</v>
      </c>
      <c r="O1300">
        <v>6.56</v>
      </c>
      <c r="P1300" s="2" t="s">
        <v>42</v>
      </c>
      <c r="Q1300">
        <v>0</v>
      </c>
      <c r="R1300">
        <v>215.88</v>
      </c>
      <c r="S1300">
        <v>125.63</v>
      </c>
      <c r="T1300">
        <v>90.25</v>
      </c>
      <c r="U1300">
        <f t="shared" si="20"/>
        <v>0</v>
      </c>
    </row>
    <row r="1301" spans="1:21" x14ac:dyDescent="0.25">
      <c r="A1301" s="2" t="s">
        <v>2002</v>
      </c>
      <c r="B1301" s="2" t="s">
        <v>186</v>
      </c>
      <c r="C1301" s="1">
        <v>45771</v>
      </c>
      <c r="D1301" s="2" t="s">
        <v>45</v>
      </c>
      <c r="E1301" s="2" t="s">
        <v>67</v>
      </c>
      <c r="F1301" s="2" t="s">
        <v>47</v>
      </c>
      <c r="G1301">
        <v>1</v>
      </c>
      <c r="H1301" s="2" t="s">
        <v>56</v>
      </c>
      <c r="I1301">
        <v>206.7</v>
      </c>
      <c r="J1301">
        <v>0</v>
      </c>
      <c r="K1301">
        <v>0</v>
      </c>
      <c r="L1301">
        <v>10.039999999999999</v>
      </c>
      <c r="M1301">
        <v>61.9</v>
      </c>
      <c r="N1301">
        <v>0</v>
      </c>
      <c r="O1301">
        <v>6.29</v>
      </c>
      <c r="P1301" s="2" t="s">
        <v>42</v>
      </c>
      <c r="Q1301">
        <v>0</v>
      </c>
      <c r="R1301">
        <v>206.7</v>
      </c>
      <c r="S1301">
        <v>78.23</v>
      </c>
      <c r="T1301">
        <v>128.47</v>
      </c>
      <c r="U1301">
        <f t="shared" si="20"/>
        <v>0</v>
      </c>
    </row>
    <row r="1302" spans="1:21" x14ac:dyDescent="0.25">
      <c r="A1302" s="2" t="s">
        <v>2003</v>
      </c>
      <c r="B1302" s="2" t="s">
        <v>485</v>
      </c>
      <c r="C1302" s="1">
        <v>45816</v>
      </c>
      <c r="D1302" s="2" t="s">
        <v>38</v>
      </c>
      <c r="E1302" s="2" t="s">
        <v>55</v>
      </c>
      <c r="F1302" s="2" t="s">
        <v>40</v>
      </c>
      <c r="G1302">
        <v>1</v>
      </c>
      <c r="H1302" s="2" t="s">
        <v>41</v>
      </c>
      <c r="I1302">
        <v>109.6</v>
      </c>
      <c r="J1302">
        <v>0</v>
      </c>
      <c r="K1302">
        <v>0</v>
      </c>
      <c r="L1302">
        <v>11.58</v>
      </c>
      <c r="M1302">
        <v>57.57</v>
      </c>
      <c r="N1302">
        <v>0</v>
      </c>
      <c r="O1302">
        <v>3.48</v>
      </c>
      <c r="P1302" s="2" t="s">
        <v>42</v>
      </c>
      <c r="Q1302">
        <v>0</v>
      </c>
      <c r="R1302">
        <v>109.6</v>
      </c>
      <c r="S1302">
        <v>72.63</v>
      </c>
      <c r="T1302">
        <v>36.97</v>
      </c>
      <c r="U1302">
        <f t="shared" si="20"/>
        <v>0</v>
      </c>
    </row>
    <row r="1303" spans="1:21" x14ac:dyDescent="0.25">
      <c r="A1303" s="2" t="s">
        <v>2004</v>
      </c>
      <c r="B1303" s="2" t="s">
        <v>485</v>
      </c>
      <c r="C1303" s="1">
        <v>45825</v>
      </c>
      <c r="D1303" s="2" t="s">
        <v>45</v>
      </c>
      <c r="E1303" s="2" t="s">
        <v>55</v>
      </c>
      <c r="F1303" s="2" t="s">
        <v>40</v>
      </c>
      <c r="G1303">
        <v>1</v>
      </c>
      <c r="H1303" s="2" t="s">
        <v>64</v>
      </c>
      <c r="I1303">
        <v>49.76</v>
      </c>
      <c r="J1303">
        <v>20</v>
      </c>
      <c r="K1303">
        <v>9.9499999999999993</v>
      </c>
      <c r="L1303">
        <v>14.04</v>
      </c>
      <c r="M1303">
        <v>27.54</v>
      </c>
      <c r="N1303">
        <v>0</v>
      </c>
      <c r="O1303">
        <v>1.45</v>
      </c>
      <c r="P1303" s="2" t="s">
        <v>42</v>
      </c>
      <c r="Q1303">
        <v>0</v>
      </c>
      <c r="R1303">
        <v>39.81</v>
      </c>
      <c r="S1303">
        <v>43.03</v>
      </c>
      <c r="T1303">
        <v>-3.22</v>
      </c>
      <c r="U1303">
        <f t="shared" si="20"/>
        <v>0</v>
      </c>
    </row>
    <row r="1304" spans="1:21" x14ac:dyDescent="0.25">
      <c r="A1304" s="2" t="s">
        <v>2005</v>
      </c>
      <c r="B1304" s="2" t="s">
        <v>445</v>
      </c>
      <c r="C1304" s="1">
        <v>45646</v>
      </c>
      <c r="D1304" s="2" t="s">
        <v>45</v>
      </c>
      <c r="E1304" s="2" t="s">
        <v>67</v>
      </c>
      <c r="F1304" s="2" t="s">
        <v>85</v>
      </c>
      <c r="G1304">
        <v>1</v>
      </c>
      <c r="H1304" s="2" t="s">
        <v>74</v>
      </c>
      <c r="I1304">
        <v>41.34</v>
      </c>
      <c r="J1304">
        <v>15</v>
      </c>
      <c r="K1304">
        <v>6.2</v>
      </c>
      <c r="L1304">
        <v>11.18</v>
      </c>
      <c r="M1304">
        <v>21.84</v>
      </c>
      <c r="N1304">
        <v>0</v>
      </c>
      <c r="O1304">
        <v>1.32</v>
      </c>
      <c r="P1304" s="2" t="s">
        <v>42</v>
      </c>
      <c r="Q1304">
        <v>0</v>
      </c>
      <c r="R1304">
        <v>35.14</v>
      </c>
      <c r="S1304">
        <v>34.340000000000003</v>
      </c>
      <c r="T1304">
        <v>0.8</v>
      </c>
      <c r="U1304">
        <f t="shared" si="20"/>
        <v>0</v>
      </c>
    </row>
    <row r="1305" spans="1:21" x14ac:dyDescent="0.25">
      <c r="A1305" s="2" t="s">
        <v>2006</v>
      </c>
      <c r="B1305" s="2" t="s">
        <v>1187</v>
      </c>
      <c r="C1305" s="1">
        <v>45744</v>
      </c>
      <c r="D1305" s="2" t="s">
        <v>45</v>
      </c>
      <c r="E1305" s="2" t="s">
        <v>46</v>
      </c>
      <c r="F1305" s="2" t="s">
        <v>47</v>
      </c>
      <c r="G1305">
        <v>1</v>
      </c>
      <c r="H1305" s="2" t="s">
        <v>56</v>
      </c>
      <c r="I1305">
        <v>91.38</v>
      </c>
      <c r="J1305">
        <v>10</v>
      </c>
      <c r="K1305">
        <v>9.14</v>
      </c>
      <c r="L1305">
        <v>23.16</v>
      </c>
      <c r="M1305">
        <v>56.42</v>
      </c>
      <c r="N1305">
        <v>0</v>
      </c>
      <c r="O1305">
        <v>2.68</v>
      </c>
      <c r="P1305" s="2" t="s">
        <v>42</v>
      </c>
      <c r="Q1305">
        <v>0</v>
      </c>
      <c r="R1305">
        <v>82.24</v>
      </c>
      <c r="S1305">
        <v>82.26</v>
      </c>
      <c r="T1305">
        <v>-0.02</v>
      </c>
      <c r="U1305">
        <f t="shared" si="20"/>
        <v>0</v>
      </c>
    </row>
    <row r="1306" spans="1:21" x14ac:dyDescent="0.25">
      <c r="A1306" s="2" t="s">
        <v>2007</v>
      </c>
      <c r="B1306" s="2" t="s">
        <v>2008</v>
      </c>
      <c r="C1306" s="1">
        <v>45869</v>
      </c>
      <c r="D1306" s="2" t="s">
        <v>59</v>
      </c>
      <c r="E1306" s="2" t="s">
        <v>46</v>
      </c>
      <c r="F1306" s="2" t="s">
        <v>40</v>
      </c>
      <c r="G1306">
        <v>1</v>
      </c>
      <c r="H1306" s="2" t="s">
        <v>52</v>
      </c>
      <c r="I1306">
        <v>10.050000000000001</v>
      </c>
      <c r="J1306">
        <v>0</v>
      </c>
      <c r="K1306">
        <v>0</v>
      </c>
      <c r="L1306">
        <v>9.18</v>
      </c>
      <c r="M1306">
        <v>6.91</v>
      </c>
      <c r="N1306">
        <v>1.51</v>
      </c>
      <c r="O1306">
        <v>0.59</v>
      </c>
      <c r="P1306" s="2" t="s">
        <v>42</v>
      </c>
      <c r="Q1306">
        <v>0</v>
      </c>
      <c r="R1306">
        <v>10.050000000000001</v>
      </c>
      <c r="S1306">
        <v>18.190000000000001</v>
      </c>
      <c r="T1306">
        <v>-8.14</v>
      </c>
      <c r="U1306">
        <f t="shared" si="20"/>
        <v>0</v>
      </c>
    </row>
    <row r="1307" spans="1:21" x14ac:dyDescent="0.25">
      <c r="A1307" s="2" t="s">
        <v>2009</v>
      </c>
      <c r="B1307" s="2" t="s">
        <v>2010</v>
      </c>
      <c r="C1307" s="1">
        <v>45724</v>
      </c>
      <c r="D1307" s="2" t="s">
        <v>38</v>
      </c>
      <c r="E1307" s="2" t="s">
        <v>71</v>
      </c>
      <c r="F1307" s="2" t="s">
        <v>85</v>
      </c>
      <c r="G1307">
        <v>1</v>
      </c>
      <c r="H1307" s="2" t="s">
        <v>48</v>
      </c>
      <c r="I1307">
        <v>36.6</v>
      </c>
      <c r="J1307">
        <v>0</v>
      </c>
      <c r="K1307">
        <v>0</v>
      </c>
      <c r="L1307">
        <v>10.62</v>
      </c>
      <c r="M1307">
        <v>14.64</v>
      </c>
      <c r="N1307">
        <v>0</v>
      </c>
      <c r="O1307">
        <v>1.36</v>
      </c>
      <c r="P1307" s="2" t="s">
        <v>68</v>
      </c>
      <c r="Q1307">
        <v>36.6</v>
      </c>
      <c r="R1307">
        <v>0</v>
      </c>
      <c r="S1307">
        <v>26.62</v>
      </c>
      <c r="T1307">
        <v>-26.62</v>
      </c>
      <c r="U1307">
        <f t="shared" si="20"/>
        <v>0</v>
      </c>
    </row>
    <row r="1308" spans="1:21" x14ac:dyDescent="0.25">
      <c r="A1308" s="2" t="s">
        <v>2011</v>
      </c>
      <c r="B1308" s="2" t="s">
        <v>916</v>
      </c>
      <c r="C1308" s="1">
        <v>45659</v>
      </c>
      <c r="D1308" s="2" t="s">
        <v>45</v>
      </c>
      <c r="E1308" s="2" t="s">
        <v>71</v>
      </c>
      <c r="F1308" s="2" t="s">
        <v>40</v>
      </c>
      <c r="G1308">
        <v>1</v>
      </c>
      <c r="H1308" s="2" t="s">
        <v>56</v>
      </c>
      <c r="I1308">
        <v>45.69</v>
      </c>
      <c r="J1308">
        <v>0</v>
      </c>
      <c r="K1308">
        <v>0</v>
      </c>
      <c r="L1308">
        <v>11.58</v>
      </c>
      <c r="M1308">
        <v>28.21</v>
      </c>
      <c r="N1308">
        <v>0</v>
      </c>
      <c r="O1308">
        <v>1.63</v>
      </c>
      <c r="P1308" s="2" t="s">
        <v>42</v>
      </c>
      <c r="Q1308">
        <v>0</v>
      </c>
      <c r="R1308">
        <v>45.69</v>
      </c>
      <c r="S1308">
        <v>41.42</v>
      </c>
      <c r="T1308">
        <v>4.2699999999999996</v>
      </c>
      <c r="U1308">
        <f t="shared" si="20"/>
        <v>0</v>
      </c>
    </row>
    <row r="1309" spans="1:21" x14ac:dyDescent="0.25">
      <c r="A1309" s="2" t="s">
        <v>2012</v>
      </c>
      <c r="B1309" s="2" t="s">
        <v>1513</v>
      </c>
      <c r="C1309" s="1">
        <v>45824</v>
      </c>
      <c r="D1309" s="2" t="s">
        <v>45</v>
      </c>
      <c r="E1309" s="2" t="s">
        <v>55</v>
      </c>
      <c r="F1309" s="2" t="s">
        <v>51</v>
      </c>
      <c r="G1309">
        <v>2</v>
      </c>
      <c r="H1309" s="2" t="s">
        <v>48</v>
      </c>
      <c r="I1309">
        <v>204.46</v>
      </c>
      <c r="J1309">
        <v>0</v>
      </c>
      <c r="K1309">
        <v>0</v>
      </c>
      <c r="L1309">
        <v>43.28</v>
      </c>
      <c r="M1309">
        <v>78.489999999999995</v>
      </c>
      <c r="N1309">
        <v>0</v>
      </c>
      <c r="O1309">
        <v>6.23</v>
      </c>
      <c r="P1309" s="2" t="s">
        <v>42</v>
      </c>
      <c r="Q1309">
        <v>0</v>
      </c>
      <c r="R1309">
        <v>204.46</v>
      </c>
      <c r="S1309">
        <v>128</v>
      </c>
      <c r="T1309">
        <v>76.459999999999994</v>
      </c>
      <c r="U1309">
        <f t="shared" si="20"/>
        <v>1</v>
      </c>
    </row>
    <row r="1310" spans="1:21" x14ac:dyDescent="0.25">
      <c r="A1310" s="2" t="s">
        <v>2013</v>
      </c>
      <c r="B1310" s="2" t="s">
        <v>1100</v>
      </c>
      <c r="C1310" s="1">
        <v>45736</v>
      </c>
      <c r="D1310" s="2" t="s">
        <v>38</v>
      </c>
      <c r="E1310" s="2" t="s">
        <v>39</v>
      </c>
      <c r="F1310" s="2" t="s">
        <v>94</v>
      </c>
      <c r="G1310">
        <v>1</v>
      </c>
      <c r="H1310" s="2" t="s">
        <v>77</v>
      </c>
      <c r="I1310">
        <v>33.6</v>
      </c>
      <c r="J1310">
        <v>0</v>
      </c>
      <c r="K1310">
        <v>0</v>
      </c>
      <c r="L1310">
        <v>8.2799999999999994</v>
      </c>
      <c r="M1310">
        <v>16.5</v>
      </c>
      <c r="N1310">
        <v>0</v>
      </c>
      <c r="O1310">
        <v>1.27</v>
      </c>
      <c r="P1310" s="2" t="s">
        <v>68</v>
      </c>
      <c r="Q1310">
        <v>33.6</v>
      </c>
      <c r="R1310">
        <v>0</v>
      </c>
      <c r="S1310">
        <v>26.05</v>
      </c>
      <c r="T1310">
        <v>-26.05</v>
      </c>
      <c r="U1310">
        <f t="shared" si="20"/>
        <v>0</v>
      </c>
    </row>
    <row r="1311" spans="1:21" x14ac:dyDescent="0.25">
      <c r="A1311" s="2" t="s">
        <v>2014</v>
      </c>
      <c r="B1311" s="2" t="s">
        <v>2015</v>
      </c>
      <c r="C1311" s="1">
        <v>45811</v>
      </c>
      <c r="D1311" s="2" t="s">
        <v>59</v>
      </c>
      <c r="E1311" s="2" t="s">
        <v>71</v>
      </c>
      <c r="F1311" s="2" t="s">
        <v>40</v>
      </c>
      <c r="G1311">
        <v>1</v>
      </c>
      <c r="H1311" s="2" t="s">
        <v>74</v>
      </c>
      <c r="I1311">
        <v>27.16</v>
      </c>
      <c r="J1311">
        <v>5</v>
      </c>
      <c r="K1311">
        <v>1.36</v>
      </c>
      <c r="L1311">
        <v>11.34</v>
      </c>
      <c r="M1311">
        <v>13.64</v>
      </c>
      <c r="N1311">
        <v>3.87</v>
      </c>
      <c r="O1311">
        <v>1.05</v>
      </c>
      <c r="P1311" s="2" t="s">
        <v>42</v>
      </c>
      <c r="Q1311">
        <v>0</v>
      </c>
      <c r="R1311">
        <v>25.8</v>
      </c>
      <c r="S1311">
        <v>29.9</v>
      </c>
      <c r="T1311">
        <v>-4.0999999999999996</v>
      </c>
      <c r="U1311">
        <f t="shared" si="20"/>
        <v>0</v>
      </c>
    </row>
    <row r="1312" spans="1:21" x14ac:dyDescent="0.25">
      <c r="A1312" s="2" t="s">
        <v>2016</v>
      </c>
      <c r="B1312" s="2" t="s">
        <v>231</v>
      </c>
      <c r="C1312" s="1">
        <v>45650</v>
      </c>
      <c r="D1312" s="2" t="s">
        <v>59</v>
      </c>
      <c r="E1312" s="2" t="s">
        <v>46</v>
      </c>
      <c r="F1312" s="2" t="s">
        <v>85</v>
      </c>
      <c r="G1312">
        <v>4</v>
      </c>
      <c r="H1312" s="2" t="s">
        <v>52</v>
      </c>
      <c r="I1312">
        <v>230.96</v>
      </c>
      <c r="J1312">
        <v>0</v>
      </c>
      <c r="K1312">
        <v>0</v>
      </c>
      <c r="L1312">
        <v>89.28</v>
      </c>
      <c r="M1312">
        <v>92.49</v>
      </c>
      <c r="N1312">
        <v>34.64</v>
      </c>
      <c r="O1312">
        <v>7</v>
      </c>
      <c r="P1312" s="2" t="s">
        <v>42</v>
      </c>
      <c r="Q1312">
        <v>0</v>
      </c>
      <c r="R1312">
        <v>230.96</v>
      </c>
      <c r="S1312">
        <v>223.41</v>
      </c>
      <c r="T1312">
        <v>7.55</v>
      </c>
      <c r="U1312">
        <f t="shared" si="20"/>
        <v>1</v>
      </c>
    </row>
    <row r="1313" spans="1:21" x14ac:dyDescent="0.25">
      <c r="A1313" s="2" t="s">
        <v>2017</v>
      </c>
      <c r="B1313" s="2" t="s">
        <v>2018</v>
      </c>
      <c r="C1313" s="1">
        <v>45501</v>
      </c>
      <c r="D1313" s="2" t="s">
        <v>45</v>
      </c>
      <c r="E1313" s="2" t="s">
        <v>39</v>
      </c>
      <c r="F1313" s="2" t="s">
        <v>94</v>
      </c>
      <c r="G1313">
        <v>2</v>
      </c>
      <c r="H1313" s="2" t="s">
        <v>74</v>
      </c>
      <c r="I1313">
        <v>152.72999999999999</v>
      </c>
      <c r="J1313">
        <v>25</v>
      </c>
      <c r="K1313">
        <v>38.18</v>
      </c>
      <c r="L1313">
        <v>34.020000000000003</v>
      </c>
      <c r="M1313">
        <v>55.26</v>
      </c>
      <c r="N1313">
        <v>0</v>
      </c>
      <c r="O1313">
        <v>3.62</v>
      </c>
      <c r="P1313" s="2" t="s">
        <v>42</v>
      </c>
      <c r="Q1313">
        <v>0</v>
      </c>
      <c r="R1313">
        <v>114.55</v>
      </c>
      <c r="S1313">
        <v>92.9</v>
      </c>
      <c r="T1313">
        <v>21.65</v>
      </c>
      <c r="U1313">
        <f t="shared" si="20"/>
        <v>0</v>
      </c>
    </row>
    <row r="1314" spans="1:21" x14ac:dyDescent="0.25">
      <c r="A1314" s="2" t="s">
        <v>2019</v>
      </c>
      <c r="B1314" s="2" t="s">
        <v>747</v>
      </c>
      <c r="C1314" s="1">
        <v>45871</v>
      </c>
      <c r="D1314" s="2" t="s">
        <v>38</v>
      </c>
      <c r="E1314" s="2" t="s">
        <v>46</v>
      </c>
      <c r="F1314" s="2" t="s">
        <v>51</v>
      </c>
      <c r="G1314">
        <v>2</v>
      </c>
      <c r="H1314" s="2" t="s">
        <v>41</v>
      </c>
      <c r="I1314">
        <v>92.75</v>
      </c>
      <c r="J1314">
        <v>10</v>
      </c>
      <c r="K1314">
        <v>9.2799999999999994</v>
      </c>
      <c r="L1314">
        <v>18.68</v>
      </c>
      <c r="M1314">
        <v>38.42</v>
      </c>
      <c r="N1314">
        <v>0</v>
      </c>
      <c r="O1314">
        <v>2.72</v>
      </c>
      <c r="P1314" s="2" t="s">
        <v>42</v>
      </c>
      <c r="Q1314">
        <v>0</v>
      </c>
      <c r="R1314">
        <v>83.47</v>
      </c>
      <c r="S1314">
        <v>59.82</v>
      </c>
      <c r="T1314">
        <v>23.65</v>
      </c>
      <c r="U1314">
        <f t="shared" si="20"/>
        <v>0</v>
      </c>
    </row>
    <row r="1315" spans="1:21" x14ac:dyDescent="0.25">
      <c r="A1315" s="2" t="s">
        <v>2020</v>
      </c>
      <c r="B1315" s="2" t="s">
        <v>888</v>
      </c>
      <c r="C1315" s="1">
        <v>45901</v>
      </c>
      <c r="D1315" s="2" t="s">
        <v>45</v>
      </c>
      <c r="E1315" s="2" t="s">
        <v>55</v>
      </c>
      <c r="F1315" s="2" t="s">
        <v>47</v>
      </c>
      <c r="G1315">
        <v>1</v>
      </c>
      <c r="H1315" s="2" t="s">
        <v>77</v>
      </c>
      <c r="I1315">
        <v>18.27</v>
      </c>
      <c r="J1315">
        <v>20</v>
      </c>
      <c r="K1315">
        <v>3.65</v>
      </c>
      <c r="L1315">
        <v>9.26</v>
      </c>
      <c r="M1315">
        <v>11.45</v>
      </c>
      <c r="N1315">
        <v>0</v>
      </c>
      <c r="O1315">
        <v>0.72</v>
      </c>
      <c r="P1315" s="2" t="s">
        <v>42</v>
      </c>
      <c r="Q1315">
        <v>0</v>
      </c>
      <c r="R1315">
        <v>14.62</v>
      </c>
      <c r="S1315">
        <v>21.43</v>
      </c>
      <c r="T1315">
        <v>-6.81</v>
      </c>
      <c r="U1315">
        <f t="shared" si="20"/>
        <v>0</v>
      </c>
    </row>
    <row r="1316" spans="1:21" x14ac:dyDescent="0.25">
      <c r="A1316" s="2" t="s">
        <v>2021</v>
      </c>
      <c r="B1316" s="2" t="s">
        <v>880</v>
      </c>
      <c r="C1316" s="1">
        <v>45739</v>
      </c>
      <c r="D1316" s="2" t="s">
        <v>38</v>
      </c>
      <c r="E1316" s="2" t="s">
        <v>46</v>
      </c>
      <c r="F1316" s="2" t="s">
        <v>51</v>
      </c>
      <c r="G1316">
        <v>4</v>
      </c>
      <c r="H1316" s="2" t="s">
        <v>48</v>
      </c>
      <c r="I1316">
        <v>256.32</v>
      </c>
      <c r="J1316">
        <v>0</v>
      </c>
      <c r="K1316">
        <v>0</v>
      </c>
      <c r="L1316">
        <v>56.3</v>
      </c>
      <c r="M1316">
        <v>93.01</v>
      </c>
      <c r="N1316">
        <v>0</v>
      </c>
      <c r="O1316">
        <v>7.73</v>
      </c>
      <c r="P1316" s="2" t="s">
        <v>42</v>
      </c>
      <c r="Q1316">
        <v>0</v>
      </c>
      <c r="R1316">
        <v>256.32</v>
      </c>
      <c r="S1316">
        <v>157.04</v>
      </c>
      <c r="T1316">
        <v>99.28</v>
      </c>
      <c r="U1316">
        <f t="shared" si="20"/>
        <v>0</v>
      </c>
    </row>
    <row r="1317" spans="1:21" x14ac:dyDescent="0.25">
      <c r="A1317" s="2" t="s">
        <v>2022</v>
      </c>
      <c r="B1317" s="2" t="s">
        <v>810</v>
      </c>
      <c r="C1317" s="1">
        <v>45799</v>
      </c>
      <c r="D1317" s="2" t="s">
        <v>45</v>
      </c>
      <c r="E1317" s="2" t="s">
        <v>55</v>
      </c>
      <c r="F1317" s="2" t="s">
        <v>47</v>
      </c>
      <c r="G1317">
        <v>2</v>
      </c>
      <c r="H1317" s="2" t="s">
        <v>74</v>
      </c>
      <c r="I1317">
        <v>68.92</v>
      </c>
      <c r="J1317">
        <v>25</v>
      </c>
      <c r="K1317">
        <v>17.23</v>
      </c>
      <c r="L1317">
        <v>23.46</v>
      </c>
      <c r="M1317">
        <v>31.27</v>
      </c>
      <c r="N1317">
        <v>0</v>
      </c>
      <c r="O1317">
        <v>1.8</v>
      </c>
      <c r="P1317" s="2" t="s">
        <v>42</v>
      </c>
      <c r="Q1317">
        <v>0</v>
      </c>
      <c r="R1317">
        <v>51.69</v>
      </c>
      <c r="S1317">
        <v>56.53</v>
      </c>
      <c r="T1317">
        <v>-4.84</v>
      </c>
      <c r="U1317">
        <f t="shared" si="20"/>
        <v>0</v>
      </c>
    </row>
    <row r="1318" spans="1:21" x14ac:dyDescent="0.25">
      <c r="A1318" s="2" t="s">
        <v>2023</v>
      </c>
      <c r="B1318" s="2" t="s">
        <v>2024</v>
      </c>
      <c r="C1318" s="1">
        <v>45726</v>
      </c>
      <c r="D1318" s="2" t="s">
        <v>59</v>
      </c>
      <c r="E1318" s="2" t="s">
        <v>55</v>
      </c>
      <c r="F1318" s="2" t="s">
        <v>47</v>
      </c>
      <c r="G1318">
        <v>2</v>
      </c>
      <c r="H1318" s="2" t="s">
        <v>77</v>
      </c>
      <c r="I1318">
        <v>87.55</v>
      </c>
      <c r="J1318">
        <v>15</v>
      </c>
      <c r="K1318">
        <v>13.13</v>
      </c>
      <c r="L1318">
        <v>16.68</v>
      </c>
      <c r="M1318">
        <v>27.82</v>
      </c>
      <c r="N1318">
        <v>11.16</v>
      </c>
      <c r="O1318">
        <v>2.46</v>
      </c>
      <c r="P1318" s="2" t="s">
        <v>42</v>
      </c>
      <c r="Q1318">
        <v>0</v>
      </c>
      <c r="R1318">
        <v>74.42</v>
      </c>
      <c r="S1318">
        <v>58.12</v>
      </c>
      <c r="T1318">
        <v>16.3</v>
      </c>
      <c r="U1318">
        <f t="shared" si="20"/>
        <v>0</v>
      </c>
    </row>
    <row r="1319" spans="1:21" x14ac:dyDescent="0.25">
      <c r="A1319" s="2" t="s">
        <v>2025</v>
      </c>
      <c r="B1319" s="2" t="s">
        <v>2026</v>
      </c>
      <c r="C1319" s="1">
        <v>45812</v>
      </c>
      <c r="D1319" s="2" t="s">
        <v>59</v>
      </c>
      <c r="E1319" s="2" t="s">
        <v>46</v>
      </c>
      <c r="F1319" s="2" t="s">
        <v>85</v>
      </c>
      <c r="G1319">
        <v>1</v>
      </c>
      <c r="H1319" s="2" t="s">
        <v>77</v>
      </c>
      <c r="I1319">
        <v>54.81</v>
      </c>
      <c r="J1319">
        <v>25</v>
      </c>
      <c r="K1319">
        <v>13.7</v>
      </c>
      <c r="L1319">
        <v>27.78</v>
      </c>
      <c r="M1319">
        <v>34.35</v>
      </c>
      <c r="N1319">
        <v>6.17</v>
      </c>
      <c r="O1319">
        <v>1.49</v>
      </c>
      <c r="P1319" s="2" t="s">
        <v>42</v>
      </c>
      <c r="Q1319">
        <v>0</v>
      </c>
      <c r="R1319">
        <v>41.11</v>
      </c>
      <c r="S1319">
        <v>69.790000000000006</v>
      </c>
      <c r="T1319">
        <v>-28.68</v>
      </c>
      <c r="U1319">
        <f t="shared" si="20"/>
        <v>0</v>
      </c>
    </row>
    <row r="1320" spans="1:21" x14ac:dyDescent="0.25">
      <c r="A1320" s="2" t="s">
        <v>2027</v>
      </c>
      <c r="B1320" s="2" t="s">
        <v>1223</v>
      </c>
      <c r="C1320" s="1">
        <v>45953</v>
      </c>
      <c r="D1320" s="2" t="s">
        <v>38</v>
      </c>
      <c r="E1320" s="2" t="s">
        <v>71</v>
      </c>
      <c r="F1320" s="2" t="s">
        <v>51</v>
      </c>
      <c r="G1320">
        <v>3</v>
      </c>
      <c r="H1320" s="2" t="s">
        <v>48</v>
      </c>
      <c r="I1320">
        <v>184.26</v>
      </c>
      <c r="J1320">
        <v>0</v>
      </c>
      <c r="K1320">
        <v>0</v>
      </c>
      <c r="L1320">
        <v>24.96</v>
      </c>
      <c r="M1320">
        <v>94.57</v>
      </c>
      <c r="N1320">
        <v>0</v>
      </c>
      <c r="O1320">
        <v>5.64</v>
      </c>
      <c r="P1320" s="2" t="s">
        <v>42</v>
      </c>
      <c r="Q1320">
        <v>0</v>
      </c>
      <c r="R1320">
        <v>184.26</v>
      </c>
      <c r="S1320">
        <v>125.17</v>
      </c>
      <c r="T1320">
        <v>59.09</v>
      </c>
      <c r="U1320">
        <f t="shared" si="20"/>
        <v>0</v>
      </c>
    </row>
    <row r="1321" spans="1:21" x14ac:dyDescent="0.25">
      <c r="A1321" s="2" t="s">
        <v>2028</v>
      </c>
      <c r="B1321" s="2" t="s">
        <v>283</v>
      </c>
      <c r="C1321" s="1">
        <v>45810</v>
      </c>
      <c r="D1321" s="2" t="s">
        <v>59</v>
      </c>
      <c r="E1321" s="2" t="s">
        <v>46</v>
      </c>
      <c r="F1321" s="2" t="s">
        <v>40</v>
      </c>
      <c r="G1321">
        <v>1</v>
      </c>
      <c r="H1321" s="2" t="s">
        <v>56</v>
      </c>
      <c r="I1321">
        <v>96.35</v>
      </c>
      <c r="J1321">
        <v>0</v>
      </c>
      <c r="K1321">
        <v>0</v>
      </c>
      <c r="L1321">
        <v>3.82</v>
      </c>
      <c r="M1321">
        <v>38.61</v>
      </c>
      <c r="N1321">
        <v>14.45</v>
      </c>
      <c r="O1321">
        <v>3.09</v>
      </c>
      <c r="P1321" s="2" t="s">
        <v>42</v>
      </c>
      <c r="Q1321">
        <v>0</v>
      </c>
      <c r="R1321">
        <v>96.35</v>
      </c>
      <c r="S1321">
        <v>59.97</v>
      </c>
      <c r="T1321">
        <v>36.380000000000003</v>
      </c>
      <c r="U1321">
        <f t="shared" si="20"/>
        <v>0</v>
      </c>
    </row>
    <row r="1322" spans="1:21" x14ac:dyDescent="0.25">
      <c r="A1322" s="2" t="s">
        <v>2029</v>
      </c>
      <c r="B1322" s="2" t="s">
        <v>1233</v>
      </c>
      <c r="C1322" s="1">
        <v>45565</v>
      </c>
      <c r="D1322" s="2" t="s">
        <v>80</v>
      </c>
      <c r="E1322" s="2" t="s">
        <v>46</v>
      </c>
      <c r="F1322" s="2" t="s">
        <v>85</v>
      </c>
      <c r="G1322">
        <v>3</v>
      </c>
      <c r="H1322" s="2" t="s">
        <v>64</v>
      </c>
      <c r="I1322">
        <v>125.85</v>
      </c>
      <c r="J1322">
        <v>5</v>
      </c>
      <c r="K1322">
        <v>6.29</v>
      </c>
      <c r="L1322">
        <v>29.06</v>
      </c>
      <c r="M1322">
        <v>52.37</v>
      </c>
      <c r="N1322">
        <v>9.56</v>
      </c>
      <c r="O1322">
        <v>3.77</v>
      </c>
      <c r="P1322" s="2" t="s">
        <v>42</v>
      </c>
      <c r="Q1322">
        <v>0</v>
      </c>
      <c r="R1322">
        <v>119.56</v>
      </c>
      <c r="S1322">
        <v>94.76</v>
      </c>
      <c r="T1322">
        <v>24.8</v>
      </c>
      <c r="U1322">
        <f t="shared" si="20"/>
        <v>0</v>
      </c>
    </row>
    <row r="1323" spans="1:21" x14ac:dyDescent="0.25">
      <c r="A1323" s="2" t="s">
        <v>2030</v>
      </c>
      <c r="B1323" s="2" t="s">
        <v>305</v>
      </c>
      <c r="C1323" s="1">
        <v>45883</v>
      </c>
      <c r="D1323" s="2" t="s">
        <v>45</v>
      </c>
      <c r="E1323" s="2" t="s">
        <v>71</v>
      </c>
      <c r="F1323" s="2" t="s">
        <v>94</v>
      </c>
      <c r="G1323">
        <v>1</v>
      </c>
      <c r="H1323" s="2" t="s">
        <v>48</v>
      </c>
      <c r="I1323">
        <v>16.16</v>
      </c>
      <c r="J1323">
        <v>20</v>
      </c>
      <c r="K1323">
        <v>3.23</v>
      </c>
      <c r="L1323">
        <v>4.54</v>
      </c>
      <c r="M1323">
        <v>7.01</v>
      </c>
      <c r="N1323">
        <v>0</v>
      </c>
      <c r="O1323">
        <v>0.67</v>
      </c>
      <c r="P1323" s="2" t="s">
        <v>42</v>
      </c>
      <c r="Q1323">
        <v>0</v>
      </c>
      <c r="R1323">
        <v>12.93</v>
      </c>
      <c r="S1323">
        <v>12.22</v>
      </c>
      <c r="T1323">
        <v>0.71</v>
      </c>
      <c r="U1323">
        <f t="shared" si="20"/>
        <v>0</v>
      </c>
    </row>
    <row r="1324" spans="1:21" x14ac:dyDescent="0.25">
      <c r="A1324" s="2" t="s">
        <v>2031</v>
      </c>
      <c r="B1324" s="2" t="s">
        <v>1759</v>
      </c>
      <c r="C1324" s="1">
        <v>45411</v>
      </c>
      <c r="D1324" s="2" t="s">
        <v>59</v>
      </c>
      <c r="E1324" s="2" t="s">
        <v>46</v>
      </c>
      <c r="F1324" s="2" t="s">
        <v>40</v>
      </c>
      <c r="G1324">
        <v>4</v>
      </c>
      <c r="H1324" s="2" t="s">
        <v>74</v>
      </c>
      <c r="I1324">
        <v>360.08</v>
      </c>
      <c r="J1324">
        <v>20</v>
      </c>
      <c r="K1324">
        <v>72.02</v>
      </c>
      <c r="L1324">
        <v>49.5</v>
      </c>
      <c r="M1324">
        <v>175.69</v>
      </c>
      <c r="N1324">
        <v>43.21</v>
      </c>
      <c r="O1324">
        <v>8.65</v>
      </c>
      <c r="P1324" s="2" t="s">
        <v>42</v>
      </c>
      <c r="Q1324">
        <v>0</v>
      </c>
      <c r="R1324">
        <v>288.06</v>
      </c>
      <c r="S1324">
        <v>277.05</v>
      </c>
      <c r="T1324">
        <v>11.01</v>
      </c>
      <c r="U1324">
        <f t="shared" si="20"/>
        <v>0</v>
      </c>
    </row>
    <row r="1325" spans="1:21" x14ac:dyDescent="0.25">
      <c r="A1325" s="2" t="s">
        <v>2032</v>
      </c>
      <c r="B1325" s="2" t="s">
        <v>1704</v>
      </c>
      <c r="C1325" s="1">
        <v>45535</v>
      </c>
      <c r="D1325" s="2" t="s">
        <v>59</v>
      </c>
      <c r="E1325" s="2" t="s">
        <v>46</v>
      </c>
      <c r="F1325" s="2" t="s">
        <v>94</v>
      </c>
      <c r="G1325">
        <v>1</v>
      </c>
      <c r="H1325" s="2" t="s">
        <v>56</v>
      </c>
      <c r="I1325">
        <v>19.260000000000002</v>
      </c>
      <c r="J1325">
        <v>0</v>
      </c>
      <c r="K1325">
        <v>0</v>
      </c>
      <c r="L1325">
        <v>5.26</v>
      </c>
      <c r="M1325">
        <v>7.33</v>
      </c>
      <c r="N1325">
        <v>2.89</v>
      </c>
      <c r="O1325">
        <v>0.86</v>
      </c>
      <c r="P1325" s="2" t="s">
        <v>42</v>
      </c>
      <c r="Q1325">
        <v>0</v>
      </c>
      <c r="R1325">
        <v>19.260000000000002</v>
      </c>
      <c r="S1325">
        <v>16.34</v>
      </c>
      <c r="T1325">
        <v>2.92</v>
      </c>
      <c r="U1325">
        <f t="shared" si="20"/>
        <v>0</v>
      </c>
    </row>
    <row r="1326" spans="1:21" x14ac:dyDescent="0.25">
      <c r="A1326" s="2" t="s">
        <v>2033</v>
      </c>
      <c r="B1326" s="2" t="s">
        <v>710</v>
      </c>
      <c r="C1326" s="1">
        <v>45681</v>
      </c>
      <c r="D1326" s="2" t="s">
        <v>59</v>
      </c>
      <c r="E1326" s="2" t="s">
        <v>67</v>
      </c>
      <c r="F1326" s="2" t="s">
        <v>47</v>
      </c>
      <c r="G1326">
        <v>1</v>
      </c>
      <c r="H1326" s="2" t="s">
        <v>52</v>
      </c>
      <c r="I1326">
        <v>94.27</v>
      </c>
      <c r="J1326">
        <v>0</v>
      </c>
      <c r="K1326">
        <v>0</v>
      </c>
      <c r="L1326">
        <v>7.98</v>
      </c>
      <c r="M1326">
        <v>37.200000000000003</v>
      </c>
      <c r="N1326">
        <v>14.14</v>
      </c>
      <c r="O1326">
        <v>3.03</v>
      </c>
      <c r="P1326" s="2" t="s">
        <v>42</v>
      </c>
      <c r="Q1326">
        <v>0</v>
      </c>
      <c r="R1326">
        <v>94.27</v>
      </c>
      <c r="S1326">
        <v>62.35</v>
      </c>
      <c r="T1326">
        <v>31.92</v>
      </c>
      <c r="U1326">
        <f t="shared" si="20"/>
        <v>0</v>
      </c>
    </row>
    <row r="1327" spans="1:21" x14ac:dyDescent="0.25">
      <c r="A1327" s="2" t="s">
        <v>2034</v>
      </c>
      <c r="B1327" s="2" t="s">
        <v>1486</v>
      </c>
      <c r="C1327" s="1">
        <v>45521</v>
      </c>
      <c r="D1327" s="2" t="s">
        <v>45</v>
      </c>
      <c r="E1327" s="2" t="s">
        <v>46</v>
      </c>
      <c r="F1327" s="2" t="s">
        <v>47</v>
      </c>
      <c r="G1327">
        <v>1</v>
      </c>
      <c r="H1327" s="2" t="s">
        <v>41</v>
      </c>
      <c r="I1327">
        <v>20.67</v>
      </c>
      <c r="J1327">
        <v>0</v>
      </c>
      <c r="K1327">
        <v>0</v>
      </c>
      <c r="L1327">
        <v>4.3</v>
      </c>
      <c r="M1327">
        <v>5.96</v>
      </c>
      <c r="N1327">
        <v>0</v>
      </c>
      <c r="O1327">
        <v>0.9</v>
      </c>
      <c r="P1327" s="2" t="s">
        <v>42</v>
      </c>
      <c r="Q1327">
        <v>0</v>
      </c>
      <c r="R1327">
        <v>20.67</v>
      </c>
      <c r="S1327">
        <v>11.16</v>
      </c>
      <c r="T1327">
        <v>9.51</v>
      </c>
      <c r="U1327">
        <f t="shared" si="20"/>
        <v>0</v>
      </c>
    </row>
    <row r="1328" spans="1:21" x14ac:dyDescent="0.25">
      <c r="A1328" s="2" t="s">
        <v>2035</v>
      </c>
      <c r="B1328" s="2" t="s">
        <v>2036</v>
      </c>
      <c r="C1328" s="1">
        <v>45630</v>
      </c>
      <c r="D1328" s="2" t="s">
        <v>45</v>
      </c>
      <c r="E1328" s="2" t="s">
        <v>71</v>
      </c>
      <c r="F1328" s="2" t="s">
        <v>40</v>
      </c>
      <c r="G1328">
        <v>1</v>
      </c>
      <c r="H1328" s="2" t="s">
        <v>111</v>
      </c>
      <c r="I1328">
        <v>58.8</v>
      </c>
      <c r="J1328">
        <v>20</v>
      </c>
      <c r="K1328">
        <v>11.76</v>
      </c>
      <c r="L1328">
        <v>12.44</v>
      </c>
      <c r="M1328">
        <v>22.82</v>
      </c>
      <c r="N1328">
        <v>0</v>
      </c>
      <c r="O1328">
        <v>1.66</v>
      </c>
      <c r="P1328" s="2" t="s">
        <v>42</v>
      </c>
      <c r="Q1328">
        <v>0</v>
      </c>
      <c r="R1328">
        <v>47.04</v>
      </c>
      <c r="S1328">
        <v>36.92</v>
      </c>
      <c r="T1328">
        <v>10.119999999999999</v>
      </c>
      <c r="U1328">
        <f t="shared" si="20"/>
        <v>0</v>
      </c>
    </row>
    <row r="1329" spans="1:21" x14ac:dyDescent="0.25">
      <c r="A1329" s="2" t="s">
        <v>2037</v>
      </c>
      <c r="B1329" s="2" t="s">
        <v>1370</v>
      </c>
      <c r="C1329" s="1">
        <v>45958</v>
      </c>
      <c r="D1329" s="2" t="s">
        <v>38</v>
      </c>
      <c r="E1329" s="2" t="s">
        <v>55</v>
      </c>
      <c r="F1329" s="2" t="s">
        <v>85</v>
      </c>
      <c r="G1329">
        <v>2</v>
      </c>
      <c r="H1329" s="2" t="s">
        <v>48</v>
      </c>
      <c r="I1329">
        <v>91.03</v>
      </c>
      <c r="J1329">
        <v>20</v>
      </c>
      <c r="K1329">
        <v>18.21</v>
      </c>
      <c r="L1329">
        <v>24.66</v>
      </c>
      <c r="M1329">
        <v>46.54</v>
      </c>
      <c r="N1329">
        <v>0</v>
      </c>
      <c r="O1329">
        <v>2.41</v>
      </c>
      <c r="P1329" s="2" t="s">
        <v>42</v>
      </c>
      <c r="Q1329">
        <v>0</v>
      </c>
      <c r="R1329">
        <v>72.819999999999993</v>
      </c>
      <c r="S1329">
        <v>73.61</v>
      </c>
      <c r="T1329">
        <v>-0.79</v>
      </c>
      <c r="U1329">
        <f t="shared" si="20"/>
        <v>0</v>
      </c>
    </row>
    <row r="1330" spans="1:21" x14ac:dyDescent="0.25">
      <c r="A1330" s="2" t="s">
        <v>2038</v>
      </c>
      <c r="B1330" s="2" t="s">
        <v>63</v>
      </c>
      <c r="C1330" s="1">
        <v>45957</v>
      </c>
      <c r="D1330" s="2" t="s">
        <v>80</v>
      </c>
      <c r="E1330" s="2" t="s">
        <v>46</v>
      </c>
      <c r="F1330" s="2" t="s">
        <v>85</v>
      </c>
      <c r="G1330">
        <v>3</v>
      </c>
      <c r="H1330" s="2" t="s">
        <v>111</v>
      </c>
      <c r="I1330">
        <v>227.61</v>
      </c>
      <c r="J1330">
        <v>5</v>
      </c>
      <c r="K1330">
        <v>11.38</v>
      </c>
      <c r="L1330">
        <v>38.4</v>
      </c>
      <c r="M1330">
        <v>100.89</v>
      </c>
      <c r="N1330">
        <v>17.3</v>
      </c>
      <c r="O1330">
        <v>6.57</v>
      </c>
      <c r="P1330" s="2" t="s">
        <v>42</v>
      </c>
      <c r="Q1330">
        <v>0</v>
      </c>
      <c r="R1330">
        <v>216.23</v>
      </c>
      <c r="S1330">
        <v>163.16</v>
      </c>
      <c r="T1330">
        <v>53.07</v>
      </c>
      <c r="U1330">
        <f t="shared" si="20"/>
        <v>0</v>
      </c>
    </row>
    <row r="1331" spans="1:21" x14ac:dyDescent="0.25">
      <c r="A1331" s="2" t="s">
        <v>2039</v>
      </c>
      <c r="B1331" s="2" t="s">
        <v>1302</v>
      </c>
      <c r="C1331" s="1">
        <v>45783</v>
      </c>
      <c r="D1331" s="2" t="s">
        <v>59</v>
      </c>
      <c r="E1331" s="2" t="s">
        <v>71</v>
      </c>
      <c r="F1331" s="2" t="s">
        <v>94</v>
      </c>
      <c r="G1331">
        <v>1</v>
      </c>
      <c r="H1331" s="2" t="s">
        <v>56</v>
      </c>
      <c r="I1331">
        <v>13.9</v>
      </c>
      <c r="J1331">
        <v>10</v>
      </c>
      <c r="K1331">
        <v>1.39</v>
      </c>
      <c r="L1331">
        <v>15.96</v>
      </c>
      <c r="M1331">
        <v>9.6999999999999993</v>
      </c>
      <c r="N1331">
        <v>1.88</v>
      </c>
      <c r="O1331">
        <v>0.66</v>
      </c>
      <c r="P1331" s="2" t="s">
        <v>42</v>
      </c>
      <c r="Q1331">
        <v>0</v>
      </c>
      <c r="R1331">
        <v>12.51</v>
      </c>
      <c r="S1331">
        <v>28.2</v>
      </c>
      <c r="T1331">
        <v>-15.69</v>
      </c>
      <c r="U1331">
        <f t="shared" si="20"/>
        <v>0</v>
      </c>
    </row>
    <row r="1332" spans="1:21" x14ac:dyDescent="0.25">
      <c r="A1332" s="2" t="s">
        <v>2040</v>
      </c>
      <c r="B1332" s="2" t="s">
        <v>838</v>
      </c>
      <c r="C1332" s="1">
        <v>45646</v>
      </c>
      <c r="D1332" s="2" t="s">
        <v>45</v>
      </c>
      <c r="E1332" s="2" t="s">
        <v>46</v>
      </c>
      <c r="F1332" s="2" t="s">
        <v>40</v>
      </c>
      <c r="G1332">
        <v>1</v>
      </c>
      <c r="H1332" s="2" t="s">
        <v>111</v>
      </c>
      <c r="I1332">
        <v>58.8</v>
      </c>
      <c r="J1332">
        <v>0</v>
      </c>
      <c r="K1332">
        <v>0</v>
      </c>
      <c r="L1332">
        <v>12.44</v>
      </c>
      <c r="M1332">
        <v>22.82</v>
      </c>
      <c r="N1332">
        <v>0</v>
      </c>
      <c r="O1332">
        <v>2.0099999999999998</v>
      </c>
      <c r="P1332" s="2" t="s">
        <v>42</v>
      </c>
      <c r="Q1332">
        <v>0</v>
      </c>
      <c r="R1332">
        <v>58.8</v>
      </c>
      <c r="S1332">
        <v>37.270000000000003</v>
      </c>
      <c r="T1332">
        <v>21.53</v>
      </c>
      <c r="U1332">
        <f t="shared" si="20"/>
        <v>0</v>
      </c>
    </row>
    <row r="1333" spans="1:21" x14ac:dyDescent="0.25">
      <c r="A1333" s="2" t="s">
        <v>2041</v>
      </c>
      <c r="B1333" s="2" t="s">
        <v>585</v>
      </c>
      <c r="C1333" s="1">
        <v>46007</v>
      </c>
      <c r="D1333" s="2" t="s">
        <v>59</v>
      </c>
      <c r="E1333" s="2" t="s">
        <v>46</v>
      </c>
      <c r="F1333" s="2" t="s">
        <v>51</v>
      </c>
      <c r="G1333">
        <v>1</v>
      </c>
      <c r="H1333" s="2" t="s">
        <v>74</v>
      </c>
      <c r="I1333">
        <v>28.96</v>
      </c>
      <c r="J1333">
        <v>0</v>
      </c>
      <c r="K1333">
        <v>0</v>
      </c>
      <c r="L1333">
        <v>9.02</v>
      </c>
      <c r="M1333">
        <v>8.3000000000000007</v>
      </c>
      <c r="N1333">
        <v>4.34</v>
      </c>
      <c r="O1333">
        <v>1.1399999999999999</v>
      </c>
      <c r="P1333" s="2" t="s">
        <v>42</v>
      </c>
      <c r="Q1333">
        <v>0</v>
      </c>
      <c r="R1333">
        <v>28.96</v>
      </c>
      <c r="S1333">
        <v>22.8</v>
      </c>
      <c r="T1333">
        <v>6.16</v>
      </c>
      <c r="U1333">
        <f t="shared" si="20"/>
        <v>0</v>
      </c>
    </row>
    <row r="1334" spans="1:21" x14ac:dyDescent="0.25">
      <c r="A1334" s="2" t="s">
        <v>2042</v>
      </c>
      <c r="B1334" s="2" t="s">
        <v>443</v>
      </c>
      <c r="C1334" s="1">
        <v>45624</v>
      </c>
      <c r="D1334" s="2" t="s">
        <v>59</v>
      </c>
      <c r="E1334" s="2" t="s">
        <v>71</v>
      </c>
      <c r="F1334" s="2" t="s">
        <v>51</v>
      </c>
      <c r="G1334">
        <v>3</v>
      </c>
      <c r="H1334" s="2" t="s">
        <v>52</v>
      </c>
      <c r="I1334">
        <v>224.95</v>
      </c>
      <c r="J1334">
        <v>5</v>
      </c>
      <c r="K1334">
        <v>11.25</v>
      </c>
      <c r="L1334">
        <v>25.28</v>
      </c>
      <c r="M1334">
        <v>81.38</v>
      </c>
      <c r="N1334">
        <v>32.049999999999997</v>
      </c>
      <c r="O1334">
        <v>6.5</v>
      </c>
      <c r="P1334" s="2" t="s">
        <v>42</v>
      </c>
      <c r="Q1334">
        <v>0</v>
      </c>
      <c r="R1334">
        <v>213.7</v>
      </c>
      <c r="S1334">
        <v>145.21</v>
      </c>
      <c r="T1334">
        <v>68.489999999999995</v>
      </c>
      <c r="U1334">
        <f t="shared" si="20"/>
        <v>0</v>
      </c>
    </row>
    <row r="1335" spans="1:21" x14ac:dyDescent="0.25">
      <c r="A1335" s="2" t="s">
        <v>2043</v>
      </c>
      <c r="B1335" s="2" t="s">
        <v>913</v>
      </c>
      <c r="C1335" s="1">
        <v>45670</v>
      </c>
      <c r="D1335" s="2" t="s">
        <v>80</v>
      </c>
      <c r="E1335" s="2" t="s">
        <v>46</v>
      </c>
      <c r="F1335" s="2" t="s">
        <v>51</v>
      </c>
      <c r="G1335">
        <v>4</v>
      </c>
      <c r="H1335" s="2" t="s">
        <v>111</v>
      </c>
      <c r="I1335">
        <v>449.42</v>
      </c>
      <c r="J1335">
        <v>10</v>
      </c>
      <c r="K1335">
        <v>44.94</v>
      </c>
      <c r="L1335">
        <v>110.08</v>
      </c>
      <c r="M1335">
        <v>185.99</v>
      </c>
      <c r="N1335">
        <v>32.36</v>
      </c>
      <c r="O1335">
        <v>12.03</v>
      </c>
      <c r="P1335" s="2" t="s">
        <v>68</v>
      </c>
      <c r="Q1335">
        <v>404.48</v>
      </c>
      <c r="R1335">
        <v>0</v>
      </c>
      <c r="S1335">
        <v>340.46</v>
      </c>
      <c r="T1335">
        <v>-340.46</v>
      </c>
      <c r="U1335">
        <f t="shared" si="20"/>
        <v>0</v>
      </c>
    </row>
    <row r="1336" spans="1:21" x14ac:dyDescent="0.25">
      <c r="A1336" s="2" t="s">
        <v>2044</v>
      </c>
      <c r="B1336" s="2" t="s">
        <v>2045</v>
      </c>
      <c r="C1336" s="1">
        <v>45920</v>
      </c>
      <c r="D1336" s="2" t="s">
        <v>80</v>
      </c>
      <c r="E1336" s="2" t="s">
        <v>46</v>
      </c>
      <c r="F1336" s="2" t="s">
        <v>85</v>
      </c>
      <c r="G1336">
        <v>1</v>
      </c>
      <c r="H1336" s="2" t="s">
        <v>41</v>
      </c>
      <c r="I1336">
        <v>384.76</v>
      </c>
      <c r="J1336">
        <v>15</v>
      </c>
      <c r="K1336">
        <v>57.71</v>
      </c>
      <c r="L1336">
        <v>20.12</v>
      </c>
      <c r="M1336">
        <v>145.18</v>
      </c>
      <c r="N1336">
        <v>26.16</v>
      </c>
      <c r="O1336">
        <v>9.7799999999999994</v>
      </c>
      <c r="P1336" s="2" t="s">
        <v>68</v>
      </c>
      <c r="Q1336">
        <v>327.05</v>
      </c>
      <c r="R1336">
        <v>0</v>
      </c>
      <c r="S1336">
        <v>201.24</v>
      </c>
      <c r="T1336">
        <v>-201.24</v>
      </c>
      <c r="U1336">
        <f t="shared" si="20"/>
        <v>0</v>
      </c>
    </row>
    <row r="1337" spans="1:21" x14ac:dyDescent="0.25">
      <c r="A1337" s="2" t="s">
        <v>2046</v>
      </c>
      <c r="B1337" s="2" t="s">
        <v>1412</v>
      </c>
      <c r="C1337" s="1">
        <v>45823</v>
      </c>
      <c r="D1337" s="2" t="s">
        <v>45</v>
      </c>
      <c r="E1337" s="2" t="s">
        <v>71</v>
      </c>
      <c r="F1337" s="2" t="s">
        <v>40</v>
      </c>
      <c r="G1337">
        <v>3</v>
      </c>
      <c r="H1337" s="2" t="s">
        <v>74</v>
      </c>
      <c r="I1337">
        <v>179.93</v>
      </c>
      <c r="J1337">
        <v>10</v>
      </c>
      <c r="K1337">
        <v>17.989999999999998</v>
      </c>
      <c r="L1337">
        <v>25.78</v>
      </c>
      <c r="M1337">
        <v>63.38</v>
      </c>
      <c r="N1337">
        <v>0</v>
      </c>
      <c r="O1337">
        <v>5</v>
      </c>
      <c r="P1337" s="2" t="s">
        <v>42</v>
      </c>
      <c r="Q1337">
        <v>0</v>
      </c>
      <c r="R1337">
        <v>161.94</v>
      </c>
      <c r="S1337">
        <v>94.16</v>
      </c>
      <c r="T1337">
        <v>67.78</v>
      </c>
      <c r="U1337">
        <f t="shared" si="20"/>
        <v>1</v>
      </c>
    </row>
    <row r="1338" spans="1:21" x14ac:dyDescent="0.25">
      <c r="A1338" s="2" t="s">
        <v>2047</v>
      </c>
      <c r="B1338" s="2" t="s">
        <v>2048</v>
      </c>
      <c r="C1338" s="1">
        <v>45780</v>
      </c>
      <c r="D1338" s="2" t="s">
        <v>80</v>
      </c>
      <c r="E1338" s="2" t="s">
        <v>46</v>
      </c>
      <c r="F1338" s="2" t="s">
        <v>47</v>
      </c>
      <c r="G1338">
        <v>1</v>
      </c>
      <c r="H1338" s="2" t="s">
        <v>48</v>
      </c>
      <c r="I1338">
        <v>24.02</v>
      </c>
      <c r="J1338">
        <v>5</v>
      </c>
      <c r="K1338">
        <v>1.2</v>
      </c>
      <c r="L1338">
        <v>3.98</v>
      </c>
      <c r="M1338">
        <v>10.75</v>
      </c>
      <c r="N1338">
        <v>1.83</v>
      </c>
      <c r="O1338">
        <v>0.96</v>
      </c>
      <c r="P1338" s="2" t="s">
        <v>42</v>
      </c>
      <c r="Q1338">
        <v>0</v>
      </c>
      <c r="R1338">
        <v>22.82</v>
      </c>
      <c r="S1338">
        <v>17.52</v>
      </c>
      <c r="T1338">
        <v>5.3</v>
      </c>
      <c r="U1338">
        <f t="shared" si="20"/>
        <v>1</v>
      </c>
    </row>
    <row r="1339" spans="1:21" x14ac:dyDescent="0.25">
      <c r="A1339" s="2" t="s">
        <v>2049</v>
      </c>
      <c r="B1339" s="2" t="s">
        <v>186</v>
      </c>
      <c r="C1339" s="1">
        <v>45846</v>
      </c>
      <c r="D1339" s="2" t="s">
        <v>38</v>
      </c>
      <c r="E1339" s="2" t="s">
        <v>46</v>
      </c>
      <c r="F1339" s="2" t="s">
        <v>40</v>
      </c>
      <c r="G1339">
        <v>2</v>
      </c>
      <c r="H1339" s="2" t="s">
        <v>56</v>
      </c>
      <c r="I1339">
        <v>195.82</v>
      </c>
      <c r="J1339">
        <v>0</v>
      </c>
      <c r="K1339">
        <v>0</v>
      </c>
      <c r="L1339">
        <v>24.6</v>
      </c>
      <c r="M1339">
        <v>73.400000000000006</v>
      </c>
      <c r="N1339">
        <v>0</v>
      </c>
      <c r="O1339">
        <v>5.98</v>
      </c>
      <c r="P1339" s="2" t="s">
        <v>42</v>
      </c>
      <c r="Q1339">
        <v>0</v>
      </c>
      <c r="R1339">
        <v>195.82</v>
      </c>
      <c r="S1339">
        <v>103.98</v>
      </c>
      <c r="T1339">
        <v>91.84</v>
      </c>
      <c r="U1339">
        <f t="shared" si="20"/>
        <v>0</v>
      </c>
    </row>
    <row r="1340" spans="1:21" x14ac:dyDescent="0.25">
      <c r="A1340" s="2" t="s">
        <v>2050</v>
      </c>
      <c r="B1340" s="2" t="s">
        <v>1513</v>
      </c>
      <c r="C1340" s="1">
        <v>45631</v>
      </c>
      <c r="D1340" s="2" t="s">
        <v>45</v>
      </c>
      <c r="E1340" s="2" t="s">
        <v>55</v>
      </c>
      <c r="F1340" s="2" t="s">
        <v>40</v>
      </c>
      <c r="G1340">
        <v>1</v>
      </c>
      <c r="H1340" s="2" t="s">
        <v>41</v>
      </c>
      <c r="I1340">
        <v>24.31</v>
      </c>
      <c r="J1340">
        <v>0</v>
      </c>
      <c r="K1340">
        <v>0</v>
      </c>
      <c r="L1340">
        <v>5.74</v>
      </c>
      <c r="M1340">
        <v>7.13</v>
      </c>
      <c r="N1340">
        <v>0</v>
      </c>
      <c r="O1340">
        <v>1</v>
      </c>
      <c r="P1340" s="2" t="s">
        <v>68</v>
      </c>
      <c r="Q1340">
        <v>24.31</v>
      </c>
      <c r="R1340">
        <v>0</v>
      </c>
      <c r="S1340">
        <v>13.87</v>
      </c>
      <c r="T1340">
        <v>-13.87</v>
      </c>
      <c r="U1340">
        <f t="shared" si="20"/>
        <v>0</v>
      </c>
    </row>
    <row r="1341" spans="1:21" x14ac:dyDescent="0.25">
      <c r="A1341" s="2" t="s">
        <v>2051</v>
      </c>
      <c r="B1341" s="2" t="s">
        <v>2052</v>
      </c>
      <c r="C1341" s="1">
        <v>45998</v>
      </c>
      <c r="D1341" s="2" t="s">
        <v>45</v>
      </c>
      <c r="E1341" s="2" t="s">
        <v>67</v>
      </c>
      <c r="F1341" s="2" t="s">
        <v>85</v>
      </c>
      <c r="G1341">
        <v>1</v>
      </c>
      <c r="H1341" s="2" t="s">
        <v>77</v>
      </c>
      <c r="I1341">
        <v>46.4</v>
      </c>
      <c r="J1341">
        <v>15</v>
      </c>
      <c r="K1341">
        <v>6.96</v>
      </c>
      <c r="L1341">
        <v>15.96</v>
      </c>
      <c r="M1341">
        <v>13.54</v>
      </c>
      <c r="N1341">
        <v>0</v>
      </c>
      <c r="O1341">
        <v>1.44</v>
      </c>
      <c r="P1341" s="2" t="s">
        <v>42</v>
      </c>
      <c r="Q1341">
        <v>0</v>
      </c>
      <c r="R1341">
        <v>39.44</v>
      </c>
      <c r="S1341">
        <v>30.94</v>
      </c>
      <c r="T1341">
        <v>8.5</v>
      </c>
      <c r="U1341">
        <f t="shared" si="20"/>
        <v>0</v>
      </c>
    </row>
    <row r="1342" spans="1:21" x14ac:dyDescent="0.25">
      <c r="A1342" s="2" t="s">
        <v>2053</v>
      </c>
      <c r="B1342" s="2" t="s">
        <v>1024</v>
      </c>
      <c r="C1342" s="1">
        <v>45916</v>
      </c>
      <c r="D1342" s="2" t="s">
        <v>45</v>
      </c>
      <c r="E1342" s="2" t="s">
        <v>46</v>
      </c>
      <c r="F1342" s="2" t="s">
        <v>85</v>
      </c>
      <c r="G1342">
        <v>2</v>
      </c>
      <c r="H1342" s="2" t="s">
        <v>64</v>
      </c>
      <c r="I1342">
        <v>131.07</v>
      </c>
      <c r="J1342">
        <v>10</v>
      </c>
      <c r="K1342">
        <v>13.11</v>
      </c>
      <c r="L1342">
        <v>20.2</v>
      </c>
      <c r="M1342">
        <v>44.79</v>
      </c>
      <c r="N1342">
        <v>0</v>
      </c>
      <c r="O1342">
        <v>3.72</v>
      </c>
      <c r="P1342" s="2" t="s">
        <v>42</v>
      </c>
      <c r="Q1342">
        <v>0</v>
      </c>
      <c r="R1342">
        <v>117.96</v>
      </c>
      <c r="S1342">
        <v>68.709999999999994</v>
      </c>
      <c r="T1342">
        <v>49.25</v>
      </c>
      <c r="U1342">
        <f t="shared" si="20"/>
        <v>1</v>
      </c>
    </row>
    <row r="1343" spans="1:21" x14ac:dyDescent="0.25">
      <c r="A1343" s="2" t="s">
        <v>2054</v>
      </c>
      <c r="B1343" s="2" t="s">
        <v>2055</v>
      </c>
      <c r="C1343" s="1">
        <v>45886</v>
      </c>
      <c r="D1343" s="2" t="s">
        <v>59</v>
      </c>
      <c r="E1343" s="2" t="s">
        <v>46</v>
      </c>
      <c r="F1343" s="2" t="s">
        <v>51</v>
      </c>
      <c r="G1343">
        <v>4</v>
      </c>
      <c r="H1343" s="2" t="s">
        <v>41</v>
      </c>
      <c r="I1343">
        <v>451.1</v>
      </c>
      <c r="J1343">
        <v>0</v>
      </c>
      <c r="K1343">
        <v>0</v>
      </c>
      <c r="L1343">
        <v>63.64</v>
      </c>
      <c r="M1343">
        <v>206.48</v>
      </c>
      <c r="N1343">
        <v>67.66</v>
      </c>
      <c r="O1343">
        <v>13.38</v>
      </c>
      <c r="P1343" s="2" t="s">
        <v>42</v>
      </c>
      <c r="Q1343">
        <v>0</v>
      </c>
      <c r="R1343">
        <v>451.1</v>
      </c>
      <c r="S1343">
        <v>351.16</v>
      </c>
      <c r="T1343">
        <v>99.94</v>
      </c>
      <c r="U1343">
        <f t="shared" si="20"/>
        <v>0</v>
      </c>
    </row>
    <row r="1344" spans="1:21" x14ac:dyDescent="0.25">
      <c r="A1344" s="2" t="s">
        <v>2056</v>
      </c>
      <c r="B1344" s="2" t="s">
        <v>2057</v>
      </c>
      <c r="C1344" s="1">
        <v>45777</v>
      </c>
      <c r="D1344" s="2" t="s">
        <v>45</v>
      </c>
      <c r="E1344" s="2" t="s">
        <v>55</v>
      </c>
      <c r="F1344" s="2" t="s">
        <v>85</v>
      </c>
      <c r="G1344">
        <v>2</v>
      </c>
      <c r="H1344" s="2" t="s">
        <v>48</v>
      </c>
      <c r="I1344">
        <v>39.520000000000003</v>
      </c>
      <c r="J1344">
        <v>0</v>
      </c>
      <c r="K1344">
        <v>0</v>
      </c>
      <c r="L1344">
        <v>28.84</v>
      </c>
      <c r="M1344">
        <v>21.67</v>
      </c>
      <c r="N1344">
        <v>0</v>
      </c>
      <c r="O1344">
        <v>1.45</v>
      </c>
      <c r="P1344" s="2" t="s">
        <v>42</v>
      </c>
      <c r="Q1344">
        <v>0</v>
      </c>
      <c r="R1344">
        <v>39.520000000000003</v>
      </c>
      <c r="S1344">
        <v>51.96</v>
      </c>
      <c r="T1344">
        <v>-12.44</v>
      </c>
      <c r="U1344">
        <f t="shared" si="20"/>
        <v>0</v>
      </c>
    </row>
    <row r="1345" spans="1:21" x14ac:dyDescent="0.25">
      <c r="A1345" s="2" t="s">
        <v>2058</v>
      </c>
      <c r="B1345" s="2" t="s">
        <v>2059</v>
      </c>
      <c r="C1345" s="1">
        <v>45920</v>
      </c>
      <c r="D1345" s="2" t="s">
        <v>45</v>
      </c>
      <c r="E1345" s="2" t="s">
        <v>55</v>
      </c>
      <c r="F1345" s="2" t="s">
        <v>85</v>
      </c>
      <c r="G1345">
        <v>2</v>
      </c>
      <c r="H1345" s="2" t="s">
        <v>56</v>
      </c>
      <c r="I1345">
        <v>133.08000000000001</v>
      </c>
      <c r="J1345">
        <v>0</v>
      </c>
      <c r="K1345">
        <v>0</v>
      </c>
      <c r="L1345">
        <v>17.54</v>
      </c>
      <c r="M1345">
        <v>44.21</v>
      </c>
      <c r="N1345">
        <v>0</v>
      </c>
      <c r="O1345">
        <v>4.16</v>
      </c>
      <c r="P1345" s="2" t="s">
        <v>42</v>
      </c>
      <c r="Q1345">
        <v>0</v>
      </c>
      <c r="R1345">
        <v>133.08000000000001</v>
      </c>
      <c r="S1345">
        <v>65.91</v>
      </c>
      <c r="T1345">
        <v>67.17</v>
      </c>
      <c r="U1345">
        <f t="shared" si="20"/>
        <v>0</v>
      </c>
    </row>
    <row r="1346" spans="1:21" x14ac:dyDescent="0.25">
      <c r="A1346" s="2" t="s">
        <v>2060</v>
      </c>
      <c r="B1346" s="2" t="s">
        <v>1316</v>
      </c>
      <c r="C1346" s="1">
        <v>45691</v>
      </c>
      <c r="D1346" s="2" t="s">
        <v>45</v>
      </c>
      <c r="E1346" s="2" t="s">
        <v>71</v>
      </c>
      <c r="F1346" s="2" t="s">
        <v>51</v>
      </c>
      <c r="G1346">
        <v>3</v>
      </c>
      <c r="H1346" s="2" t="s">
        <v>56</v>
      </c>
      <c r="I1346">
        <v>224.07</v>
      </c>
      <c r="J1346">
        <v>0</v>
      </c>
      <c r="K1346">
        <v>0</v>
      </c>
      <c r="L1346">
        <v>24.26</v>
      </c>
      <c r="M1346">
        <v>70.31</v>
      </c>
      <c r="N1346">
        <v>0</v>
      </c>
      <c r="O1346">
        <v>6.8</v>
      </c>
      <c r="P1346" s="2" t="s">
        <v>42</v>
      </c>
      <c r="Q1346">
        <v>0</v>
      </c>
      <c r="R1346">
        <v>224.07</v>
      </c>
      <c r="S1346">
        <v>101.37</v>
      </c>
      <c r="T1346">
        <v>122.7</v>
      </c>
      <c r="U1346">
        <f t="shared" si="20"/>
        <v>0</v>
      </c>
    </row>
    <row r="1347" spans="1:21" x14ac:dyDescent="0.25">
      <c r="A1347" s="2" t="s">
        <v>2061</v>
      </c>
      <c r="B1347" s="2" t="s">
        <v>1343</v>
      </c>
      <c r="C1347" s="1">
        <v>45606</v>
      </c>
      <c r="D1347" s="2" t="s">
        <v>45</v>
      </c>
      <c r="E1347" s="2" t="s">
        <v>71</v>
      </c>
      <c r="F1347" s="2" t="s">
        <v>85</v>
      </c>
      <c r="G1347">
        <v>1</v>
      </c>
      <c r="H1347" s="2" t="s">
        <v>111</v>
      </c>
      <c r="I1347">
        <v>88.2</v>
      </c>
      <c r="J1347">
        <v>15</v>
      </c>
      <c r="K1347">
        <v>13.23</v>
      </c>
      <c r="L1347">
        <v>18.66</v>
      </c>
      <c r="M1347">
        <v>34.229999999999997</v>
      </c>
      <c r="N1347">
        <v>0</v>
      </c>
      <c r="O1347">
        <v>2.4700000000000002</v>
      </c>
      <c r="P1347" s="2" t="s">
        <v>42</v>
      </c>
      <c r="Q1347">
        <v>0</v>
      </c>
      <c r="R1347">
        <v>74.97</v>
      </c>
      <c r="S1347">
        <v>55.36</v>
      </c>
      <c r="T1347">
        <v>19.61</v>
      </c>
      <c r="U1347">
        <f t="shared" si="20"/>
        <v>0</v>
      </c>
    </row>
    <row r="1348" spans="1:21" x14ac:dyDescent="0.25">
      <c r="A1348" s="2" t="s">
        <v>2062</v>
      </c>
      <c r="B1348" s="2" t="s">
        <v>400</v>
      </c>
      <c r="C1348" s="1">
        <v>45966</v>
      </c>
      <c r="D1348" s="2" t="s">
        <v>80</v>
      </c>
      <c r="E1348" s="2" t="s">
        <v>46</v>
      </c>
      <c r="F1348" s="2" t="s">
        <v>94</v>
      </c>
      <c r="G1348">
        <v>1</v>
      </c>
      <c r="H1348" s="2" t="s">
        <v>48</v>
      </c>
      <c r="I1348">
        <v>47.32</v>
      </c>
      <c r="J1348">
        <v>25</v>
      </c>
      <c r="K1348">
        <v>11.83</v>
      </c>
      <c r="L1348">
        <v>9.1</v>
      </c>
      <c r="M1348">
        <v>20.94</v>
      </c>
      <c r="N1348">
        <v>2.84</v>
      </c>
      <c r="O1348">
        <v>1.33</v>
      </c>
      <c r="P1348" s="2" t="s">
        <v>42</v>
      </c>
      <c r="Q1348">
        <v>0</v>
      </c>
      <c r="R1348">
        <v>35.49</v>
      </c>
      <c r="S1348">
        <v>34.21</v>
      </c>
      <c r="T1348">
        <v>1.28</v>
      </c>
      <c r="U1348">
        <f t="shared" si="20"/>
        <v>0</v>
      </c>
    </row>
    <row r="1349" spans="1:21" x14ac:dyDescent="0.25">
      <c r="A1349" s="2" t="s">
        <v>2063</v>
      </c>
      <c r="B1349" s="2" t="s">
        <v>1227</v>
      </c>
      <c r="C1349" s="1">
        <v>45725</v>
      </c>
      <c r="D1349" s="2" t="s">
        <v>80</v>
      </c>
      <c r="E1349" s="2" t="s">
        <v>46</v>
      </c>
      <c r="F1349" s="2" t="s">
        <v>40</v>
      </c>
      <c r="G1349">
        <v>1</v>
      </c>
      <c r="H1349" s="2" t="s">
        <v>48</v>
      </c>
      <c r="I1349">
        <v>17.62</v>
      </c>
      <c r="J1349">
        <v>0</v>
      </c>
      <c r="K1349">
        <v>0</v>
      </c>
      <c r="L1349">
        <v>11.66</v>
      </c>
      <c r="M1349">
        <v>8.5299999999999994</v>
      </c>
      <c r="N1349">
        <v>1.41</v>
      </c>
      <c r="O1349">
        <v>0.81</v>
      </c>
      <c r="P1349" s="2" t="s">
        <v>42</v>
      </c>
      <c r="Q1349">
        <v>0</v>
      </c>
      <c r="R1349">
        <v>17.62</v>
      </c>
      <c r="S1349">
        <v>22.41</v>
      </c>
      <c r="T1349">
        <v>-4.79</v>
      </c>
      <c r="U1349">
        <f t="shared" ref="U1349:U1412" si="21">IF(P1347="Yes", 1, 0)</f>
        <v>0</v>
      </c>
    </row>
    <row r="1350" spans="1:21" x14ac:dyDescent="0.25">
      <c r="A1350" s="2" t="s">
        <v>2064</v>
      </c>
      <c r="B1350" s="2" t="s">
        <v>1167</v>
      </c>
      <c r="C1350" s="1">
        <v>45616</v>
      </c>
      <c r="D1350" s="2" t="s">
        <v>59</v>
      </c>
      <c r="E1350" s="2" t="s">
        <v>46</v>
      </c>
      <c r="F1350" s="2" t="s">
        <v>40</v>
      </c>
      <c r="G1350">
        <v>1</v>
      </c>
      <c r="H1350" s="2" t="s">
        <v>48</v>
      </c>
      <c r="I1350">
        <v>77.53</v>
      </c>
      <c r="J1350">
        <v>10</v>
      </c>
      <c r="K1350">
        <v>7.75</v>
      </c>
      <c r="L1350">
        <v>4.78</v>
      </c>
      <c r="M1350">
        <v>24.83</v>
      </c>
      <c r="N1350">
        <v>10.47</v>
      </c>
      <c r="O1350">
        <v>2.3199999999999998</v>
      </c>
      <c r="P1350" s="2" t="s">
        <v>42</v>
      </c>
      <c r="Q1350">
        <v>0</v>
      </c>
      <c r="R1350">
        <v>69.78</v>
      </c>
      <c r="S1350">
        <v>42.4</v>
      </c>
      <c r="T1350">
        <v>27.38</v>
      </c>
      <c r="U1350">
        <f t="shared" si="21"/>
        <v>0</v>
      </c>
    </row>
    <row r="1351" spans="1:21" x14ac:dyDescent="0.25">
      <c r="A1351" s="2" t="s">
        <v>2065</v>
      </c>
      <c r="B1351" s="2" t="s">
        <v>1268</v>
      </c>
      <c r="C1351" s="1">
        <v>45573</v>
      </c>
      <c r="D1351" s="2" t="s">
        <v>59</v>
      </c>
      <c r="E1351" s="2" t="s">
        <v>67</v>
      </c>
      <c r="F1351" s="2" t="s">
        <v>47</v>
      </c>
      <c r="G1351">
        <v>2</v>
      </c>
      <c r="H1351" s="2" t="s">
        <v>48</v>
      </c>
      <c r="I1351">
        <v>167.84</v>
      </c>
      <c r="J1351">
        <v>15</v>
      </c>
      <c r="K1351">
        <v>25.18</v>
      </c>
      <c r="L1351">
        <v>29.14</v>
      </c>
      <c r="M1351">
        <v>75.97</v>
      </c>
      <c r="N1351">
        <v>21.4</v>
      </c>
      <c r="O1351">
        <v>4.4400000000000004</v>
      </c>
      <c r="P1351" s="2" t="s">
        <v>42</v>
      </c>
      <c r="Q1351">
        <v>0</v>
      </c>
      <c r="R1351">
        <v>142.66</v>
      </c>
      <c r="S1351">
        <v>130.94999999999999</v>
      </c>
      <c r="T1351">
        <v>11.71</v>
      </c>
      <c r="U1351">
        <f t="shared" si="21"/>
        <v>0</v>
      </c>
    </row>
    <row r="1352" spans="1:21" x14ac:dyDescent="0.25">
      <c r="A1352" s="2" t="s">
        <v>2066</v>
      </c>
      <c r="B1352" s="2" t="s">
        <v>1959</v>
      </c>
      <c r="C1352" s="1">
        <v>45685</v>
      </c>
      <c r="D1352" s="2" t="s">
        <v>59</v>
      </c>
      <c r="E1352" s="2" t="s">
        <v>46</v>
      </c>
      <c r="F1352" s="2" t="s">
        <v>94</v>
      </c>
      <c r="G1352">
        <v>1</v>
      </c>
      <c r="H1352" s="2" t="s">
        <v>52</v>
      </c>
      <c r="I1352">
        <v>59.85</v>
      </c>
      <c r="J1352">
        <v>5</v>
      </c>
      <c r="K1352">
        <v>2.99</v>
      </c>
      <c r="L1352">
        <v>13.38</v>
      </c>
      <c r="M1352">
        <v>20.49</v>
      </c>
      <c r="N1352">
        <v>8.5299999999999994</v>
      </c>
      <c r="O1352">
        <v>1.95</v>
      </c>
      <c r="P1352" s="2" t="s">
        <v>42</v>
      </c>
      <c r="Q1352">
        <v>0</v>
      </c>
      <c r="R1352">
        <v>56.86</v>
      </c>
      <c r="S1352">
        <v>44.35</v>
      </c>
      <c r="T1352">
        <v>12.51</v>
      </c>
      <c r="U1352">
        <f t="shared" si="21"/>
        <v>0</v>
      </c>
    </row>
    <row r="1353" spans="1:21" x14ac:dyDescent="0.25">
      <c r="A1353" s="2" t="s">
        <v>2067</v>
      </c>
      <c r="B1353" s="2" t="s">
        <v>1839</v>
      </c>
      <c r="C1353" s="1">
        <v>45732</v>
      </c>
      <c r="D1353" s="2" t="s">
        <v>45</v>
      </c>
      <c r="E1353" s="2" t="s">
        <v>71</v>
      </c>
      <c r="F1353" s="2" t="s">
        <v>47</v>
      </c>
      <c r="G1353">
        <v>3</v>
      </c>
      <c r="H1353" s="2" t="s">
        <v>64</v>
      </c>
      <c r="I1353">
        <v>194.36</v>
      </c>
      <c r="J1353">
        <v>5</v>
      </c>
      <c r="K1353">
        <v>9.7200000000000006</v>
      </c>
      <c r="L1353">
        <v>43.2</v>
      </c>
      <c r="M1353">
        <v>80.37</v>
      </c>
      <c r="N1353">
        <v>0</v>
      </c>
      <c r="O1353">
        <v>5.65</v>
      </c>
      <c r="P1353" s="2" t="s">
        <v>42</v>
      </c>
      <c r="Q1353">
        <v>0</v>
      </c>
      <c r="R1353">
        <v>184.64</v>
      </c>
      <c r="S1353">
        <v>129.22</v>
      </c>
      <c r="T1353">
        <v>55.42</v>
      </c>
      <c r="U1353">
        <f t="shared" si="21"/>
        <v>0</v>
      </c>
    </row>
    <row r="1354" spans="1:21" x14ac:dyDescent="0.25">
      <c r="A1354" s="2" t="s">
        <v>2068</v>
      </c>
      <c r="B1354" s="2" t="s">
        <v>235</v>
      </c>
      <c r="C1354" s="1">
        <v>45824</v>
      </c>
      <c r="D1354" s="2" t="s">
        <v>45</v>
      </c>
      <c r="E1354" s="2" t="s">
        <v>46</v>
      </c>
      <c r="F1354" s="2" t="s">
        <v>47</v>
      </c>
      <c r="G1354">
        <v>1</v>
      </c>
      <c r="H1354" s="2" t="s">
        <v>56</v>
      </c>
      <c r="I1354">
        <v>29.59</v>
      </c>
      <c r="J1354">
        <v>5</v>
      </c>
      <c r="K1354">
        <v>1.48</v>
      </c>
      <c r="L1354">
        <v>4.7</v>
      </c>
      <c r="M1354">
        <v>12.42</v>
      </c>
      <c r="N1354">
        <v>0</v>
      </c>
      <c r="O1354">
        <v>1.1200000000000001</v>
      </c>
      <c r="P1354" s="2" t="s">
        <v>42</v>
      </c>
      <c r="Q1354">
        <v>0</v>
      </c>
      <c r="R1354">
        <v>28.11</v>
      </c>
      <c r="S1354">
        <v>18.239999999999998</v>
      </c>
      <c r="T1354">
        <v>9.8699999999999992</v>
      </c>
      <c r="U1354">
        <f t="shared" si="21"/>
        <v>0</v>
      </c>
    </row>
    <row r="1355" spans="1:21" x14ac:dyDescent="0.25">
      <c r="A1355" s="2" t="s">
        <v>2069</v>
      </c>
      <c r="B1355" s="2" t="s">
        <v>320</v>
      </c>
      <c r="C1355" s="1">
        <v>45599</v>
      </c>
      <c r="D1355" s="2" t="s">
        <v>59</v>
      </c>
      <c r="E1355" s="2" t="s">
        <v>71</v>
      </c>
      <c r="F1355" s="2" t="s">
        <v>47</v>
      </c>
      <c r="G1355">
        <v>1</v>
      </c>
      <c r="H1355" s="2" t="s">
        <v>111</v>
      </c>
      <c r="I1355">
        <v>67.09</v>
      </c>
      <c r="J1355">
        <v>0</v>
      </c>
      <c r="K1355">
        <v>0</v>
      </c>
      <c r="L1355">
        <v>10.54</v>
      </c>
      <c r="M1355">
        <v>26.96</v>
      </c>
      <c r="N1355">
        <v>10.06</v>
      </c>
      <c r="O1355">
        <v>2.25</v>
      </c>
      <c r="P1355" s="2" t="s">
        <v>42</v>
      </c>
      <c r="Q1355">
        <v>0</v>
      </c>
      <c r="R1355">
        <v>67.09</v>
      </c>
      <c r="S1355">
        <v>49.81</v>
      </c>
      <c r="T1355">
        <v>17.28</v>
      </c>
      <c r="U1355">
        <f t="shared" si="21"/>
        <v>0</v>
      </c>
    </row>
    <row r="1356" spans="1:21" x14ac:dyDescent="0.25">
      <c r="A1356" s="2" t="s">
        <v>2070</v>
      </c>
      <c r="B1356" s="2" t="s">
        <v>1687</v>
      </c>
      <c r="C1356" s="1">
        <v>45945</v>
      </c>
      <c r="D1356" s="2" t="s">
        <v>45</v>
      </c>
      <c r="E1356" s="2" t="s">
        <v>71</v>
      </c>
      <c r="F1356" s="2" t="s">
        <v>94</v>
      </c>
      <c r="G1356">
        <v>1</v>
      </c>
      <c r="H1356" s="2" t="s">
        <v>52</v>
      </c>
      <c r="I1356">
        <v>153.66</v>
      </c>
      <c r="J1356">
        <v>0</v>
      </c>
      <c r="K1356">
        <v>0</v>
      </c>
      <c r="L1356">
        <v>18.04</v>
      </c>
      <c r="M1356">
        <v>54.62</v>
      </c>
      <c r="N1356">
        <v>0</v>
      </c>
      <c r="O1356">
        <v>4.76</v>
      </c>
      <c r="P1356" s="2" t="s">
        <v>42</v>
      </c>
      <c r="Q1356">
        <v>0</v>
      </c>
      <c r="R1356">
        <v>153.66</v>
      </c>
      <c r="S1356">
        <v>77.42</v>
      </c>
      <c r="T1356">
        <v>76.239999999999995</v>
      </c>
      <c r="U1356">
        <f t="shared" si="21"/>
        <v>0</v>
      </c>
    </row>
    <row r="1357" spans="1:21" x14ac:dyDescent="0.25">
      <c r="A1357" s="2" t="s">
        <v>2071</v>
      </c>
      <c r="B1357" s="2" t="s">
        <v>1729</v>
      </c>
      <c r="C1357" s="1">
        <v>45604</v>
      </c>
      <c r="D1357" s="2" t="s">
        <v>59</v>
      </c>
      <c r="E1357" s="2" t="s">
        <v>46</v>
      </c>
      <c r="F1357" s="2" t="s">
        <v>51</v>
      </c>
      <c r="G1357">
        <v>1</v>
      </c>
      <c r="H1357" s="2" t="s">
        <v>41</v>
      </c>
      <c r="I1357">
        <v>43.34</v>
      </c>
      <c r="J1357">
        <v>5</v>
      </c>
      <c r="K1357">
        <v>2.17</v>
      </c>
      <c r="L1357">
        <v>9.58</v>
      </c>
      <c r="M1357">
        <v>15.91</v>
      </c>
      <c r="N1357">
        <v>6.18</v>
      </c>
      <c r="O1357">
        <v>1.49</v>
      </c>
      <c r="P1357" s="2" t="s">
        <v>68</v>
      </c>
      <c r="Q1357">
        <v>41.17</v>
      </c>
      <c r="R1357">
        <v>0</v>
      </c>
      <c r="S1357">
        <v>33.159999999999997</v>
      </c>
      <c r="T1357">
        <v>-33.159999999999997</v>
      </c>
      <c r="U1357">
        <f t="shared" si="21"/>
        <v>0</v>
      </c>
    </row>
    <row r="1358" spans="1:21" x14ac:dyDescent="0.25">
      <c r="A1358" s="2" t="s">
        <v>2072</v>
      </c>
      <c r="B1358" s="2" t="s">
        <v>2073</v>
      </c>
      <c r="C1358" s="1">
        <v>45782</v>
      </c>
      <c r="D1358" s="2" t="s">
        <v>59</v>
      </c>
      <c r="E1358" s="2" t="s">
        <v>46</v>
      </c>
      <c r="F1358" s="2" t="s">
        <v>51</v>
      </c>
      <c r="G1358">
        <v>1</v>
      </c>
      <c r="H1358" s="2" t="s">
        <v>41</v>
      </c>
      <c r="I1358">
        <v>43.34</v>
      </c>
      <c r="J1358">
        <v>15</v>
      </c>
      <c r="K1358">
        <v>6.5</v>
      </c>
      <c r="L1358">
        <v>9.58</v>
      </c>
      <c r="M1358">
        <v>15.91</v>
      </c>
      <c r="N1358">
        <v>5.53</v>
      </c>
      <c r="O1358">
        <v>1.37</v>
      </c>
      <c r="P1358" s="2" t="s">
        <v>42</v>
      </c>
      <c r="Q1358">
        <v>0</v>
      </c>
      <c r="R1358">
        <v>36.840000000000003</v>
      </c>
      <c r="S1358">
        <v>32.39</v>
      </c>
      <c r="T1358">
        <v>4.45</v>
      </c>
      <c r="U1358">
        <f t="shared" si="21"/>
        <v>0</v>
      </c>
    </row>
    <row r="1359" spans="1:21" x14ac:dyDescent="0.25">
      <c r="A1359" s="2" t="s">
        <v>2074</v>
      </c>
      <c r="B1359" s="2" t="s">
        <v>1122</v>
      </c>
      <c r="C1359" s="1">
        <v>45757</v>
      </c>
      <c r="D1359" s="2" t="s">
        <v>38</v>
      </c>
      <c r="E1359" s="2" t="s">
        <v>71</v>
      </c>
      <c r="F1359" s="2" t="s">
        <v>40</v>
      </c>
      <c r="G1359">
        <v>3</v>
      </c>
      <c r="H1359" s="2" t="s">
        <v>111</v>
      </c>
      <c r="I1359">
        <v>334.57</v>
      </c>
      <c r="J1359">
        <v>0</v>
      </c>
      <c r="K1359">
        <v>0</v>
      </c>
      <c r="L1359">
        <v>33.04</v>
      </c>
      <c r="M1359">
        <v>130.27000000000001</v>
      </c>
      <c r="N1359">
        <v>0</v>
      </c>
      <c r="O1359">
        <v>10</v>
      </c>
      <c r="P1359" s="2" t="s">
        <v>42</v>
      </c>
      <c r="Q1359">
        <v>0</v>
      </c>
      <c r="R1359">
        <v>334.57</v>
      </c>
      <c r="S1359">
        <v>173.31</v>
      </c>
      <c r="T1359">
        <v>161.26</v>
      </c>
      <c r="U1359">
        <f t="shared" si="21"/>
        <v>1</v>
      </c>
    </row>
    <row r="1360" spans="1:21" x14ac:dyDescent="0.25">
      <c r="A1360" s="2" t="s">
        <v>2075</v>
      </c>
      <c r="B1360" s="2" t="s">
        <v>439</v>
      </c>
      <c r="C1360" s="1">
        <v>45868</v>
      </c>
      <c r="D1360" s="2" t="s">
        <v>59</v>
      </c>
      <c r="E1360" s="2" t="s">
        <v>67</v>
      </c>
      <c r="F1360" s="2" t="s">
        <v>94</v>
      </c>
      <c r="G1360">
        <v>2</v>
      </c>
      <c r="H1360" s="2" t="s">
        <v>111</v>
      </c>
      <c r="I1360">
        <v>254.18</v>
      </c>
      <c r="J1360">
        <v>5</v>
      </c>
      <c r="K1360">
        <v>12.71</v>
      </c>
      <c r="L1360">
        <v>39.299999999999997</v>
      </c>
      <c r="M1360">
        <v>99.39</v>
      </c>
      <c r="N1360">
        <v>36.22</v>
      </c>
      <c r="O1360">
        <v>7.3</v>
      </c>
      <c r="P1360" s="2" t="s">
        <v>42</v>
      </c>
      <c r="Q1360">
        <v>0</v>
      </c>
      <c r="R1360">
        <v>241.47</v>
      </c>
      <c r="S1360">
        <v>182.21</v>
      </c>
      <c r="T1360">
        <v>59.26</v>
      </c>
      <c r="U1360">
        <f t="shared" si="21"/>
        <v>0</v>
      </c>
    </row>
    <row r="1361" spans="1:21" x14ac:dyDescent="0.25">
      <c r="A1361" s="2" t="s">
        <v>2076</v>
      </c>
      <c r="B1361" s="2" t="s">
        <v>810</v>
      </c>
      <c r="C1361" s="1">
        <v>45900</v>
      </c>
      <c r="D1361" s="2" t="s">
        <v>38</v>
      </c>
      <c r="E1361" s="2" t="s">
        <v>71</v>
      </c>
      <c r="F1361" s="2" t="s">
        <v>94</v>
      </c>
      <c r="G1361">
        <v>1</v>
      </c>
      <c r="H1361" s="2" t="s">
        <v>56</v>
      </c>
      <c r="I1361">
        <v>91.38</v>
      </c>
      <c r="J1361">
        <v>0</v>
      </c>
      <c r="K1361">
        <v>0</v>
      </c>
      <c r="L1361">
        <v>23.16</v>
      </c>
      <c r="M1361">
        <v>56.42</v>
      </c>
      <c r="N1361">
        <v>0</v>
      </c>
      <c r="O1361">
        <v>2.95</v>
      </c>
      <c r="P1361" s="2" t="s">
        <v>42</v>
      </c>
      <c r="Q1361">
        <v>0</v>
      </c>
      <c r="R1361">
        <v>91.38</v>
      </c>
      <c r="S1361">
        <v>82.53</v>
      </c>
      <c r="T1361">
        <v>8.85</v>
      </c>
      <c r="U1361">
        <f t="shared" si="21"/>
        <v>0</v>
      </c>
    </row>
    <row r="1362" spans="1:21" x14ac:dyDescent="0.25">
      <c r="A1362" s="2" t="s">
        <v>2077</v>
      </c>
      <c r="B1362" s="2" t="s">
        <v>1090</v>
      </c>
      <c r="C1362" s="1">
        <v>45623</v>
      </c>
      <c r="D1362" s="2" t="s">
        <v>45</v>
      </c>
      <c r="E1362" s="2" t="s">
        <v>46</v>
      </c>
      <c r="F1362" s="2" t="s">
        <v>47</v>
      </c>
      <c r="G1362">
        <v>1</v>
      </c>
      <c r="H1362" s="2" t="s">
        <v>64</v>
      </c>
      <c r="I1362">
        <v>12.14</v>
      </c>
      <c r="J1362">
        <v>15</v>
      </c>
      <c r="K1362">
        <v>1.82</v>
      </c>
      <c r="L1362">
        <v>25.88</v>
      </c>
      <c r="M1362">
        <v>8.2799999999999994</v>
      </c>
      <c r="N1362">
        <v>0</v>
      </c>
      <c r="O1362">
        <v>0.6</v>
      </c>
      <c r="P1362" s="2" t="s">
        <v>42</v>
      </c>
      <c r="Q1362">
        <v>0</v>
      </c>
      <c r="R1362">
        <v>10.32</v>
      </c>
      <c r="S1362">
        <v>34.76</v>
      </c>
      <c r="T1362">
        <v>-24.44</v>
      </c>
      <c r="U1362">
        <f t="shared" si="21"/>
        <v>0</v>
      </c>
    </row>
    <row r="1363" spans="1:21" x14ac:dyDescent="0.25">
      <c r="A1363" s="2" t="s">
        <v>2078</v>
      </c>
      <c r="B1363" s="2" t="s">
        <v>543</v>
      </c>
      <c r="C1363" s="1">
        <v>45801</v>
      </c>
      <c r="D1363" s="2" t="s">
        <v>45</v>
      </c>
      <c r="E1363" s="2" t="s">
        <v>71</v>
      </c>
      <c r="F1363" s="2" t="s">
        <v>94</v>
      </c>
      <c r="G1363">
        <v>2</v>
      </c>
      <c r="H1363" s="2" t="s">
        <v>52</v>
      </c>
      <c r="I1363">
        <v>71.11</v>
      </c>
      <c r="J1363">
        <v>5</v>
      </c>
      <c r="K1363">
        <v>3.56</v>
      </c>
      <c r="L1363">
        <v>15.64</v>
      </c>
      <c r="M1363">
        <v>26.34</v>
      </c>
      <c r="N1363">
        <v>0</v>
      </c>
      <c r="O1363">
        <v>2.2599999999999998</v>
      </c>
      <c r="P1363" s="2" t="s">
        <v>42</v>
      </c>
      <c r="Q1363">
        <v>0</v>
      </c>
      <c r="R1363">
        <v>67.55</v>
      </c>
      <c r="S1363">
        <v>44.24</v>
      </c>
      <c r="T1363">
        <v>23.31</v>
      </c>
      <c r="U1363">
        <f t="shared" si="21"/>
        <v>0</v>
      </c>
    </row>
    <row r="1364" spans="1:21" x14ac:dyDescent="0.25">
      <c r="A1364" s="2" t="s">
        <v>2079</v>
      </c>
      <c r="B1364" s="2" t="s">
        <v>340</v>
      </c>
      <c r="C1364" s="1">
        <v>45572</v>
      </c>
      <c r="D1364" s="2" t="s">
        <v>45</v>
      </c>
      <c r="E1364" s="2" t="s">
        <v>46</v>
      </c>
      <c r="F1364" s="2" t="s">
        <v>40</v>
      </c>
      <c r="G1364">
        <v>1</v>
      </c>
      <c r="H1364" s="2" t="s">
        <v>41</v>
      </c>
      <c r="I1364">
        <v>192.38</v>
      </c>
      <c r="J1364">
        <v>5</v>
      </c>
      <c r="K1364">
        <v>9.6199999999999992</v>
      </c>
      <c r="L1364">
        <v>10.06</v>
      </c>
      <c r="M1364">
        <v>72.59</v>
      </c>
      <c r="N1364">
        <v>0</v>
      </c>
      <c r="O1364">
        <v>5.6</v>
      </c>
      <c r="P1364" s="2" t="s">
        <v>42</v>
      </c>
      <c r="Q1364">
        <v>0</v>
      </c>
      <c r="R1364">
        <v>182.76</v>
      </c>
      <c r="S1364">
        <v>88.25</v>
      </c>
      <c r="T1364">
        <v>94.51</v>
      </c>
      <c r="U1364">
        <f t="shared" si="21"/>
        <v>0</v>
      </c>
    </row>
    <row r="1365" spans="1:21" x14ac:dyDescent="0.25">
      <c r="A1365" s="2" t="s">
        <v>2080</v>
      </c>
      <c r="B1365" s="2" t="s">
        <v>2081</v>
      </c>
      <c r="C1365" s="1">
        <v>45510</v>
      </c>
      <c r="D1365" s="2" t="s">
        <v>59</v>
      </c>
      <c r="E1365" s="2" t="s">
        <v>55</v>
      </c>
      <c r="F1365" s="2" t="s">
        <v>51</v>
      </c>
      <c r="G1365">
        <v>5</v>
      </c>
      <c r="H1365" s="2" t="s">
        <v>52</v>
      </c>
      <c r="I1365">
        <v>774.53</v>
      </c>
      <c r="J1365">
        <v>10</v>
      </c>
      <c r="K1365">
        <v>77.45</v>
      </c>
      <c r="L1365">
        <v>82.14</v>
      </c>
      <c r="M1365">
        <v>262.77999999999997</v>
      </c>
      <c r="N1365">
        <v>104.56</v>
      </c>
      <c r="O1365">
        <v>20.52</v>
      </c>
      <c r="P1365" s="2" t="s">
        <v>42</v>
      </c>
      <c r="Q1365">
        <v>0</v>
      </c>
      <c r="R1365">
        <v>697.08</v>
      </c>
      <c r="S1365">
        <v>470</v>
      </c>
      <c r="T1365">
        <v>227.08</v>
      </c>
      <c r="U1365">
        <f t="shared" si="21"/>
        <v>0</v>
      </c>
    </row>
    <row r="1366" spans="1:21" x14ac:dyDescent="0.25">
      <c r="A1366" s="2" t="s">
        <v>2082</v>
      </c>
      <c r="B1366" s="2" t="s">
        <v>287</v>
      </c>
      <c r="C1366" s="1">
        <v>45869</v>
      </c>
      <c r="D1366" s="2" t="s">
        <v>45</v>
      </c>
      <c r="E1366" s="2" t="s">
        <v>71</v>
      </c>
      <c r="F1366" s="2" t="s">
        <v>47</v>
      </c>
      <c r="G1366">
        <v>3</v>
      </c>
      <c r="H1366" s="2" t="s">
        <v>41</v>
      </c>
      <c r="I1366">
        <v>191.78</v>
      </c>
      <c r="J1366">
        <v>15</v>
      </c>
      <c r="K1366">
        <v>28.77</v>
      </c>
      <c r="L1366">
        <v>29.92</v>
      </c>
      <c r="M1366">
        <v>91.23</v>
      </c>
      <c r="N1366">
        <v>0</v>
      </c>
      <c r="O1366">
        <v>5.03</v>
      </c>
      <c r="P1366" s="2" t="s">
        <v>42</v>
      </c>
      <c r="Q1366">
        <v>0</v>
      </c>
      <c r="R1366">
        <v>163.01</v>
      </c>
      <c r="S1366">
        <v>126.18</v>
      </c>
      <c r="T1366">
        <v>36.83</v>
      </c>
      <c r="U1366">
        <f t="shared" si="21"/>
        <v>0</v>
      </c>
    </row>
    <row r="1367" spans="1:21" x14ac:dyDescent="0.25">
      <c r="A1367" s="2" t="s">
        <v>2083</v>
      </c>
      <c r="B1367" s="2" t="s">
        <v>467</v>
      </c>
      <c r="C1367" s="1">
        <v>45955</v>
      </c>
      <c r="D1367" s="2" t="s">
        <v>45</v>
      </c>
      <c r="E1367" s="2" t="s">
        <v>46</v>
      </c>
      <c r="F1367" s="2" t="s">
        <v>40</v>
      </c>
      <c r="G1367">
        <v>2</v>
      </c>
      <c r="H1367" s="2" t="s">
        <v>52</v>
      </c>
      <c r="I1367">
        <v>142.97</v>
      </c>
      <c r="J1367">
        <v>5</v>
      </c>
      <c r="K1367">
        <v>7.15</v>
      </c>
      <c r="L1367">
        <v>19.399999999999999</v>
      </c>
      <c r="M1367">
        <v>46.08</v>
      </c>
      <c r="N1367">
        <v>0</v>
      </c>
      <c r="O1367">
        <v>4.24</v>
      </c>
      <c r="P1367" s="2" t="s">
        <v>42</v>
      </c>
      <c r="Q1367">
        <v>0</v>
      </c>
      <c r="R1367">
        <v>135.82</v>
      </c>
      <c r="S1367">
        <v>69.72</v>
      </c>
      <c r="T1367">
        <v>66.099999999999994</v>
      </c>
      <c r="U1367">
        <f t="shared" si="21"/>
        <v>0</v>
      </c>
    </row>
    <row r="1368" spans="1:21" x14ac:dyDescent="0.25">
      <c r="A1368" s="2" t="s">
        <v>2084</v>
      </c>
      <c r="B1368" s="2" t="s">
        <v>1278</v>
      </c>
      <c r="C1368" s="1">
        <v>45738</v>
      </c>
      <c r="D1368" s="2" t="s">
        <v>45</v>
      </c>
      <c r="E1368" s="2" t="s">
        <v>39</v>
      </c>
      <c r="F1368" s="2" t="s">
        <v>85</v>
      </c>
      <c r="G1368">
        <v>1</v>
      </c>
      <c r="H1368" s="2" t="s">
        <v>52</v>
      </c>
      <c r="I1368">
        <v>44.22</v>
      </c>
      <c r="J1368">
        <v>0</v>
      </c>
      <c r="K1368">
        <v>0</v>
      </c>
      <c r="L1368">
        <v>16.739999999999998</v>
      </c>
      <c r="M1368">
        <v>13.71</v>
      </c>
      <c r="N1368">
        <v>0</v>
      </c>
      <c r="O1368">
        <v>1.58</v>
      </c>
      <c r="P1368" s="2" t="s">
        <v>42</v>
      </c>
      <c r="Q1368">
        <v>0</v>
      </c>
      <c r="R1368">
        <v>44.22</v>
      </c>
      <c r="S1368">
        <v>32.03</v>
      </c>
      <c r="T1368">
        <v>12.19</v>
      </c>
      <c r="U1368">
        <f t="shared" si="21"/>
        <v>0</v>
      </c>
    </row>
    <row r="1369" spans="1:21" x14ac:dyDescent="0.25">
      <c r="A1369" s="2" t="s">
        <v>2085</v>
      </c>
      <c r="B1369" s="2" t="s">
        <v>1729</v>
      </c>
      <c r="C1369" s="1">
        <v>45741</v>
      </c>
      <c r="D1369" s="2" t="s">
        <v>38</v>
      </c>
      <c r="E1369" s="2" t="s">
        <v>67</v>
      </c>
      <c r="F1369" s="2" t="s">
        <v>40</v>
      </c>
      <c r="G1369">
        <v>1</v>
      </c>
      <c r="H1369" s="2" t="s">
        <v>111</v>
      </c>
      <c r="I1369">
        <v>154.72</v>
      </c>
      <c r="J1369">
        <v>0</v>
      </c>
      <c r="K1369">
        <v>0</v>
      </c>
      <c r="L1369">
        <v>11.5</v>
      </c>
      <c r="M1369">
        <v>47.55</v>
      </c>
      <c r="N1369">
        <v>0</v>
      </c>
      <c r="O1369">
        <v>4.79</v>
      </c>
      <c r="P1369" s="2" t="s">
        <v>42</v>
      </c>
      <c r="Q1369">
        <v>0</v>
      </c>
      <c r="R1369">
        <v>154.72</v>
      </c>
      <c r="S1369">
        <v>63.84</v>
      </c>
      <c r="T1369">
        <v>90.88</v>
      </c>
      <c r="U1369">
        <f t="shared" si="21"/>
        <v>0</v>
      </c>
    </row>
    <row r="1370" spans="1:21" x14ac:dyDescent="0.25">
      <c r="A1370" s="2" t="s">
        <v>2086</v>
      </c>
      <c r="B1370" s="2" t="s">
        <v>1506</v>
      </c>
      <c r="C1370" s="1">
        <v>45464</v>
      </c>
      <c r="D1370" s="2" t="s">
        <v>45</v>
      </c>
      <c r="E1370" s="2" t="s">
        <v>55</v>
      </c>
      <c r="F1370" s="2" t="s">
        <v>47</v>
      </c>
      <c r="G1370">
        <v>1</v>
      </c>
      <c r="H1370" s="2" t="s">
        <v>111</v>
      </c>
      <c r="I1370">
        <v>73.72</v>
      </c>
      <c r="J1370">
        <v>5</v>
      </c>
      <c r="K1370">
        <v>3.69</v>
      </c>
      <c r="L1370">
        <v>11</v>
      </c>
      <c r="M1370">
        <v>39.340000000000003</v>
      </c>
      <c r="N1370">
        <v>0</v>
      </c>
      <c r="O1370">
        <v>2.33</v>
      </c>
      <c r="P1370" s="2" t="s">
        <v>42</v>
      </c>
      <c r="Q1370">
        <v>0</v>
      </c>
      <c r="R1370">
        <v>70.03</v>
      </c>
      <c r="S1370">
        <v>52.67</v>
      </c>
      <c r="T1370">
        <v>17.36</v>
      </c>
      <c r="U1370">
        <f t="shared" si="21"/>
        <v>0</v>
      </c>
    </row>
    <row r="1371" spans="1:21" x14ac:dyDescent="0.25">
      <c r="A1371" s="2" t="s">
        <v>2087</v>
      </c>
      <c r="B1371" s="2" t="s">
        <v>481</v>
      </c>
      <c r="C1371" s="1">
        <v>45807</v>
      </c>
      <c r="D1371" s="2" t="s">
        <v>45</v>
      </c>
      <c r="E1371" s="2" t="s">
        <v>71</v>
      </c>
      <c r="F1371" s="2" t="s">
        <v>94</v>
      </c>
      <c r="G1371">
        <v>1</v>
      </c>
      <c r="H1371" s="2" t="s">
        <v>41</v>
      </c>
      <c r="I1371">
        <v>135.82</v>
      </c>
      <c r="J1371">
        <v>0</v>
      </c>
      <c r="K1371">
        <v>0</v>
      </c>
      <c r="L1371">
        <v>5.82</v>
      </c>
      <c r="M1371">
        <v>43.05</v>
      </c>
      <c r="N1371">
        <v>0</v>
      </c>
      <c r="O1371">
        <v>4.24</v>
      </c>
      <c r="P1371" s="2" t="s">
        <v>42</v>
      </c>
      <c r="Q1371">
        <v>0</v>
      </c>
      <c r="R1371">
        <v>135.82</v>
      </c>
      <c r="S1371">
        <v>53.11</v>
      </c>
      <c r="T1371">
        <v>82.71</v>
      </c>
      <c r="U1371">
        <f t="shared" si="21"/>
        <v>0</v>
      </c>
    </row>
    <row r="1372" spans="1:21" x14ac:dyDescent="0.25">
      <c r="A1372" s="2" t="s">
        <v>2088</v>
      </c>
      <c r="B1372" s="2" t="s">
        <v>1060</v>
      </c>
      <c r="C1372" s="1">
        <v>45850</v>
      </c>
      <c r="D1372" s="2" t="s">
        <v>45</v>
      </c>
      <c r="E1372" s="2" t="s">
        <v>67</v>
      </c>
      <c r="F1372" s="2" t="s">
        <v>47</v>
      </c>
      <c r="G1372">
        <v>1</v>
      </c>
      <c r="H1372" s="2" t="s">
        <v>111</v>
      </c>
      <c r="I1372">
        <v>70.069999999999993</v>
      </c>
      <c r="J1372">
        <v>25</v>
      </c>
      <c r="K1372">
        <v>17.52</v>
      </c>
      <c r="L1372">
        <v>9.9</v>
      </c>
      <c r="M1372">
        <v>30.37</v>
      </c>
      <c r="N1372">
        <v>0</v>
      </c>
      <c r="O1372">
        <v>1.82</v>
      </c>
      <c r="P1372" s="2" t="s">
        <v>42</v>
      </c>
      <c r="Q1372">
        <v>0</v>
      </c>
      <c r="R1372">
        <v>52.55</v>
      </c>
      <c r="S1372">
        <v>42.09</v>
      </c>
      <c r="T1372">
        <v>10.46</v>
      </c>
      <c r="U1372">
        <f t="shared" si="21"/>
        <v>0</v>
      </c>
    </row>
    <row r="1373" spans="1:21" x14ac:dyDescent="0.25">
      <c r="A1373" s="2" t="s">
        <v>2089</v>
      </c>
      <c r="B1373" s="2" t="s">
        <v>576</v>
      </c>
      <c r="C1373" s="1">
        <v>45749</v>
      </c>
      <c r="D1373" s="2" t="s">
        <v>45</v>
      </c>
      <c r="E1373" s="2" t="s">
        <v>71</v>
      </c>
      <c r="F1373" s="2" t="s">
        <v>40</v>
      </c>
      <c r="G1373">
        <v>3</v>
      </c>
      <c r="H1373" s="2" t="s">
        <v>111</v>
      </c>
      <c r="I1373">
        <v>391.37</v>
      </c>
      <c r="J1373">
        <v>0</v>
      </c>
      <c r="K1373">
        <v>0</v>
      </c>
      <c r="L1373">
        <v>64.78</v>
      </c>
      <c r="M1373">
        <v>142.79</v>
      </c>
      <c r="N1373">
        <v>0</v>
      </c>
      <c r="O1373">
        <v>11.65</v>
      </c>
      <c r="P1373" s="2" t="s">
        <v>42</v>
      </c>
      <c r="Q1373">
        <v>0</v>
      </c>
      <c r="R1373">
        <v>391.37</v>
      </c>
      <c r="S1373">
        <v>219.22</v>
      </c>
      <c r="T1373">
        <v>172.15</v>
      </c>
      <c r="U1373">
        <f t="shared" si="21"/>
        <v>0</v>
      </c>
    </row>
    <row r="1374" spans="1:21" x14ac:dyDescent="0.25">
      <c r="A1374" s="2" t="s">
        <v>2090</v>
      </c>
      <c r="B1374" s="2" t="s">
        <v>2045</v>
      </c>
      <c r="C1374" s="1">
        <v>45543</v>
      </c>
      <c r="D1374" s="2" t="s">
        <v>80</v>
      </c>
      <c r="E1374" s="2" t="s">
        <v>46</v>
      </c>
      <c r="F1374" s="2" t="s">
        <v>94</v>
      </c>
      <c r="G1374">
        <v>2</v>
      </c>
      <c r="H1374" s="2" t="s">
        <v>52</v>
      </c>
      <c r="I1374">
        <v>112.84</v>
      </c>
      <c r="J1374">
        <v>15</v>
      </c>
      <c r="K1374">
        <v>16.93</v>
      </c>
      <c r="L1374">
        <v>33.619999999999997</v>
      </c>
      <c r="M1374">
        <v>50.91</v>
      </c>
      <c r="N1374">
        <v>7.67</v>
      </c>
      <c r="O1374">
        <v>3.08</v>
      </c>
      <c r="P1374" s="2" t="s">
        <v>42</v>
      </c>
      <c r="Q1374">
        <v>0</v>
      </c>
      <c r="R1374">
        <v>95.91</v>
      </c>
      <c r="S1374">
        <v>95.28</v>
      </c>
      <c r="T1374">
        <v>0.63</v>
      </c>
      <c r="U1374">
        <f t="shared" si="21"/>
        <v>0</v>
      </c>
    </row>
    <row r="1375" spans="1:21" x14ac:dyDescent="0.25">
      <c r="A1375" s="2" t="s">
        <v>2091</v>
      </c>
      <c r="B1375" s="2" t="s">
        <v>367</v>
      </c>
      <c r="C1375" s="1">
        <v>45925</v>
      </c>
      <c r="D1375" s="2" t="s">
        <v>59</v>
      </c>
      <c r="E1375" s="2" t="s">
        <v>71</v>
      </c>
      <c r="F1375" s="2" t="s">
        <v>47</v>
      </c>
      <c r="G1375">
        <v>1</v>
      </c>
      <c r="H1375" s="2" t="s">
        <v>77</v>
      </c>
      <c r="I1375">
        <v>16.8</v>
      </c>
      <c r="J1375">
        <v>0</v>
      </c>
      <c r="K1375">
        <v>0</v>
      </c>
      <c r="L1375">
        <v>4.1399999999999997</v>
      </c>
      <c r="M1375">
        <v>8.25</v>
      </c>
      <c r="N1375">
        <v>2.52</v>
      </c>
      <c r="O1375">
        <v>0.79</v>
      </c>
      <c r="P1375" s="2" t="s">
        <v>42</v>
      </c>
      <c r="Q1375">
        <v>0</v>
      </c>
      <c r="R1375">
        <v>16.8</v>
      </c>
      <c r="S1375">
        <v>15.7</v>
      </c>
      <c r="T1375">
        <v>1.1000000000000001</v>
      </c>
      <c r="U1375">
        <f t="shared" si="21"/>
        <v>0</v>
      </c>
    </row>
    <row r="1376" spans="1:21" x14ac:dyDescent="0.25">
      <c r="A1376" s="2" t="s">
        <v>2092</v>
      </c>
      <c r="B1376" s="2" t="s">
        <v>237</v>
      </c>
      <c r="C1376" s="1">
        <v>45669</v>
      </c>
      <c r="D1376" s="2" t="s">
        <v>80</v>
      </c>
      <c r="E1376" s="2" t="s">
        <v>46</v>
      </c>
      <c r="F1376" s="2" t="s">
        <v>94</v>
      </c>
      <c r="G1376">
        <v>1</v>
      </c>
      <c r="H1376" s="2" t="s">
        <v>77</v>
      </c>
      <c r="I1376">
        <v>9.94</v>
      </c>
      <c r="J1376">
        <v>0</v>
      </c>
      <c r="K1376">
        <v>0</v>
      </c>
      <c r="L1376">
        <v>7.34</v>
      </c>
      <c r="M1376">
        <v>6.71</v>
      </c>
      <c r="N1376">
        <v>0.8</v>
      </c>
      <c r="O1376">
        <v>0.59</v>
      </c>
      <c r="P1376" s="2" t="s">
        <v>42</v>
      </c>
      <c r="Q1376">
        <v>0</v>
      </c>
      <c r="R1376">
        <v>9.94</v>
      </c>
      <c r="S1376">
        <v>15.44</v>
      </c>
      <c r="T1376">
        <v>-5.5</v>
      </c>
      <c r="U1376">
        <f t="shared" si="21"/>
        <v>0</v>
      </c>
    </row>
    <row r="1377" spans="1:21" x14ac:dyDescent="0.25">
      <c r="A1377" s="2" t="s">
        <v>2093</v>
      </c>
      <c r="B1377" s="2" t="s">
        <v>2094</v>
      </c>
      <c r="C1377" s="1">
        <v>45864</v>
      </c>
      <c r="D1377" s="2" t="s">
        <v>59</v>
      </c>
      <c r="E1377" s="2" t="s">
        <v>46</v>
      </c>
      <c r="F1377" s="2" t="s">
        <v>94</v>
      </c>
      <c r="G1377">
        <v>1</v>
      </c>
      <c r="H1377" s="2" t="s">
        <v>52</v>
      </c>
      <c r="I1377">
        <v>249.02</v>
      </c>
      <c r="J1377">
        <v>15</v>
      </c>
      <c r="K1377">
        <v>37.35</v>
      </c>
      <c r="L1377">
        <v>11.96</v>
      </c>
      <c r="M1377">
        <v>77.06</v>
      </c>
      <c r="N1377">
        <v>31.75</v>
      </c>
      <c r="O1377">
        <v>6.44</v>
      </c>
      <c r="P1377" s="2" t="s">
        <v>42</v>
      </c>
      <c r="Q1377">
        <v>0</v>
      </c>
      <c r="R1377">
        <v>211.67</v>
      </c>
      <c r="S1377">
        <v>127.21</v>
      </c>
      <c r="T1377">
        <v>84.46</v>
      </c>
      <c r="U1377">
        <f t="shared" si="21"/>
        <v>0</v>
      </c>
    </row>
    <row r="1378" spans="1:21" x14ac:dyDescent="0.25">
      <c r="A1378" s="2" t="s">
        <v>2095</v>
      </c>
      <c r="B1378" s="2" t="s">
        <v>2096</v>
      </c>
      <c r="C1378" s="1">
        <v>45886</v>
      </c>
      <c r="D1378" s="2" t="s">
        <v>38</v>
      </c>
      <c r="E1378" s="2" t="s">
        <v>55</v>
      </c>
      <c r="F1378" s="2" t="s">
        <v>40</v>
      </c>
      <c r="G1378">
        <v>2</v>
      </c>
      <c r="H1378" s="2" t="s">
        <v>41</v>
      </c>
      <c r="I1378">
        <v>169.42</v>
      </c>
      <c r="J1378">
        <v>10</v>
      </c>
      <c r="K1378">
        <v>16.940000000000001</v>
      </c>
      <c r="L1378">
        <v>38.5</v>
      </c>
      <c r="M1378">
        <v>68.430000000000007</v>
      </c>
      <c r="N1378">
        <v>0</v>
      </c>
      <c r="O1378">
        <v>4.72</v>
      </c>
      <c r="P1378" s="2" t="s">
        <v>42</v>
      </c>
      <c r="Q1378">
        <v>0</v>
      </c>
      <c r="R1378">
        <v>152.47999999999999</v>
      </c>
      <c r="S1378">
        <v>111.65</v>
      </c>
      <c r="T1378">
        <v>40.83</v>
      </c>
      <c r="U1378">
        <f t="shared" si="21"/>
        <v>0</v>
      </c>
    </row>
    <row r="1379" spans="1:21" x14ac:dyDescent="0.25">
      <c r="A1379" s="2" t="s">
        <v>2097</v>
      </c>
      <c r="B1379" s="2" t="s">
        <v>463</v>
      </c>
      <c r="C1379" s="1">
        <v>45927</v>
      </c>
      <c r="D1379" s="2" t="s">
        <v>38</v>
      </c>
      <c r="E1379" s="2" t="s">
        <v>46</v>
      </c>
      <c r="F1379" s="2" t="s">
        <v>94</v>
      </c>
      <c r="G1379">
        <v>3</v>
      </c>
      <c r="H1379" s="2" t="s">
        <v>56</v>
      </c>
      <c r="I1379">
        <v>207.77</v>
      </c>
      <c r="J1379">
        <v>0</v>
      </c>
      <c r="K1379">
        <v>0</v>
      </c>
      <c r="L1379">
        <v>42.56</v>
      </c>
      <c r="M1379">
        <v>81.31</v>
      </c>
      <c r="N1379">
        <v>0</v>
      </c>
      <c r="O1379">
        <v>6.33</v>
      </c>
      <c r="P1379" s="2" t="s">
        <v>42</v>
      </c>
      <c r="Q1379">
        <v>0</v>
      </c>
      <c r="R1379">
        <v>207.77</v>
      </c>
      <c r="S1379">
        <v>130.19999999999999</v>
      </c>
      <c r="T1379">
        <v>77.569999999999993</v>
      </c>
      <c r="U1379">
        <f t="shared" si="21"/>
        <v>0</v>
      </c>
    </row>
    <row r="1380" spans="1:21" x14ac:dyDescent="0.25">
      <c r="A1380" s="2" t="s">
        <v>2098</v>
      </c>
      <c r="B1380" s="2" t="s">
        <v>447</v>
      </c>
      <c r="C1380" s="1">
        <v>45658</v>
      </c>
      <c r="D1380" s="2" t="s">
        <v>80</v>
      </c>
      <c r="E1380" s="2" t="s">
        <v>39</v>
      </c>
      <c r="F1380" s="2" t="s">
        <v>94</v>
      </c>
      <c r="G1380">
        <v>2</v>
      </c>
      <c r="H1380" s="2" t="s">
        <v>48</v>
      </c>
      <c r="I1380">
        <v>36.14</v>
      </c>
      <c r="J1380">
        <v>10</v>
      </c>
      <c r="K1380">
        <v>3.61</v>
      </c>
      <c r="L1380">
        <v>19.559999999999999</v>
      </c>
      <c r="M1380">
        <v>12.12</v>
      </c>
      <c r="N1380">
        <v>2.6</v>
      </c>
      <c r="O1380">
        <v>1.24</v>
      </c>
      <c r="P1380" s="2" t="s">
        <v>42</v>
      </c>
      <c r="Q1380">
        <v>0</v>
      </c>
      <c r="R1380">
        <v>32.53</v>
      </c>
      <c r="S1380">
        <v>35.520000000000003</v>
      </c>
      <c r="T1380">
        <v>-2.99</v>
      </c>
      <c r="U1380">
        <f t="shared" si="21"/>
        <v>0</v>
      </c>
    </row>
    <row r="1381" spans="1:21" x14ac:dyDescent="0.25">
      <c r="A1381" s="2" t="s">
        <v>2099</v>
      </c>
      <c r="B1381" s="2" t="s">
        <v>44</v>
      </c>
      <c r="C1381" s="1">
        <v>45981</v>
      </c>
      <c r="D1381" s="2" t="s">
        <v>45</v>
      </c>
      <c r="E1381" s="2" t="s">
        <v>71</v>
      </c>
      <c r="F1381" s="2" t="s">
        <v>47</v>
      </c>
      <c r="G1381">
        <v>2</v>
      </c>
      <c r="H1381" s="2" t="s">
        <v>52</v>
      </c>
      <c r="I1381">
        <v>40.479999999999997</v>
      </c>
      <c r="J1381">
        <v>10</v>
      </c>
      <c r="K1381">
        <v>4.05</v>
      </c>
      <c r="L1381">
        <v>27.14</v>
      </c>
      <c r="M1381">
        <v>19.670000000000002</v>
      </c>
      <c r="N1381">
        <v>0</v>
      </c>
      <c r="O1381">
        <v>1.36</v>
      </c>
      <c r="P1381" s="2" t="s">
        <v>42</v>
      </c>
      <c r="Q1381">
        <v>0</v>
      </c>
      <c r="R1381">
        <v>36.43</v>
      </c>
      <c r="S1381">
        <v>48.17</v>
      </c>
      <c r="T1381">
        <v>-11.74</v>
      </c>
      <c r="U1381">
        <f t="shared" si="21"/>
        <v>0</v>
      </c>
    </row>
    <row r="1382" spans="1:21" x14ac:dyDescent="0.25">
      <c r="A1382" s="2" t="s">
        <v>2100</v>
      </c>
      <c r="B1382" s="2" t="s">
        <v>1240</v>
      </c>
      <c r="C1382" s="1">
        <v>45855</v>
      </c>
      <c r="D1382" s="2" t="s">
        <v>80</v>
      </c>
      <c r="E1382" s="2" t="s">
        <v>46</v>
      </c>
      <c r="F1382" s="2" t="s">
        <v>47</v>
      </c>
      <c r="G1382">
        <v>2</v>
      </c>
      <c r="H1382" s="2" t="s">
        <v>48</v>
      </c>
      <c r="I1382">
        <v>50.91</v>
      </c>
      <c r="J1382">
        <v>5</v>
      </c>
      <c r="K1382">
        <v>2.5499999999999998</v>
      </c>
      <c r="L1382">
        <v>25.88</v>
      </c>
      <c r="M1382">
        <v>31.06</v>
      </c>
      <c r="N1382">
        <v>3.87</v>
      </c>
      <c r="O1382">
        <v>1.7</v>
      </c>
      <c r="P1382" s="2" t="s">
        <v>42</v>
      </c>
      <c r="Q1382">
        <v>0</v>
      </c>
      <c r="R1382">
        <v>48.36</v>
      </c>
      <c r="S1382">
        <v>62.51</v>
      </c>
      <c r="T1382">
        <v>-14.15</v>
      </c>
      <c r="U1382">
        <f t="shared" si="21"/>
        <v>0</v>
      </c>
    </row>
    <row r="1383" spans="1:21" x14ac:dyDescent="0.25">
      <c r="A1383" s="2" t="s">
        <v>2101</v>
      </c>
      <c r="B1383" s="2" t="s">
        <v>1754</v>
      </c>
      <c r="C1383" s="1">
        <v>45889</v>
      </c>
      <c r="D1383" s="2" t="s">
        <v>38</v>
      </c>
      <c r="E1383" s="2" t="s">
        <v>71</v>
      </c>
      <c r="F1383" s="2" t="s">
        <v>47</v>
      </c>
      <c r="G1383">
        <v>1</v>
      </c>
      <c r="H1383" s="2" t="s">
        <v>52</v>
      </c>
      <c r="I1383">
        <v>82.29</v>
      </c>
      <c r="J1383">
        <v>0</v>
      </c>
      <c r="K1383">
        <v>0</v>
      </c>
      <c r="L1383">
        <v>13.02</v>
      </c>
      <c r="M1383">
        <v>37.65</v>
      </c>
      <c r="N1383">
        <v>0</v>
      </c>
      <c r="O1383">
        <v>2.69</v>
      </c>
      <c r="P1383" s="2" t="s">
        <v>42</v>
      </c>
      <c r="Q1383">
        <v>0</v>
      </c>
      <c r="R1383">
        <v>82.29</v>
      </c>
      <c r="S1383">
        <v>53.36</v>
      </c>
      <c r="T1383">
        <v>28.93</v>
      </c>
      <c r="U1383">
        <f t="shared" si="21"/>
        <v>0</v>
      </c>
    </row>
    <row r="1384" spans="1:21" x14ac:dyDescent="0.25">
      <c r="A1384" s="2" t="s">
        <v>2102</v>
      </c>
      <c r="B1384" s="2" t="s">
        <v>2103</v>
      </c>
      <c r="C1384" s="1">
        <v>45894</v>
      </c>
      <c r="D1384" s="2" t="s">
        <v>45</v>
      </c>
      <c r="E1384" s="2" t="s">
        <v>46</v>
      </c>
      <c r="F1384" s="2" t="s">
        <v>85</v>
      </c>
      <c r="G1384">
        <v>1</v>
      </c>
      <c r="H1384" s="2" t="s">
        <v>52</v>
      </c>
      <c r="I1384">
        <v>75.84</v>
      </c>
      <c r="J1384">
        <v>0</v>
      </c>
      <c r="K1384">
        <v>0</v>
      </c>
      <c r="L1384">
        <v>12.3</v>
      </c>
      <c r="M1384">
        <v>34.479999999999997</v>
      </c>
      <c r="N1384">
        <v>0</v>
      </c>
      <c r="O1384">
        <v>2.5</v>
      </c>
      <c r="P1384" s="2" t="s">
        <v>42</v>
      </c>
      <c r="Q1384">
        <v>0</v>
      </c>
      <c r="R1384">
        <v>75.84</v>
      </c>
      <c r="S1384">
        <v>49.28</v>
      </c>
      <c r="T1384">
        <v>26.56</v>
      </c>
      <c r="U1384">
        <f t="shared" si="21"/>
        <v>0</v>
      </c>
    </row>
    <row r="1385" spans="1:21" x14ac:dyDescent="0.25">
      <c r="A1385" s="2" t="s">
        <v>2104</v>
      </c>
      <c r="B1385" s="2" t="s">
        <v>534</v>
      </c>
      <c r="C1385" s="1">
        <v>45520</v>
      </c>
      <c r="D1385" s="2" t="s">
        <v>45</v>
      </c>
      <c r="E1385" s="2" t="s">
        <v>71</v>
      </c>
      <c r="F1385" s="2" t="s">
        <v>40</v>
      </c>
      <c r="G1385">
        <v>1</v>
      </c>
      <c r="H1385" s="2" t="s">
        <v>74</v>
      </c>
      <c r="I1385">
        <v>230.18</v>
      </c>
      <c r="J1385">
        <v>15</v>
      </c>
      <c r="K1385">
        <v>34.53</v>
      </c>
      <c r="L1385">
        <v>16.440000000000001</v>
      </c>
      <c r="M1385">
        <v>67.900000000000006</v>
      </c>
      <c r="N1385">
        <v>0</v>
      </c>
      <c r="O1385">
        <v>5.97</v>
      </c>
      <c r="P1385" s="2" t="s">
        <v>68</v>
      </c>
      <c r="Q1385">
        <v>195.65</v>
      </c>
      <c r="R1385">
        <v>0</v>
      </c>
      <c r="S1385">
        <v>90.31</v>
      </c>
      <c r="T1385">
        <v>-90.31</v>
      </c>
      <c r="U1385">
        <f t="shared" si="21"/>
        <v>0</v>
      </c>
    </row>
    <row r="1386" spans="1:21" x14ac:dyDescent="0.25">
      <c r="A1386" s="2" t="s">
        <v>2105</v>
      </c>
      <c r="B1386" s="2" t="s">
        <v>1242</v>
      </c>
      <c r="C1386" s="1">
        <v>45928</v>
      </c>
      <c r="D1386" s="2" t="s">
        <v>38</v>
      </c>
      <c r="E1386" s="2" t="s">
        <v>46</v>
      </c>
      <c r="F1386" s="2" t="s">
        <v>85</v>
      </c>
      <c r="G1386">
        <v>4</v>
      </c>
      <c r="H1386" s="2" t="s">
        <v>77</v>
      </c>
      <c r="I1386">
        <v>309.01</v>
      </c>
      <c r="J1386">
        <v>0</v>
      </c>
      <c r="K1386">
        <v>0</v>
      </c>
      <c r="L1386">
        <v>56.6</v>
      </c>
      <c r="M1386">
        <v>128.37</v>
      </c>
      <c r="N1386">
        <v>0</v>
      </c>
      <c r="O1386">
        <v>9.26</v>
      </c>
      <c r="P1386" s="2" t="s">
        <v>42</v>
      </c>
      <c r="Q1386">
        <v>0</v>
      </c>
      <c r="R1386">
        <v>309.01</v>
      </c>
      <c r="S1386">
        <v>194.23</v>
      </c>
      <c r="T1386">
        <v>114.78</v>
      </c>
      <c r="U1386">
        <f t="shared" si="21"/>
        <v>0</v>
      </c>
    </row>
    <row r="1387" spans="1:21" x14ac:dyDescent="0.25">
      <c r="A1387" s="2" t="s">
        <v>2106</v>
      </c>
      <c r="B1387" s="2" t="s">
        <v>1674</v>
      </c>
      <c r="C1387" s="1">
        <v>45924</v>
      </c>
      <c r="D1387" s="2" t="s">
        <v>45</v>
      </c>
      <c r="E1387" s="2" t="s">
        <v>39</v>
      </c>
      <c r="F1387" s="2" t="s">
        <v>47</v>
      </c>
      <c r="G1387">
        <v>2</v>
      </c>
      <c r="H1387" s="2" t="s">
        <v>64</v>
      </c>
      <c r="I1387">
        <v>102.42</v>
      </c>
      <c r="J1387">
        <v>0</v>
      </c>
      <c r="K1387">
        <v>0</v>
      </c>
      <c r="L1387">
        <v>13.88</v>
      </c>
      <c r="M1387">
        <v>59.51</v>
      </c>
      <c r="N1387">
        <v>0</v>
      </c>
      <c r="O1387">
        <v>3.27</v>
      </c>
      <c r="P1387" s="2" t="s">
        <v>68</v>
      </c>
      <c r="Q1387">
        <v>102.42</v>
      </c>
      <c r="R1387">
        <v>0</v>
      </c>
      <c r="S1387">
        <v>76.66</v>
      </c>
      <c r="T1387">
        <v>-76.66</v>
      </c>
      <c r="U1387">
        <f t="shared" si="21"/>
        <v>1</v>
      </c>
    </row>
    <row r="1388" spans="1:21" x14ac:dyDescent="0.25">
      <c r="A1388" s="2" t="s">
        <v>2107</v>
      </c>
      <c r="B1388" s="2" t="s">
        <v>1280</v>
      </c>
      <c r="C1388" s="1">
        <v>45943</v>
      </c>
      <c r="D1388" s="2" t="s">
        <v>45</v>
      </c>
      <c r="E1388" s="2" t="s">
        <v>46</v>
      </c>
      <c r="F1388" s="2" t="s">
        <v>40</v>
      </c>
      <c r="G1388">
        <v>1</v>
      </c>
      <c r="H1388" s="2" t="s">
        <v>111</v>
      </c>
      <c r="I1388">
        <v>29.4</v>
      </c>
      <c r="J1388">
        <v>0</v>
      </c>
      <c r="K1388">
        <v>0</v>
      </c>
      <c r="L1388">
        <v>6.22</v>
      </c>
      <c r="M1388">
        <v>11.41</v>
      </c>
      <c r="N1388">
        <v>0</v>
      </c>
      <c r="O1388">
        <v>1.1499999999999999</v>
      </c>
      <c r="P1388" s="2" t="s">
        <v>42</v>
      </c>
      <c r="Q1388">
        <v>0</v>
      </c>
      <c r="R1388">
        <v>29.4</v>
      </c>
      <c r="S1388">
        <v>18.78</v>
      </c>
      <c r="T1388">
        <v>10.62</v>
      </c>
      <c r="U1388">
        <f t="shared" si="21"/>
        <v>0</v>
      </c>
    </row>
    <row r="1389" spans="1:21" x14ac:dyDescent="0.25">
      <c r="A1389" s="2" t="s">
        <v>2108</v>
      </c>
      <c r="B1389" s="2" t="s">
        <v>82</v>
      </c>
      <c r="C1389" s="1">
        <v>45949</v>
      </c>
      <c r="D1389" s="2" t="s">
        <v>80</v>
      </c>
      <c r="E1389" s="2" t="s">
        <v>39</v>
      </c>
      <c r="F1389" s="2" t="s">
        <v>51</v>
      </c>
      <c r="G1389">
        <v>1</v>
      </c>
      <c r="H1389" s="2" t="s">
        <v>111</v>
      </c>
      <c r="I1389">
        <v>230.02</v>
      </c>
      <c r="J1389">
        <v>0</v>
      </c>
      <c r="K1389">
        <v>0</v>
      </c>
      <c r="L1389">
        <v>26.36</v>
      </c>
      <c r="M1389">
        <v>70.98</v>
      </c>
      <c r="N1389">
        <v>18.399999999999999</v>
      </c>
      <c r="O1389">
        <v>6.97</v>
      </c>
      <c r="P1389" s="2" t="s">
        <v>42</v>
      </c>
      <c r="Q1389">
        <v>0</v>
      </c>
      <c r="R1389">
        <v>230.02</v>
      </c>
      <c r="S1389">
        <v>122.71</v>
      </c>
      <c r="T1389">
        <v>107.31</v>
      </c>
      <c r="U1389">
        <f t="shared" si="21"/>
        <v>1</v>
      </c>
    </row>
    <row r="1390" spans="1:21" x14ac:dyDescent="0.25">
      <c r="A1390" s="2" t="s">
        <v>2109</v>
      </c>
      <c r="B1390" s="2" t="s">
        <v>340</v>
      </c>
      <c r="C1390" s="1">
        <v>45358</v>
      </c>
      <c r="D1390" s="2" t="s">
        <v>38</v>
      </c>
      <c r="E1390" s="2" t="s">
        <v>46</v>
      </c>
      <c r="F1390" s="2" t="s">
        <v>51</v>
      </c>
      <c r="G1390">
        <v>1</v>
      </c>
      <c r="H1390" s="2" t="s">
        <v>41</v>
      </c>
      <c r="I1390">
        <v>73.14</v>
      </c>
      <c r="J1390">
        <v>10</v>
      </c>
      <c r="K1390">
        <v>7.31</v>
      </c>
      <c r="L1390">
        <v>41.7</v>
      </c>
      <c r="M1390">
        <v>48.57</v>
      </c>
      <c r="N1390">
        <v>0</v>
      </c>
      <c r="O1390">
        <v>2.21</v>
      </c>
      <c r="P1390" s="2" t="s">
        <v>42</v>
      </c>
      <c r="Q1390">
        <v>0</v>
      </c>
      <c r="R1390">
        <v>65.83</v>
      </c>
      <c r="S1390">
        <v>92.48</v>
      </c>
      <c r="T1390">
        <v>-26.65</v>
      </c>
      <c r="U1390">
        <f t="shared" si="21"/>
        <v>0</v>
      </c>
    </row>
    <row r="1391" spans="1:21" x14ac:dyDescent="0.25">
      <c r="A1391" s="2" t="s">
        <v>2110</v>
      </c>
      <c r="B1391" s="2" t="s">
        <v>2111</v>
      </c>
      <c r="C1391" s="1">
        <v>45905</v>
      </c>
      <c r="D1391" s="2" t="s">
        <v>45</v>
      </c>
      <c r="E1391" s="2" t="s">
        <v>55</v>
      </c>
      <c r="F1391" s="2" t="s">
        <v>40</v>
      </c>
      <c r="G1391">
        <v>1</v>
      </c>
      <c r="H1391" s="2" t="s">
        <v>77</v>
      </c>
      <c r="I1391">
        <v>17.989999999999998</v>
      </c>
      <c r="J1391">
        <v>15</v>
      </c>
      <c r="K1391">
        <v>2.7</v>
      </c>
      <c r="L1391">
        <v>11.74</v>
      </c>
      <c r="M1391">
        <v>7.88</v>
      </c>
      <c r="N1391">
        <v>0</v>
      </c>
      <c r="O1391">
        <v>0.74</v>
      </c>
      <c r="P1391" s="2" t="s">
        <v>42</v>
      </c>
      <c r="Q1391">
        <v>0</v>
      </c>
      <c r="R1391">
        <v>15.29</v>
      </c>
      <c r="S1391">
        <v>20.36</v>
      </c>
      <c r="T1391">
        <v>-5.07</v>
      </c>
      <c r="U1391">
        <f t="shared" si="21"/>
        <v>0</v>
      </c>
    </row>
    <row r="1392" spans="1:21" x14ac:dyDescent="0.25">
      <c r="A1392" s="2" t="s">
        <v>2112</v>
      </c>
      <c r="B1392" s="2" t="s">
        <v>536</v>
      </c>
      <c r="C1392" s="1">
        <v>45815</v>
      </c>
      <c r="D1392" s="2" t="s">
        <v>38</v>
      </c>
      <c r="E1392" s="2" t="s">
        <v>46</v>
      </c>
      <c r="F1392" s="2" t="s">
        <v>51</v>
      </c>
      <c r="G1392">
        <v>2</v>
      </c>
      <c r="H1392" s="2" t="s">
        <v>52</v>
      </c>
      <c r="I1392">
        <v>107.93</v>
      </c>
      <c r="J1392">
        <v>15</v>
      </c>
      <c r="K1392">
        <v>16.190000000000001</v>
      </c>
      <c r="L1392">
        <v>18.600000000000001</v>
      </c>
      <c r="M1392">
        <v>41.89</v>
      </c>
      <c r="N1392">
        <v>0</v>
      </c>
      <c r="O1392">
        <v>2.96</v>
      </c>
      <c r="P1392" s="2" t="s">
        <v>42</v>
      </c>
      <c r="Q1392">
        <v>0</v>
      </c>
      <c r="R1392">
        <v>91.74</v>
      </c>
      <c r="S1392">
        <v>63.45</v>
      </c>
      <c r="T1392">
        <v>28.29</v>
      </c>
      <c r="U1392">
        <f t="shared" si="21"/>
        <v>0</v>
      </c>
    </row>
    <row r="1393" spans="1:21" x14ac:dyDescent="0.25">
      <c r="A1393" s="2" t="s">
        <v>2113</v>
      </c>
      <c r="B1393" s="2" t="s">
        <v>1506</v>
      </c>
      <c r="C1393" s="1">
        <v>45986</v>
      </c>
      <c r="D1393" s="2" t="s">
        <v>38</v>
      </c>
      <c r="E1393" s="2" t="s">
        <v>67</v>
      </c>
      <c r="F1393" s="2" t="s">
        <v>94</v>
      </c>
      <c r="G1393">
        <v>2</v>
      </c>
      <c r="H1393" s="2" t="s">
        <v>74</v>
      </c>
      <c r="I1393">
        <v>88.97</v>
      </c>
      <c r="J1393">
        <v>0</v>
      </c>
      <c r="K1393">
        <v>0</v>
      </c>
      <c r="L1393">
        <v>26.92</v>
      </c>
      <c r="M1393">
        <v>35.72</v>
      </c>
      <c r="N1393">
        <v>0</v>
      </c>
      <c r="O1393">
        <v>2.88</v>
      </c>
      <c r="P1393" s="2" t="s">
        <v>42</v>
      </c>
      <c r="Q1393">
        <v>0</v>
      </c>
      <c r="R1393">
        <v>88.97</v>
      </c>
      <c r="S1393">
        <v>65.52</v>
      </c>
      <c r="T1393">
        <v>23.45</v>
      </c>
      <c r="U1393">
        <f t="shared" si="21"/>
        <v>0</v>
      </c>
    </row>
    <row r="1394" spans="1:21" x14ac:dyDescent="0.25">
      <c r="A1394" s="2" t="s">
        <v>2114</v>
      </c>
      <c r="B1394" s="2" t="s">
        <v>1759</v>
      </c>
      <c r="C1394" s="1">
        <v>45702</v>
      </c>
      <c r="D1394" s="2" t="s">
        <v>45</v>
      </c>
      <c r="E1394" s="2" t="s">
        <v>67</v>
      </c>
      <c r="F1394" s="2" t="s">
        <v>40</v>
      </c>
      <c r="G1394">
        <v>2</v>
      </c>
      <c r="H1394" s="2" t="s">
        <v>52</v>
      </c>
      <c r="I1394">
        <v>87.34</v>
      </c>
      <c r="J1394">
        <v>5</v>
      </c>
      <c r="K1394">
        <v>4.37</v>
      </c>
      <c r="L1394">
        <v>19.48</v>
      </c>
      <c r="M1394">
        <v>27.1</v>
      </c>
      <c r="N1394">
        <v>0</v>
      </c>
      <c r="O1394">
        <v>2.71</v>
      </c>
      <c r="P1394" s="2" t="s">
        <v>42</v>
      </c>
      <c r="Q1394">
        <v>0</v>
      </c>
      <c r="R1394">
        <v>82.97</v>
      </c>
      <c r="S1394">
        <v>49.29</v>
      </c>
      <c r="T1394">
        <v>33.68</v>
      </c>
      <c r="U1394">
        <f t="shared" si="21"/>
        <v>0</v>
      </c>
    </row>
    <row r="1395" spans="1:21" x14ac:dyDescent="0.25">
      <c r="A1395" s="2" t="s">
        <v>2115</v>
      </c>
      <c r="B1395" s="2" t="s">
        <v>1850</v>
      </c>
      <c r="C1395" s="1">
        <v>45833</v>
      </c>
      <c r="D1395" s="2" t="s">
        <v>59</v>
      </c>
      <c r="E1395" s="2" t="s">
        <v>71</v>
      </c>
      <c r="F1395" s="2" t="s">
        <v>85</v>
      </c>
      <c r="G1395">
        <v>2</v>
      </c>
      <c r="H1395" s="2" t="s">
        <v>64</v>
      </c>
      <c r="I1395">
        <v>130.61000000000001</v>
      </c>
      <c r="J1395">
        <v>15</v>
      </c>
      <c r="K1395">
        <v>19.59</v>
      </c>
      <c r="L1395">
        <v>41.06</v>
      </c>
      <c r="M1395">
        <v>57.58</v>
      </c>
      <c r="N1395">
        <v>16.649999999999999</v>
      </c>
      <c r="O1395">
        <v>3.52</v>
      </c>
      <c r="P1395" s="2" t="s">
        <v>42</v>
      </c>
      <c r="Q1395">
        <v>0</v>
      </c>
      <c r="R1395">
        <v>111.02</v>
      </c>
      <c r="S1395">
        <v>118.81</v>
      </c>
      <c r="T1395">
        <v>-7.79</v>
      </c>
      <c r="U1395">
        <f t="shared" si="21"/>
        <v>0</v>
      </c>
    </row>
    <row r="1396" spans="1:21" x14ac:dyDescent="0.25">
      <c r="A1396" s="2" t="s">
        <v>2116</v>
      </c>
      <c r="B1396" s="2" t="s">
        <v>1585</v>
      </c>
      <c r="C1396" s="1">
        <v>45640</v>
      </c>
      <c r="D1396" s="2" t="s">
        <v>59</v>
      </c>
      <c r="E1396" s="2" t="s">
        <v>71</v>
      </c>
      <c r="F1396" s="2" t="s">
        <v>40</v>
      </c>
      <c r="G1396">
        <v>2</v>
      </c>
      <c r="H1396" s="2" t="s">
        <v>111</v>
      </c>
      <c r="I1396">
        <v>156.19</v>
      </c>
      <c r="J1396">
        <v>10</v>
      </c>
      <c r="K1396">
        <v>15.62</v>
      </c>
      <c r="L1396">
        <v>17.32</v>
      </c>
      <c r="M1396">
        <v>59.51</v>
      </c>
      <c r="N1396">
        <v>21.09</v>
      </c>
      <c r="O1396">
        <v>4.38</v>
      </c>
      <c r="P1396" s="2" t="s">
        <v>42</v>
      </c>
      <c r="Q1396">
        <v>0</v>
      </c>
      <c r="R1396">
        <v>140.57</v>
      </c>
      <c r="S1396">
        <v>102.3</v>
      </c>
      <c r="T1396">
        <v>38.270000000000003</v>
      </c>
      <c r="U1396">
        <f t="shared" si="21"/>
        <v>0</v>
      </c>
    </row>
    <row r="1397" spans="1:21" x14ac:dyDescent="0.25">
      <c r="A1397" s="2" t="s">
        <v>2117</v>
      </c>
      <c r="B1397" s="2" t="s">
        <v>445</v>
      </c>
      <c r="C1397" s="1">
        <v>45565</v>
      </c>
      <c r="D1397" s="2" t="s">
        <v>45</v>
      </c>
      <c r="E1397" s="2" t="s">
        <v>71</v>
      </c>
      <c r="F1397" s="2" t="s">
        <v>94</v>
      </c>
      <c r="G1397">
        <v>2</v>
      </c>
      <c r="H1397" s="2" t="s">
        <v>52</v>
      </c>
      <c r="I1397">
        <v>31.06</v>
      </c>
      <c r="J1397">
        <v>0</v>
      </c>
      <c r="K1397">
        <v>0</v>
      </c>
      <c r="L1397">
        <v>15.4</v>
      </c>
      <c r="M1397">
        <v>14.14</v>
      </c>
      <c r="N1397">
        <v>0</v>
      </c>
      <c r="O1397">
        <v>1.2</v>
      </c>
      <c r="P1397" s="2" t="s">
        <v>42</v>
      </c>
      <c r="Q1397">
        <v>0</v>
      </c>
      <c r="R1397">
        <v>31.06</v>
      </c>
      <c r="S1397">
        <v>30.74</v>
      </c>
      <c r="T1397">
        <v>0.32</v>
      </c>
      <c r="U1397">
        <f t="shared" si="21"/>
        <v>0</v>
      </c>
    </row>
    <row r="1398" spans="1:21" x14ac:dyDescent="0.25">
      <c r="A1398" s="2" t="s">
        <v>2118</v>
      </c>
      <c r="B1398" s="2" t="s">
        <v>2119</v>
      </c>
      <c r="C1398" s="1">
        <v>45569</v>
      </c>
      <c r="D1398" s="2" t="s">
        <v>38</v>
      </c>
      <c r="E1398" s="2" t="s">
        <v>46</v>
      </c>
      <c r="F1398" s="2" t="s">
        <v>51</v>
      </c>
      <c r="G1398">
        <v>1</v>
      </c>
      <c r="H1398" s="2" t="s">
        <v>77</v>
      </c>
      <c r="I1398">
        <v>17.989999999999998</v>
      </c>
      <c r="J1398">
        <v>20</v>
      </c>
      <c r="K1398">
        <v>3.6</v>
      </c>
      <c r="L1398">
        <v>11.74</v>
      </c>
      <c r="M1398">
        <v>7.88</v>
      </c>
      <c r="N1398">
        <v>0</v>
      </c>
      <c r="O1398">
        <v>0.72</v>
      </c>
      <c r="P1398" s="2" t="s">
        <v>42</v>
      </c>
      <c r="Q1398">
        <v>0</v>
      </c>
      <c r="R1398">
        <v>14.39</v>
      </c>
      <c r="S1398">
        <v>20.34</v>
      </c>
      <c r="T1398">
        <v>-5.95</v>
      </c>
      <c r="U1398">
        <f t="shared" si="21"/>
        <v>0</v>
      </c>
    </row>
    <row r="1399" spans="1:21" x14ac:dyDescent="0.25">
      <c r="A1399" s="2" t="s">
        <v>2120</v>
      </c>
      <c r="B1399" s="2" t="s">
        <v>1951</v>
      </c>
      <c r="C1399" s="1">
        <v>45755</v>
      </c>
      <c r="D1399" s="2" t="s">
        <v>45</v>
      </c>
      <c r="E1399" s="2" t="s">
        <v>71</v>
      </c>
      <c r="F1399" s="2" t="s">
        <v>94</v>
      </c>
      <c r="G1399">
        <v>2</v>
      </c>
      <c r="H1399" s="2" t="s">
        <v>56</v>
      </c>
      <c r="I1399">
        <v>78.31</v>
      </c>
      <c r="J1399">
        <v>0</v>
      </c>
      <c r="K1399">
        <v>0</v>
      </c>
      <c r="L1399">
        <v>17.399999999999999</v>
      </c>
      <c r="M1399">
        <v>35.07</v>
      </c>
      <c r="N1399">
        <v>0</v>
      </c>
      <c r="O1399">
        <v>2.57</v>
      </c>
      <c r="P1399" s="2" t="s">
        <v>42</v>
      </c>
      <c r="Q1399">
        <v>0</v>
      </c>
      <c r="R1399">
        <v>78.31</v>
      </c>
      <c r="S1399">
        <v>55.04</v>
      </c>
      <c r="T1399">
        <v>23.27</v>
      </c>
      <c r="U1399">
        <f t="shared" si="21"/>
        <v>0</v>
      </c>
    </row>
    <row r="1400" spans="1:21" x14ac:dyDescent="0.25">
      <c r="A1400" s="2" t="s">
        <v>2121</v>
      </c>
      <c r="B1400" s="2" t="s">
        <v>404</v>
      </c>
      <c r="C1400" s="1">
        <v>45903</v>
      </c>
      <c r="D1400" s="2" t="s">
        <v>38</v>
      </c>
      <c r="E1400" s="2" t="s">
        <v>46</v>
      </c>
      <c r="F1400" s="2" t="s">
        <v>51</v>
      </c>
      <c r="G1400">
        <v>1</v>
      </c>
      <c r="H1400" s="2" t="s">
        <v>52</v>
      </c>
      <c r="I1400">
        <v>45.16</v>
      </c>
      <c r="J1400">
        <v>10</v>
      </c>
      <c r="K1400">
        <v>4.5199999999999996</v>
      </c>
      <c r="L1400">
        <v>9.9</v>
      </c>
      <c r="M1400">
        <v>21.86</v>
      </c>
      <c r="N1400">
        <v>0</v>
      </c>
      <c r="O1400">
        <v>1.48</v>
      </c>
      <c r="P1400" s="2" t="s">
        <v>68</v>
      </c>
      <c r="Q1400">
        <v>40.64</v>
      </c>
      <c r="R1400">
        <v>0</v>
      </c>
      <c r="S1400">
        <v>33.24</v>
      </c>
      <c r="T1400">
        <v>-33.24</v>
      </c>
      <c r="U1400">
        <f t="shared" si="21"/>
        <v>0</v>
      </c>
    </row>
    <row r="1401" spans="1:21" x14ac:dyDescent="0.25">
      <c r="A1401" s="2" t="s">
        <v>2122</v>
      </c>
      <c r="B1401" s="2" t="s">
        <v>324</v>
      </c>
      <c r="C1401" s="1">
        <v>45849</v>
      </c>
      <c r="D1401" s="2" t="s">
        <v>59</v>
      </c>
      <c r="E1401" s="2" t="s">
        <v>67</v>
      </c>
      <c r="F1401" s="2" t="s">
        <v>40</v>
      </c>
      <c r="G1401">
        <v>2</v>
      </c>
      <c r="H1401" s="2" t="s">
        <v>56</v>
      </c>
      <c r="I1401">
        <v>53.55</v>
      </c>
      <c r="J1401">
        <v>0</v>
      </c>
      <c r="K1401">
        <v>0</v>
      </c>
      <c r="L1401">
        <v>17</v>
      </c>
      <c r="M1401">
        <v>21.12</v>
      </c>
      <c r="N1401">
        <v>8.0299999999999994</v>
      </c>
      <c r="O1401">
        <v>1.85</v>
      </c>
      <c r="P1401" s="2" t="s">
        <v>42</v>
      </c>
      <c r="Q1401">
        <v>0</v>
      </c>
      <c r="R1401">
        <v>53.55</v>
      </c>
      <c r="S1401">
        <v>48</v>
      </c>
      <c r="T1401">
        <v>5.55</v>
      </c>
      <c r="U1401">
        <f t="shared" si="21"/>
        <v>0</v>
      </c>
    </row>
    <row r="1402" spans="1:21" x14ac:dyDescent="0.25">
      <c r="A1402" s="2" t="s">
        <v>2123</v>
      </c>
      <c r="B1402" s="2" t="s">
        <v>104</v>
      </c>
      <c r="C1402" s="1">
        <v>45885</v>
      </c>
      <c r="D1402" s="2" t="s">
        <v>59</v>
      </c>
      <c r="E1402" s="2" t="s">
        <v>55</v>
      </c>
      <c r="F1402" s="2" t="s">
        <v>47</v>
      </c>
      <c r="G1402">
        <v>1</v>
      </c>
      <c r="H1402" s="2" t="s">
        <v>111</v>
      </c>
      <c r="I1402">
        <v>13.82</v>
      </c>
      <c r="J1402">
        <v>15</v>
      </c>
      <c r="K1402">
        <v>2.0699999999999998</v>
      </c>
      <c r="L1402">
        <v>15.18</v>
      </c>
      <c r="M1402">
        <v>6.6</v>
      </c>
      <c r="N1402">
        <v>1.76</v>
      </c>
      <c r="O1402">
        <v>0.64</v>
      </c>
      <c r="P1402" s="2" t="s">
        <v>42</v>
      </c>
      <c r="Q1402">
        <v>0</v>
      </c>
      <c r="R1402">
        <v>11.75</v>
      </c>
      <c r="S1402">
        <v>24.18</v>
      </c>
      <c r="T1402">
        <v>-12.43</v>
      </c>
      <c r="U1402">
        <f t="shared" si="21"/>
        <v>1</v>
      </c>
    </row>
    <row r="1403" spans="1:21" x14ac:dyDescent="0.25">
      <c r="A1403" s="2" t="s">
        <v>2124</v>
      </c>
      <c r="B1403" s="2" t="s">
        <v>2125</v>
      </c>
      <c r="C1403" s="1">
        <v>45626</v>
      </c>
      <c r="D1403" s="2" t="s">
        <v>38</v>
      </c>
      <c r="E1403" s="2" t="s">
        <v>67</v>
      </c>
      <c r="F1403" s="2" t="s">
        <v>51</v>
      </c>
      <c r="G1403">
        <v>1</v>
      </c>
      <c r="H1403" s="2" t="s">
        <v>48</v>
      </c>
      <c r="I1403">
        <v>36.92</v>
      </c>
      <c r="J1403">
        <v>5</v>
      </c>
      <c r="K1403">
        <v>1.85</v>
      </c>
      <c r="L1403">
        <v>7.74</v>
      </c>
      <c r="M1403">
        <v>12.95</v>
      </c>
      <c r="N1403">
        <v>0</v>
      </c>
      <c r="O1403">
        <v>1.32</v>
      </c>
      <c r="P1403" s="2" t="s">
        <v>42</v>
      </c>
      <c r="Q1403">
        <v>0</v>
      </c>
      <c r="R1403">
        <v>35.07</v>
      </c>
      <c r="S1403">
        <v>22.01</v>
      </c>
      <c r="T1403">
        <v>13.06</v>
      </c>
      <c r="U1403">
        <f t="shared" si="21"/>
        <v>0</v>
      </c>
    </row>
    <row r="1404" spans="1:21" x14ac:dyDescent="0.25">
      <c r="A1404" s="2" t="s">
        <v>2126</v>
      </c>
      <c r="B1404" s="2" t="s">
        <v>2073</v>
      </c>
      <c r="C1404" s="1">
        <v>45915</v>
      </c>
      <c r="D1404" s="2" t="s">
        <v>45</v>
      </c>
      <c r="E1404" s="2" t="s">
        <v>71</v>
      </c>
      <c r="F1404" s="2" t="s">
        <v>40</v>
      </c>
      <c r="G1404">
        <v>3</v>
      </c>
      <c r="H1404" s="2" t="s">
        <v>52</v>
      </c>
      <c r="I1404">
        <v>188.87</v>
      </c>
      <c r="J1404">
        <v>10</v>
      </c>
      <c r="K1404">
        <v>18.89</v>
      </c>
      <c r="L1404">
        <v>38.020000000000003</v>
      </c>
      <c r="M1404">
        <v>103.48</v>
      </c>
      <c r="N1404">
        <v>0</v>
      </c>
      <c r="O1404">
        <v>5.23</v>
      </c>
      <c r="P1404" s="2" t="s">
        <v>42</v>
      </c>
      <c r="Q1404">
        <v>0</v>
      </c>
      <c r="R1404">
        <v>169.98</v>
      </c>
      <c r="S1404">
        <v>146.72999999999999</v>
      </c>
      <c r="T1404">
        <v>23.25</v>
      </c>
      <c r="U1404">
        <f t="shared" si="21"/>
        <v>0</v>
      </c>
    </row>
    <row r="1405" spans="1:21" x14ac:dyDescent="0.25">
      <c r="A1405" s="2" t="s">
        <v>2127</v>
      </c>
      <c r="B1405" s="2" t="s">
        <v>123</v>
      </c>
      <c r="C1405" s="1">
        <v>45988</v>
      </c>
      <c r="D1405" s="2" t="s">
        <v>45</v>
      </c>
      <c r="E1405" s="2" t="s">
        <v>46</v>
      </c>
      <c r="F1405" s="2" t="s">
        <v>94</v>
      </c>
      <c r="G1405">
        <v>1</v>
      </c>
      <c r="H1405" s="2" t="s">
        <v>56</v>
      </c>
      <c r="I1405">
        <v>192.7</v>
      </c>
      <c r="J1405">
        <v>25</v>
      </c>
      <c r="K1405">
        <v>48.17</v>
      </c>
      <c r="L1405">
        <v>7.64</v>
      </c>
      <c r="M1405">
        <v>77.22</v>
      </c>
      <c r="N1405">
        <v>0</v>
      </c>
      <c r="O1405">
        <v>4.49</v>
      </c>
      <c r="P1405" s="2" t="s">
        <v>42</v>
      </c>
      <c r="Q1405">
        <v>0</v>
      </c>
      <c r="R1405">
        <v>144.53</v>
      </c>
      <c r="S1405">
        <v>89.35</v>
      </c>
      <c r="T1405">
        <v>55.18</v>
      </c>
      <c r="U1405">
        <f t="shared" si="21"/>
        <v>0</v>
      </c>
    </row>
    <row r="1406" spans="1:21" x14ac:dyDescent="0.25">
      <c r="A1406" s="2" t="s">
        <v>2128</v>
      </c>
      <c r="B1406" s="2" t="s">
        <v>1955</v>
      </c>
      <c r="C1406" s="1">
        <v>45877</v>
      </c>
      <c r="D1406" s="2" t="s">
        <v>38</v>
      </c>
      <c r="E1406" s="2" t="s">
        <v>55</v>
      </c>
      <c r="F1406" s="2" t="s">
        <v>94</v>
      </c>
      <c r="G1406">
        <v>1</v>
      </c>
      <c r="H1406" s="2" t="s">
        <v>77</v>
      </c>
      <c r="I1406">
        <v>10.62</v>
      </c>
      <c r="J1406">
        <v>0</v>
      </c>
      <c r="K1406">
        <v>0</v>
      </c>
      <c r="L1406">
        <v>9.18</v>
      </c>
      <c r="M1406">
        <v>5.38</v>
      </c>
      <c r="N1406">
        <v>0</v>
      </c>
      <c r="O1406">
        <v>0.61</v>
      </c>
      <c r="P1406" s="2" t="s">
        <v>42</v>
      </c>
      <c r="Q1406">
        <v>0</v>
      </c>
      <c r="R1406">
        <v>10.62</v>
      </c>
      <c r="S1406">
        <v>15.17</v>
      </c>
      <c r="T1406">
        <v>-4.55</v>
      </c>
      <c r="U1406">
        <f t="shared" si="21"/>
        <v>0</v>
      </c>
    </row>
    <row r="1407" spans="1:21" x14ac:dyDescent="0.25">
      <c r="A1407" s="2" t="s">
        <v>2129</v>
      </c>
      <c r="B1407" s="2" t="s">
        <v>1171</v>
      </c>
      <c r="C1407" s="1">
        <v>45893</v>
      </c>
      <c r="D1407" s="2" t="s">
        <v>45</v>
      </c>
      <c r="E1407" s="2" t="s">
        <v>55</v>
      </c>
      <c r="F1407" s="2" t="s">
        <v>51</v>
      </c>
      <c r="G1407">
        <v>2</v>
      </c>
      <c r="H1407" s="2" t="s">
        <v>41</v>
      </c>
      <c r="I1407">
        <v>214.09</v>
      </c>
      <c r="J1407">
        <v>5</v>
      </c>
      <c r="K1407">
        <v>10.7</v>
      </c>
      <c r="L1407">
        <v>9.08</v>
      </c>
      <c r="M1407">
        <v>66.7</v>
      </c>
      <c r="N1407">
        <v>0</v>
      </c>
      <c r="O1407">
        <v>6.2</v>
      </c>
      <c r="P1407" s="2" t="s">
        <v>42</v>
      </c>
      <c r="Q1407">
        <v>0</v>
      </c>
      <c r="R1407">
        <v>203.39</v>
      </c>
      <c r="S1407">
        <v>81.98</v>
      </c>
      <c r="T1407">
        <v>121.41</v>
      </c>
      <c r="U1407">
        <f t="shared" si="21"/>
        <v>0</v>
      </c>
    </row>
    <row r="1408" spans="1:21" x14ac:dyDescent="0.25">
      <c r="A1408" s="2" t="s">
        <v>2130</v>
      </c>
      <c r="B1408" s="2" t="s">
        <v>1597</v>
      </c>
      <c r="C1408" s="1">
        <v>45829</v>
      </c>
      <c r="D1408" s="2" t="s">
        <v>45</v>
      </c>
      <c r="E1408" s="2" t="s">
        <v>71</v>
      </c>
      <c r="F1408" s="2" t="s">
        <v>94</v>
      </c>
      <c r="G1408">
        <v>1</v>
      </c>
      <c r="H1408" s="2" t="s">
        <v>64</v>
      </c>
      <c r="I1408">
        <v>64.650000000000006</v>
      </c>
      <c r="J1408">
        <v>0</v>
      </c>
      <c r="K1408">
        <v>0</v>
      </c>
      <c r="L1408">
        <v>45.3</v>
      </c>
      <c r="M1408">
        <v>37.200000000000003</v>
      </c>
      <c r="N1408">
        <v>0</v>
      </c>
      <c r="O1408">
        <v>2.17</v>
      </c>
      <c r="P1408" s="2" t="s">
        <v>42</v>
      </c>
      <c r="Q1408">
        <v>0</v>
      </c>
      <c r="R1408">
        <v>64.650000000000006</v>
      </c>
      <c r="S1408">
        <v>84.67</v>
      </c>
      <c r="T1408">
        <v>-20.02</v>
      </c>
      <c r="U1408">
        <f t="shared" si="21"/>
        <v>0</v>
      </c>
    </row>
    <row r="1409" spans="1:21" x14ac:dyDescent="0.25">
      <c r="A1409" s="2" t="s">
        <v>2131</v>
      </c>
      <c r="B1409" s="2" t="s">
        <v>140</v>
      </c>
      <c r="C1409" s="1">
        <v>45721</v>
      </c>
      <c r="D1409" s="2" t="s">
        <v>38</v>
      </c>
      <c r="E1409" s="2" t="s">
        <v>55</v>
      </c>
      <c r="F1409" s="2" t="s">
        <v>47</v>
      </c>
      <c r="G1409">
        <v>2</v>
      </c>
      <c r="H1409" s="2" t="s">
        <v>64</v>
      </c>
      <c r="I1409">
        <v>74.5</v>
      </c>
      <c r="J1409">
        <v>0</v>
      </c>
      <c r="K1409">
        <v>0</v>
      </c>
      <c r="L1409">
        <v>12.2</v>
      </c>
      <c r="M1409">
        <v>39.380000000000003</v>
      </c>
      <c r="N1409">
        <v>0</v>
      </c>
      <c r="O1409">
        <v>2.46</v>
      </c>
      <c r="P1409" s="2" t="s">
        <v>42</v>
      </c>
      <c r="Q1409">
        <v>0</v>
      </c>
      <c r="R1409">
        <v>74.5</v>
      </c>
      <c r="S1409">
        <v>54.04</v>
      </c>
      <c r="T1409">
        <v>20.46</v>
      </c>
      <c r="U1409">
        <f t="shared" si="21"/>
        <v>0</v>
      </c>
    </row>
    <row r="1410" spans="1:21" x14ac:dyDescent="0.25">
      <c r="A1410" s="2" t="s">
        <v>2132</v>
      </c>
      <c r="B1410" s="2" t="s">
        <v>1934</v>
      </c>
      <c r="C1410" s="1">
        <v>45852</v>
      </c>
      <c r="D1410" s="2" t="s">
        <v>80</v>
      </c>
      <c r="E1410" s="2" t="s">
        <v>46</v>
      </c>
      <c r="F1410" s="2" t="s">
        <v>94</v>
      </c>
      <c r="G1410">
        <v>1</v>
      </c>
      <c r="H1410" s="2" t="s">
        <v>77</v>
      </c>
      <c r="I1410">
        <v>9.0299999999999994</v>
      </c>
      <c r="J1410">
        <v>10</v>
      </c>
      <c r="K1410">
        <v>0.9</v>
      </c>
      <c r="L1410">
        <v>13.98</v>
      </c>
      <c r="M1410">
        <v>6.37</v>
      </c>
      <c r="N1410">
        <v>0.65</v>
      </c>
      <c r="O1410">
        <v>0.54</v>
      </c>
      <c r="P1410" s="2" t="s">
        <v>68</v>
      </c>
      <c r="Q1410">
        <v>8.1300000000000008</v>
      </c>
      <c r="R1410">
        <v>0</v>
      </c>
      <c r="S1410">
        <v>21.54</v>
      </c>
      <c r="T1410">
        <v>-21.54</v>
      </c>
      <c r="U1410">
        <f t="shared" si="21"/>
        <v>0</v>
      </c>
    </row>
    <row r="1411" spans="1:21" x14ac:dyDescent="0.25">
      <c r="A1411" s="2" t="s">
        <v>2133</v>
      </c>
      <c r="B1411" s="2" t="s">
        <v>1055</v>
      </c>
      <c r="C1411" s="1">
        <v>45766</v>
      </c>
      <c r="D1411" s="2" t="s">
        <v>59</v>
      </c>
      <c r="E1411" s="2" t="s">
        <v>71</v>
      </c>
      <c r="F1411" s="2" t="s">
        <v>85</v>
      </c>
      <c r="G1411">
        <v>1</v>
      </c>
      <c r="H1411" s="2" t="s">
        <v>111</v>
      </c>
      <c r="I1411">
        <v>41.46</v>
      </c>
      <c r="J1411">
        <v>10</v>
      </c>
      <c r="K1411">
        <v>4.1500000000000004</v>
      </c>
      <c r="L1411">
        <v>45.54</v>
      </c>
      <c r="M1411">
        <v>19.8</v>
      </c>
      <c r="N1411">
        <v>5.6</v>
      </c>
      <c r="O1411">
        <v>1.38</v>
      </c>
      <c r="P1411" s="2" t="s">
        <v>42</v>
      </c>
      <c r="Q1411">
        <v>0</v>
      </c>
      <c r="R1411">
        <v>37.31</v>
      </c>
      <c r="S1411">
        <v>72.319999999999993</v>
      </c>
      <c r="T1411">
        <v>-35.01</v>
      </c>
      <c r="U1411">
        <f t="shared" si="21"/>
        <v>0</v>
      </c>
    </row>
    <row r="1412" spans="1:21" x14ac:dyDescent="0.25">
      <c r="A1412" s="2" t="s">
        <v>2134</v>
      </c>
      <c r="B1412" s="2" t="s">
        <v>621</v>
      </c>
      <c r="C1412" s="1">
        <v>45849</v>
      </c>
      <c r="D1412" s="2" t="s">
        <v>45</v>
      </c>
      <c r="E1412" s="2" t="s">
        <v>55</v>
      </c>
      <c r="F1412" s="2" t="s">
        <v>51</v>
      </c>
      <c r="G1412">
        <v>4</v>
      </c>
      <c r="H1412" s="2" t="s">
        <v>41</v>
      </c>
      <c r="I1412">
        <v>428.14</v>
      </c>
      <c r="J1412">
        <v>25</v>
      </c>
      <c r="K1412">
        <v>107.03</v>
      </c>
      <c r="L1412">
        <v>59.4</v>
      </c>
      <c r="M1412">
        <v>159.72</v>
      </c>
      <c r="N1412">
        <v>0</v>
      </c>
      <c r="O1412">
        <v>9.61</v>
      </c>
      <c r="P1412" s="2" t="s">
        <v>42</v>
      </c>
      <c r="Q1412">
        <v>0</v>
      </c>
      <c r="R1412">
        <v>321.11</v>
      </c>
      <c r="S1412">
        <v>228.73</v>
      </c>
      <c r="T1412">
        <v>92.38</v>
      </c>
      <c r="U1412">
        <f t="shared" si="21"/>
        <v>1</v>
      </c>
    </row>
    <row r="1413" spans="1:21" x14ac:dyDescent="0.25">
      <c r="A1413" s="2" t="s">
        <v>2135</v>
      </c>
      <c r="B1413" s="2" t="s">
        <v>1125</v>
      </c>
      <c r="C1413" s="1">
        <v>45573</v>
      </c>
      <c r="D1413" s="2" t="s">
        <v>45</v>
      </c>
      <c r="E1413" s="2" t="s">
        <v>46</v>
      </c>
      <c r="F1413" s="2" t="s">
        <v>51</v>
      </c>
      <c r="G1413">
        <v>1</v>
      </c>
      <c r="H1413" s="2" t="s">
        <v>74</v>
      </c>
      <c r="I1413">
        <v>129.80000000000001</v>
      </c>
      <c r="J1413">
        <v>0</v>
      </c>
      <c r="K1413">
        <v>0</v>
      </c>
      <c r="L1413">
        <v>3.82</v>
      </c>
      <c r="M1413">
        <v>38.64</v>
      </c>
      <c r="N1413">
        <v>0</v>
      </c>
      <c r="O1413">
        <v>4.0599999999999996</v>
      </c>
      <c r="P1413" s="2" t="s">
        <v>42</v>
      </c>
      <c r="Q1413">
        <v>0</v>
      </c>
      <c r="R1413">
        <v>129.80000000000001</v>
      </c>
      <c r="S1413">
        <v>46.52</v>
      </c>
      <c r="T1413">
        <v>83.28</v>
      </c>
      <c r="U1413">
        <f t="shared" ref="U1413:U1476" si="22">IF(P1411="Yes", 1, 0)</f>
        <v>0</v>
      </c>
    </row>
    <row r="1414" spans="1:21" x14ac:dyDescent="0.25">
      <c r="A1414" s="2" t="s">
        <v>2136</v>
      </c>
      <c r="B1414" s="2" t="s">
        <v>1022</v>
      </c>
      <c r="C1414" s="1">
        <v>45783</v>
      </c>
      <c r="D1414" s="2" t="s">
        <v>45</v>
      </c>
      <c r="E1414" s="2" t="s">
        <v>46</v>
      </c>
      <c r="F1414" s="2" t="s">
        <v>47</v>
      </c>
      <c r="G1414">
        <v>1</v>
      </c>
      <c r="H1414" s="2" t="s">
        <v>74</v>
      </c>
      <c r="I1414">
        <v>129.80000000000001</v>
      </c>
      <c r="J1414">
        <v>5</v>
      </c>
      <c r="K1414">
        <v>6.49</v>
      </c>
      <c r="L1414">
        <v>3.82</v>
      </c>
      <c r="M1414">
        <v>38.64</v>
      </c>
      <c r="N1414">
        <v>0</v>
      </c>
      <c r="O1414">
        <v>3.88</v>
      </c>
      <c r="P1414" s="2" t="s">
        <v>42</v>
      </c>
      <c r="Q1414">
        <v>0</v>
      </c>
      <c r="R1414">
        <v>123.31</v>
      </c>
      <c r="S1414">
        <v>46.34</v>
      </c>
      <c r="T1414">
        <v>76.97</v>
      </c>
      <c r="U1414">
        <f t="shared" si="22"/>
        <v>0</v>
      </c>
    </row>
    <row r="1415" spans="1:21" x14ac:dyDescent="0.25">
      <c r="A1415" s="2" t="s">
        <v>2137</v>
      </c>
      <c r="B1415" s="2" t="s">
        <v>320</v>
      </c>
      <c r="C1415" s="1">
        <v>45756</v>
      </c>
      <c r="D1415" s="2" t="s">
        <v>59</v>
      </c>
      <c r="E1415" s="2" t="s">
        <v>71</v>
      </c>
      <c r="F1415" s="2" t="s">
        <v>85</v>
      </c>
      <c r="G1415">
        <v>2</v>
      </c>
      <c r="H1415" s="2" t="s">
        <v>64</v>
      </c>
      <c r="I1415">
        <v>75.34</v>
      </c>
      <c r="J1415">
        <v>10</v>
      </c>
      <c r="K1415">
        <v>7.53</v>
      </c>
      <c r="L1415">
        <v>24.68</v>
      </c>
      <c r="M1415">
        <v>25.25</v>
      </c>
      <c r="N1415">
        <v>10.17</v>
      </c>
      <c r="O1415">
        <v>2.27</v>
      </c>
      <c r="P1415" s="2" t="s">
        <v>42</v>
      </c>
      <c r="Q1415">
        <v>0</v>
      </c>
      <c r="R1415">
        <v>67.81</v>
      </c>
      <c r="S1415">
        <v>62.37</v>
      </c>
      <c r="T1415">
        <v>5.44</v>
      </c>
      <c r="U1415">
        <f t="shared" si="22"/>
        <v>0</v>
      </c>
    </row>
    <row r="1416" spans="1:21" x14ac:dyDescent="0.25">
      <c r="A1416" s="2" t="s">
        <v>2138</v>
      </c>
      <c r="B1416" s="2" t="s">
        <v>1048</v>
      </c>
      <c r="C1416" s="1">
        <v>45678</v>
      </c>
      <c r="D1416" s="2" t="s">
        <v>59</v>
      </c>
      <c r="E1416" s="2" t="s">
        <v>46</v>
      </c>
      <c r="F1416" s="2" t="s">
        <v>40</v>
      </c>
      <c r="G1416">
        <v>2</v>
      </c>
      <c r="H1416" s="2" t="s">
        <v>64</v>
      </c>
      <c r="I1416">
        <v>107.56</v>
      </c>
      <c r="J1416">
        <v>20</v>
      </c>
      <c r="K1416">
        <v>21.51</v>
      </c>
      <c r="L1416">
        <v>29.38</v>
      </c>
      <c r="M1416">
        <v>57.45</v>
      </c>
      <c r="N1416">
        <v>12.91</v>
      </c>
      <c r="O1416">
        <v>2.8</v>
      </c>
      <c r="P1416" s="2" t="s">
        <v>42</v>
      </c>
      <c r="Q1416">
        <v>0</v>
      </c>
      <c r="R1416">
        <v>86.05</v>
      </c>
      <c r="S1416">
        <v>102.54</v>
      </c>
      <c r="T1416">
        <v>-16.489999999999998</v>
      </c>
      <c r="U1416">
        <f t="shared" si="22"/>
        <v>0</v>
      </c>
    </row>
    <row r="1417" spans="1:21" x14ac:dyDescent="0.25">
      <c r="A1417" s="2" t="s">
        <v>2139</v>
      </c>
      <c r="B1417" s="2" t="s">
        <v>794</v>
      </c>
      <c r="C1417" s="1">
        <v>45849</v>
      </c>
      <c r="D1417" s="2" t="s">
        <v>59</v>
      </c>
      <c r="E1417" s="2" t="s">
        <v>71</v>
      </c>
      <c r="F1417" s="2" t="s">
        <v>94</v>
      </c>
      <c r="G1417">
        <v>1</v>
      </c>
      <c r="H1417" s="2" t="s">
        <v>77</v>
      </c>
      <c r="I1417">
        <v>53</v>
      </c>
      <c r="J1417">
        <v>25</v>
      </c>
      <c r="K1417">
        <v>13.25</v>
      </c>
      <c r="L1417">
        <v>11</v>
      </c>
      <c r="M1417">
        <v>16.12</v>
      </c>
      <c r="N1417">
        <v>5.96</v>
      </c>
      <c r="O1417">
        <v>1.45</v>
      </c>
      <c r="P1417" s="2" t="s">
        <v>42</v>
      </c>
      <c r="Q1417">
        <v>0</v>
      </c>
      <c r="R1417">
        <v>39.75</v>
      </c>
      <c r="S1417">
        <v>34.53</v>
      </c>
      <c r="T1417">
        <v>5.22</v>
      </c>
      <c r="U1417">
        <f t="shared" si="22"/>
        <v>0</v>
      </c>
    </row>
    <row r="1418" spans="1:21" x14ac:dyDescent="0.25">
      <c r="A1418" s="2" t="s">
        <v>2140</v>
      </c>
      <c r="B1418" s="2" t="s">
        <v>332</v>
      </c>
      <c r="C1418" s="1">
        <v>45827</v>
      </c>
      <c r="D1418" s="2" t="s">
        <v>38</v>
      </c>
      <c r="E1418" s="2" t="s">
        <v>67</v>
      </c>
      <c r="F1418" s="2" t="s">
        <v>40</v>
      </c>
      <c r="G1418">
        <v>3</v>
      </c>
      <c r="H1418" s="2" t="s">
        <v>64</v>
      </c>
      <c r="I1418">
        <v>341.1</v>
      </c>
      <c r="J1418">
        <v>10</v>
      </c>
      <c r="K1418">
        <v>34.11</v>
      </c>
      <c r="L1418">
        <v>32.46</v>
      </c>
      <c r="M1418">
        <v>152.43</v>
      </c>
      <c r="N1418">
        <v>0</v>
      </c>
      <c r="O1418">
        <v>9.1999999999999993</v>
      </c>
      <c r="P1418" s="2" t="s">
        <v>42</v>
      </c>
      <c r="Q1418">
        <v>0</v>
      </c>
      <c r="R1418">
        <v>306.99</v>
      </c>
      <c r="S1418">
        <v>194.09</v>
      </c>
      <c r="T1418">
        <v>112.9</v>
      </c>
      <c r="U1418">
        <f t="shared" si="22"/>
        <v>0</v>
      </c>
    </row>
    <row r="1419" spans="1:21" x14ac:dyDescent="0.25">
      <c r="A1419" s="2" t="s">
        <v>2141</v>
      </c>
      <c r="B1419" s="2" t="s">
        <v>810</v>
      </c>
      <c r="C1419" s="1">
        <v>45956</v>
      </c>
      <c r="D1419" s="2" t="s">
        <v>59</v>
      </c>
      <c r="E1419" s="2" t="s">
        <v>39</v>
      </c>
      <c r="F1419" s="2" t="s">
        <v>47</v>
      </c>
      <c r="G1419">
        <v>3</v>
      </c>
      <c r="H1419" s="2" t="s">
        <v>52</v>
      </c>
      <c r="I1419">
        <v>138.54</v>
      </c>
      <c r="J1419">
        <v>25</v>
      </c>
      <c r="K1419">
        <v>34.64</v>
      </c>
      <c r="L1419">
        <v>23.38</v>
      </c>
      <c r="M1419">
        <v>54.84</v>
      </c>
      <c r="N1419">
        <v>15.59</v>
      </c>
      <c r="O1419">
        <v>3.31</v>
      </c>
      <c r="P1419" s="2" t="s">
        <v>42</v>
      </c>
      <c r="Q1419">
        <v>0</v>
      </c>
      <c r="R1419">
        <v>103.9</v>
      </c>
      <c r="S1419">
        <v>97.12</v>
      </c>
      <c r="T1419">
        <v>6.78</v>
      </c>
      <c r="U1419">
        <f t="shared" si="22"/>
        <v>0</v>
      </c>
    </row>
    <row r="1420" spans="1:21" x14ac:dyDescent="0.25">
      <c r="A1420" s="2" t="s">
        <v>2142</v>
      </c>
      <c r="B1420" s="2" t="s">
        <v>856</v>
      </c>
      <c r="C1420" s="1">
        <v>45659</v>
      </c>
      <c r="D1420" s="2" t="s">
        <v>45</v>
      </c>
      <c r="E1420" s="2" t="s">
        <v>46</v>
      </c>
      <c r="F1420" s="2" t="s">
        <v>94</v>
      </c>
      <c r="G1420">
        <v>1</v>
      </c>
      <c r="H1420" s="2" t="s">
        <v>64</v>
      </c>
      <c r="I1420">
        <v>100.26</v>
      </c>
      <c r="J1420">
        <v>0</v>
      </c>
      <c r="K1420">
        <v>0</v>
      </c>
      <c r="L1420">
        <v>8.44</v>
      </c>
      <c r="M1420">
        <v>63.28</v>
      </c>
      <c r="N1420">
        <v>0</v>
      </c>
      <c r="O1420">
        <v>3.21</v>
      </c>
      <c r="P1420" s="2" t="s">
        <v>42</v>
      </c>
      <c r="Q1420">
        <v>0</v>
      </c>
      <c r="R1420">
        <v>100.26</v>
      </c>
      <c r="S1420">
        <v>74.930000000000007</v>
      </c>
      <c r="T1420">
        <v>25.33</v>
      </c>
      <c r="U1420">
        <f t="shared" si="22"/>
        <v>0</v>
      </c>
    </row>
    <row r="1421" spans="1:21" x14ac:dyDescent="0.25">
      <c r="A1421" s="2" t="s">
        <v>2143</v>
      </c>
      <c r="B1421" s="2" t="s">
        <v>1511</v>
      </c>
      <c r="C1421" s="1">
        <v>45467</v>
      </c>
      <c r="D1421" s="2" t="s">
        <v>80</v>
      </c>
      <c r="E1421" s="2" t="s">
        <v>46</v>
      </c>
      <c r="F1421" s="2" t="s">
        <v>85</v>
      </c>
      <c r="G1421">
        <v>1</v>
      </c>
      <c r="H1421" s="2" t="s">
        <v>111</v>
      </c>
      <c r="I1421">
        <v>83.78</v>
      </c>
      <c r="J1421">
        <v>25</v>
      </c>
      <c r="K1421">
        <v>20.95</v>
      </c>
      <c r="L1421">
        <v>14.22</v>
      </c>
      <c r="M1421">
        <v>25.22</v>
      </c>
      <c r="N1421">
        <v>5.03</v>
      </c>
      <c r="O1421">
        <v>2.12</v>
      </c>
      <c r="P1421" s="2" t="s">
        <v>42</v>
      </c>
      <c r="Q1421">
        <v>0</v>
      </c>
      <c r="R1421">
        <v>62.83</v>
      </c>
      <c r="S1421">
        <v>46.59</v>
      </c>
      <c r="T1421">
        <v>16.239999999999998</v>
      </c>
      <c r="U1421">
        <f t="shared" si="22"/>
        <v>0</v>
      </c>
    </row>
    <row r="1422" spans="1:21" x14ac:dyDescent="0.25">
      <c r="A1422" s="2" t="s">
        <v>2144</v>
      </c>
      <c r="B1422" s="2" t="s">
        <v>475</v>
      </c>
      <c r="C1422" s="1">
        <v>45706</v>
      </c>
      <c r="D1422" s="2" t="s">
        <v>45</v>
      </c>
      <c r="E1422" s="2" t="s">
        <v>46</v>
      </c>
      <c r="F1422" s="2" t="s">
        <v>51</v>
      </c>
      <c r="G1422">
        <v>1</v>
      </c>
      <c r="H1422" s="2" t="s">
        <v>41</v>
      </c>
      <c r="I1422">
        <v>24.38</v>
      </c>
      <c r="J1422">
        <v>25</v>
      </c>
      <c r="K1422">
        <v>6.09</v>
      </c>
      <c r="L1422">
        <v>13.9</v>
      </c>
      <c r="M1422">
        <v>16.190000000000001</v>
      </c>
      <c r="N1422">
        <v>0</v>
      </c>
      <c r="O1422">
        <v>0.83</v>
      </c>
      <c r="P1422" s="2" t="s">
        <v>42</v>
      </c>
      <c r="Q1422">
        <v>0</v>
      </c>
      <c r="R1422">
        <v>18.29</v>
      </c>
      <c r="S1422">
        <v>30.92</v>
      </c>
      <c r="T1422">
        <v>-12.63</v>
      </c>
      <c r="U1422">
        <f t="shared" si="22"/>
        <v>0</v>
      </c>
    </row>
    <row r="1423" spans="1:21" x14ac:dyDescent="0.25">
      <c r="A1423" s="2" t="s">
        <v>2145</v>
      </c>
      <c r="B1423" s="2" t="s">
        <v>1377</v>
      </c>
      <c r="C1423" s="1">
        <v>45618</v>
      </c>
      <c r="D1423" s="2" t="s">
        <v>80</v>
      </c>
      <c r="E1423" s="2" t="s">
        <v>71</v>
      </c>
      <c r="F1423" s="2" t="s">
        <v>51</v>
      </c>
      <c r="G1423">
        <v>1</v>
      </c>
      <c r="H1423" s="2" t="s">
        <v>41</v>
      </c>
      <c r="I1423">
        <v>78.790000000000006</v>
      </c>
      <c r="J1423">
        <v>25</v>
      </c>
      <c r="K1423">
        <v>19.7</v>
      </c>
      <c r="L1423">
        <v>13.5</v>
      </c>
      <c r="M1423">
        <v>31.36</v>
      </c>
      <c r="N1423">
        <v>4.7300000000000004</v>
      </c>
      <c r="O1423">
        <v>2.0099999999999998</v>
      </c>
      <c r="P1423" s="2" t="s">
        <v>42</v>
      </c>
      <c r="Q1423">
        <v>0</v>
      </c>
      <c r="R1423">
        <v>59.09</v>
      </c>
      <c r="S1423">
        <v>51.6</v>
      </c>
      <c r="T1423">
        <v>7.49</v>
      </c>
      <c r="U1423">
        <f t="shared" si="22"/>
        <v>0</v>
      </c>
    </row>
    <row r="1424" spans="1:21" x14ac:dyDescent="0.25">
      <c r="A1424" s="2" t="s">
        <v>2146</v>
      </c>
      <c r="B1424" s="2" t="s">
        <v>459</v>
      </c>
      <c r="C1424" s="1">
        <v>45822</v>
      </c>
      <c r="D1424" s="2" t="s">
        <v>45</v>
      </c>
      <c r="E1424" s="2" t="s">
        <v>71</v>
      </c>
      <c r="F1424" s="2" t="s">
        <v>47</v>
      </c>
      <c r="G1424">
        <v>3</v>
      </c>
      <c r="H1424" s="2" t="s">
        <v>77</v>
      </c>
      <c r="I1424">
        <v>255.54</v>
      </c>
      <c r="J1424">
        <v>0</v>
      </c>
      <c r="K1424">
        <v>0</v>
      </c>
      <c r="L1424">
        <v>54.22</v>
      </c>
      <c r="M1424">
        <v>96.34</v>
      </c>
      <c r="N1424">
        <v>0</v>
      </c>
      <c r="O1424">
        <v>7.71</v>
      </c>
      <c r="P1424" s="2" t="s">
        <v>42</v>
      </c>
      <c r="Q1424">
        <v>0</v>
      </c>
      <c r="R1424">
        <v>255.54</v>
      </c>
      <c r="S1424">
        <v>158.27000000000001</v>
      </c>
      <c r="T1424">
        <v>97.27</v>
      </c>
      <c r="U1424">
        <f t="shared" si="22"/>
        <v>0</v>
      </c>
    </row>
    <row r="1425" spans="1:21" x14ac:dyDescent="0.25">
      <c r="A1425" s="2" t="s">
        <v>2147</v>
      </c>
      <c r="B1425" s="2" t="s">
        <v>572</v>
      </c>
      <c r="C1425" s="1">
        <v>45506</v>
      </c>
      <c r="D1425" s="2" t="s">
        <v>38</v>
      </c>
      <c r="E1425" s="2" t="s">
        <v>46</v>
      </c>
      <c r="F1425" s="2" t="s">
        <v>85</v>
      </c>
      <c r="G1425">
        <v>1</v>
      </c>
      <c r="H1425" s="2" t="s">
        <v>56</v>
      </c>
      <c r="I1425">
        <v>62.94</v>
      </c>
      <c r="J1425">
        <v>0</v>
      </c>
      <c r="K1425">
        <v>0</v>
      </c>
      <c r="L1425">
        <v>6.62</v>
      </c>
      <c r="M1425">
        <v>26.48</v>
      </c>
      <c r="N1425">
        <v>0</v>
      </c>
      <c r="O1425">
        <v>2.13</v>
      </c>
      <c r="P1425" s="2" t="s">
        <v>42</v>
      </c>
      <c r="Q1425">
        <v>0</v>
      </c>
      <c r="R1425">
        <v>62.94</v>
      </c>
      <c r="S1425">
        <v>35.229999999999997</v>
      </c>
      <c r="T1425">
        <v>27.71</v>
      </c>
      <c r="U1425">
        <f t="shared" si="22"/>
        <v>0</v>
      </c>
    </row>
    <row r="1426" spans="1:21" x14ac:dyDescent="0.25">
      <c r="A1426" s="2" t="s">
        <v>2148</v>
      </c>
      <c r="B1426" s="2" t="s">
        <v>406</v>
      </c>
      <c r="C1426" s="1">
        <v>45626</v>
      </c>
      <c r="D1426" s="2" t="s">
        <v>38</v>
      </c>
      <c r="E1426" s="2" t="s">
        <v>39</v>
      </c>
      <c r="F1426" s="2" t="s">
        <v>85</v>
      </c>
      <c r="G1426">
        <v>1</v>
      </c>
      <c r="H1426" s="2" t="s">
        <v>52</v>
      </c>
      <c r="I1426">
        <v>140.4</v>
      </c>
      <c r="J1426">
        <v>15</v>
      </c>
      <c r="K1426">
        <v>21.06</v>
      </c>
      <c r="L1426">
        <v>29.7</v>
      </c>
      <c r="M1426">
        <v>57.63</v>
      </c>
      <c r="N1426">
        <v>0</v>
      </c>
      <c r="O1426">
        <v>3.76</v>
      </c>
      <c r="P1426" s="2" t="s">
        <v>42</v>
      </c>
      <c r="Q1426">
        <v>0</v>
      </c>
      <c r="R1426">
        <v>119.34</v>
      </c>
      <c r="S1426">
        <v>91.09</v>
      </c>
      <c r="T1426">
        <v>28.25</v>
      </c>
      <c r="U1426">
        <f t="shared" si="22"/>
        <v>0</v>
      </c>
    </row>
    <row r="1427" spans="1:21" x14ac:dyDescent="0.25">
      <c r="A1427" s="2" t="s">
        <v>2149</v>
      </c>
      <c r="B1427" s="2" t="s">
        <v>1754</v>
      </c>
      <c r="C1427" s="1">
        <v>45801</v>
      </c>
      <c r="D1427" s="2" t="s">
        <v>38</v>
      </c>
      <c r="E1427" s="2" t="s">
        <v>71</v>
      </c>
      <c r="F1427" s="2" t="s">
        <v>85</v>
      </c>
      <c r="G1427">
        <v>2</v>
      </c>
      <c r="H1427" s="2" t="s">
        <v>77</v>
      </c>
      <c r="I1427">
        <v>96.43</v>
      </c>
      <c r="J1427">
        <v>10</v>
      </c>
      <c r="K1427">
        <v>9.64</v>
      </c>
      <c r="L1427">
        <v>28.92</v>
      </c>
      <c r="M1427">
        <v>41.91</v>
      </c>
      <c r="N1427">
        <v>0</v>
      </c>
      <c r="O1427">
        <v>2.82</v>
      </c>
      <c r="P1427" s="2" t="s">
        <v>42</v>
      </c>
      <c r="Q1427">
        <v>0</v>
      </c>
      <c r="R1427">
        <v>86.79</v>
      </c>
      <c r="S1427">
        <v>73.650000000000006</v>
      </c>
      <c r="T1427">
        <v>13.14</v>
      </c>
      <c r="U1427">
        <f t="shared" si="22"/>
        <v>0</v>
      </c>
    </row>
    <row r="1428" spans="1:21" x14ac:dyDescent="0.25">
      <c r="A1428" s="2" t="s">
        <v>2150</v>
      </c>
      <c r="B1428" s="2" t="s">
        <v>1143</v>
      </c>
      <c r="C1428" s="1">
        <v>45925</v>
      </c>
      <c r="D1428" s="2" t="s">
        <v>45</v>
      </c>
      <c r="E1428" s="2" t="s">
        <v>67</v>
      </c>
      <c r="F1428" s="2" t="s">
        <v>94</v>
      </c>
      <c r="G1428">
        <v>1</v>
      </c>
      <c r="H1428" s="2" t="s">
        <v>41</v>
      </c>
      <c r="I1428">
        <v>43.34</v>
      </c>
      <c r="J1428">
        <v>10</v>
      </c>
      <c r="K1428">
        <v>4.33</v>
      </c>
      <c r="L1428">
        <v>9.58</v>
      </c>
      <c r="M1428">
        <v>15.91</v>
      </c>
      <c r="N1428">
        <v>0</v>
      </c>
      <c r="O1428">
        <v>1.43</v>
      </c>
      <c r="P1428" s="2" t="s">
        <v>68</v>
      </c>
      <c r="Q1428">
        <v>39.01</v>
      </c>
      <c r="R1428">
        <v>0</v>
      </c>
      <c r="S1428">
        <v>26.92</v>
      </c>
      <c r="T1428">
        <v>-26.92</v>
      </c>
      <c r="U1428">
        <f t="shared" si="22"/>
        <v>0</v>
      </c>
    </row>
    <row r="1429" spans="1:21" x14ac:dyDescent="0.25">
      <c r="A1429" s="2" t="s">
        <v>2151</v>
      </c>
      <c r="B1429" s="2" t="s">
        <v>1400</v>
      </c>
      <c r="C1429" s="1">
        <v>45948</v>
      </c>
      <c r="D1429" s="2" t="s">
        <v>59</v>
      </c>
      <c r="E1429" s="2" t="s">
        <v>71</v>
      </c>
      <c r="F1429" s="2" t="s">
        <v>94</v>
      </c>
      <c r="G1429">
        <v>2</v>
      </c>
      <c r="H1429" s="2" t="s">
        <v>56</v>
      </c>
      <c r="I1429">
        <v>153.51</v>
      </c>
      <c r="J1429">
        <v>10</v>
      </c>
      <c r="K1429">
        <v>15.35</v>
      </c>
      <c r="L1429">
        <v>20.12</v>
      </c>
      <c r="M1429">
        <v>54.9</v>
      </c>
      <c r="N1429">
        <v>20.72</v>
      </c>
      <c r="O1429">
        <v>4.3099999999999996</v>
      </c>
      <c r="P1429" s="2" t="s">
        <v>42</v>
      </c>
      <c r="Q1429">
        <v>0</v>
      </c>
      <c r="R1429">
        <v>138.16</v>
      </c>
      <c r="S1429">
        <v>100.05</v>
      </c>
      <c r="T1429">
        <v>38.11</v>
      </c>
      <c r="U1429">
        <f t="shared" si="22"/>
        <v>0</v>
      </c>
    </row>
    <row r="1430" spans="1:21" x14ac:dyDescent="0.25">
      <c r="A1430" s="2" t="s">
        <v>2152</v>
      </c>
      <c r="B1430" s="2" t="s">
        <v>312</v>
      </c>
      <c r="C1430" s="1">
        <v>45697</v>
      </c>
      <c r="D1430" s="2" t="s">
        <v>38</v>
      </c>
      <c r="E1430" s="2" t="s">
        <v>71</v>
      </c>
      <c r="F1430" s="2" t="s">
        <v>47</v>
      </c>
      <c r="G1430">
        <v>1</v>
      </c>
      <c r="H1430" s="2" t="s">
        <v>64</v>
      </c>
      <c r="I1430">
        <v>94.4</v>
      </c>
      <c r="J1430">
        <v>5</v>
      </c>
      <c r="K1430">
        <v>4.72</v>
      </c>
      <c r="L1430">
        <v>21.88</v>
      </c>
      <c r="M1430">
        <v>51.18</v>
      </c>
      <c r="N1430">
        <v>0</v>
      </c>
      <c r="O1430">
        <v>2.9</v>
      </c>
      <c r="P1430" s="2" t="s">
        <v>42</v>
      </c>
      <c r="Q1430">
        <v>0</v>
      </c>
      <c r="R1430">
        <v>89.68</v>
      </c>
      <c r="S1430">
        <v>75.959999999999994</v>
      </c>
      <c r="T1430">
        <v>13.72</v>
      </c>
      <c r="U1430">
        <f t="shared" si="22"/>
        <v>1</v>
      </c>
    </row>
    <row r="1431" spans="1:21" x14ac:dyDescent="0.25">
      <c r="A1431" s="2" t="s">
        <v>2153</v>
      </c>
      <c r="B1431" s="2" t="s">
        <v>380</v>
      </c>
      <c r="C1431" s="1">
        <v>45873</v>
      </c>
      <c r="D1431" s="2" t="s">
        <v>38</v>
      </c>
      <c r="E1431" s="2" t="s">
        <v>55</v>
      </c>
      <c r="F1431" s="2" t="s">
        <v>51</v>
      </c>
      <c r="G1431">
        <v>3</v>
      </c>
      <c r="H1431" s="2" t="s">
        <v>48</v>
      </c>
      <c r="I1431">
        <v>268.49</v>
      </c>
      <c r="J1431">
        <v>0</v>
      </c>
      <c r="K1431">
        <v>0</v>
      </c>
      <c r="L1431">
        <v>60.62</v>
      </c>
      <c r="M1431">
        <v>111.32</v>
      </c>
      <c r="N1431">
        <v>0</v>
      </c>
      <c r="O1431">
        <v>8.09</v>
      </c>
      <c r="P1431" s="2" t="s">
        <v>42</v>
      </c>
      <c r="Q1431">
        <v>0</v>
      </c>
      <c r="R1431">
        <v>268.49</v>
      </c>
      <c r="S1431">
        <v>180.03</v>
      </c>
      <c r="T1431">
        <v>88.46</v>
      </c>
      <c r="U1431">
        <f t="shared" si="22"/>
        <v>0</v>
      </c>
    </row>
    <row r="1432" spans="1:21" x14ac:dyDescent="0.25">
      <c r="A1432" s="2" t="s">
        <v>2154</v>
      </c>
      <c r="B1432" s="2" t="s">
        <v>203</v>
      </c>
      <c r="C1432" s="1">
        <v>45656</v>
      </c>
      <c r="D1432" s="2" t="s">
        <v>45</v>
      </c>
      <c r="E1432" s="2" t="s">
        <v>46</v>
      </c>
      <c r="F1432" s="2" t="s">
        <v>40</v>
      </c>
      <c r="G1432">
        <v>1</v>
      </c>
      <c r="H1432" s="2" t="s">
        <v>52</v>
      </c>
      <c r="I1432">
        <v>188.54</v>
      </c>
      <c r="J1432">
        <v>0</v>
      </c>
      <c r="K1432">
        <v>0</v>
      </c>
      <c r="L1432">
        <v>15.96</v>
      </c>
      <c r="M1432">
        <v>74.400000000000006</v>
      </c>
      <c r="N1432">
        <v>0</v>
      </c>
      <c r="O1432">
        <v>5.77</v>
      </c>
      <c r="P1432" s="2" t="s">
        <v>42</v>
      </c>
      <c r="Q1432">
        <v>0</v>
      </c>
      <c r="R1432">
        <v>188.54</v>
      </c>
      <c r="S1432">
        <v>96.13</v>
      </c>
      <c r="T1432">
        <v>92.41</v>
      </c>
      <c r="U1432">
        <f t="shared" si="22"/>
        <v>0</v>
      </c>
    </row>
    <row r="1433" spans="1:21" x14ac:dyDescent="0.25">
      <c r="A1433" s="2" t="s">
        <v>2155</v>
      </c>
      <c r="B1433" s="2" t="s">
        <v>920</v>
      </c>
      <c r="C1433" s="1">
        <v>45917</v>
      </c>
      <c r="D1433" s="2" t="s">
        <v>59</v>
      </c>
      <c r="E1433" s="2" t="s">
        <v>67</v>
      </c>
      <c r="F1433" s="2" t="s">
        <v>47</v>
      </c>
      <c r="G1433">
        <v>2</v>
      </c>
      <c r="H1433" s="2" t="s">
        <v>77</v>
      </c>
      <c r="I1433">
        <v>57.08</v>
      </c>
      <c r="J1433">
        <v>0</v>
      </c>
      <c r="K1433">
        <v>0</v>
      </c>
      <c r="L1433">
        <v>51.2</v>
      </c>
      <c r="M1433">
        <v>32.619999999999997</v>
      </c>
      <c r="N1433">
        <v>8.56</v>
      </c>
      <c r="O1433">
        <v>1.96</v>
      </c>
      <c r="P1433" s="2" t="s">
        <v>42</v>
      </c>
      <c r="Q1433">
        <v>0</v>
      </c>
      <c r="R1433">
        <v>57.08</v>
      </c>
      <c r="S1433">
        <v>94.34</v>
      </c>
      <c r="T1433">
        <v>-37.26</v>
      </c>
      <c r="U1433">
        <f t="shared" si="22"/>
        <v>0</v>
      </c>
    </row>
    <row r="1434" spans="1:21" x14ac:dyDescent="0.25">
      <c r="A1434" s="2" t="s">
        <v>2156</v>
      </c>
      <c r="B1434" s="2" t="s">
        <v>1778</v>
      </c>
      <c r="C1434" s="1">
        <v>45803</v>
      </c>
      <c r="D1434" s="2" t="s">
        <v>45</v>
      </c>
      <c r="E1434" s="2" t="s">
        <v>67</v>
      </c>
      <c r="F1434" s="2" t="s">
        <v>51</v>
      </c>
      <c r="G1434">
        <v>2</v>
      </c>
      <c r="H1434" s="2" t="s">
        <v>77</v>
      </c>
      <c r="I1434">
        <v>51.04</v>
      </c>
      <c r="J1434">
        <v>0</v>
      </c>
      <c r="K1434">
        <v>0</v>
      </c>
      <c r="L1434">
        <v>15.4</v>
      </c>
      <c r="M1434">
        <v>15.01</v>
      </c>
      <c r="N1434">
        <v>0</v>
      </c>
      <c r="O1434">
        <v>1.78</v>
      </c>
      <c r="P1434" s="2" t="s">
        <v>42</v>
      </c>
      <c r="Q1434">
        <v>0</v>
      </c>
      <c r="R1434">
        <v>51.04</v>
      </c>
      <c r="S1434">
        <v>32.19</v>
      </c>
      <c r="T1434">
        <v>18.850000000000001</v>
      </c>
      <c r="U1434">
        <f t="shared" si="22"/>
        <v>0</v>
      </c>
    </row>
    <row r="1435" spans="1:21" x14ac:dyDescent="0.25">
      <c r="A1435" s="2" t="s">
        <v>2157</v>
      </c>
      <c r="B1435" s="2" t="s">
        <v>469</v>
      </c>
      <c r="C1435" s="1">
        <v>45737</v>
      </c>
      <c r="D1435" s="2" t="s">
        <v>45</v>
      </c>
      <c r="E1435" s="2" t="s">
        <v>67</v>
      </c>
      <c r="F1435" s="2" t="s">
        <v>94</v>
      </c>
      <c r="G1435">
        <v>2</v>
      </c>
      <c r="H1435" s="2" t="s">
        <v>64</v>
      </c>
      <c r="I1435">
        <v>52.71</v>
      </c>
      <c r="J1435">
        <v>0</v>
      </c>
      <c r="K1435">
        <v>0</v>
      </c>
      <c r="L1435">
        <v>27</v>
      </c>
      <c r="M1435">
        <v>22.02</v>
      </c>
      <c r="N1435">
        <v>0</v>
      </c>
      <c r="O1435">
        <v>1.83</v>
      </c>
      <c r="P1435" s="2" t="s">
        <v>42</v>
      </c>
      <c r="Q1435">
        <v>0</v>
      </c>
      <c r="R1435">
        <v>52.71</v>
      </c>
      <c r="S1435">
        <v>50.85</v>
      </c>
      <c r="T1435">
        <v>1.86</v>
      </c>
      <c r="U1435">
        <f t="shared" si="22"/>
        <v>0</v>
      </c>
    </row>
    <row r="1436" spans="1:21" x14ac:dyDescent="0.25">
      <c r="A1436" s="2" t="s">
        <v>2158</v>
      </c>
      <c r="B1436" s="2" t="s">
        <v>913</v>
      </c>
      <c r="C1436" s="1">
        <v>45584</v>
      </c>
      <c r="D1436" s="2" t="s">
        <v>45</v>
      </c>
      <c r="E1436" s="2" t="s">
        <v>46</v>
      </c>
      <c r="F1436" s="2" t="s">
        <v>94</v>
      </c>
      <c r="G1436">
        <v>1</v>
      </c>
      <c r="H1436" s="2" t="s">
        <v>56</v>
      </c>
      <c r="I1436">
        <v>41.97</v>
      </c>
      <c r="J1436">
        <v>25</v>
      </c>
      <c r="K1436">
        <v>10.49</v>
      </c>
      <c r="L1436">
        <v>13.42</v>
      </c>
      <c r="M1436">
        <v>12.24</v>
      </c>
      <c r="N1436">
        <v>0</v>
      </c>
      <c r="O1436">
        <v>1.21</v>
      </c>
      <c r="P1436" s="2" t="s">
        <v>42</v>
      </c>
      <c r="Q1436">
        <v>0</v>
      </c>
      <c r="R1436">
        <v>31.48</v>
      </c>
      <c r="S1436">
        <v>26.87</v>
      </c>
      <c r="T1436">
        <v>4.6100000000000003</v>
      </c>
      <c r="U1436">
        <f t="shared" si="22"/>
        <v>0</v>
      </c>
    </row>
    <row r="1437" spans="1:21" x14ac:dyDescent="0.25">
      <c r="A1437" s="2" t="s">
        <v>2159</v>
      </c>
      <c r="B1437" s="2" t="s">
        <v>509</v>
      </c>
      <c r="C1437" s="1">
        <v>45567</v>
      </c>
      <c r="D1437" s="2" t="s">
        <v>80</v>
      </c>
      <c r="E1437" s="2" t="s">
        <v>67</v>
      </c>
      <c r="F1437" s="2" t="s">
        <v>40</v>
      </c>
      <c r="G1437">
        <v>1</v>
      </c>
      <c r="H1437" s="2" t="s">
        <v>56</v>
      </c>
      <c r="I1437">
        <v>55.06</v>
      </c>
      <c r="J1437">
        <v>0</v>
      </c>
      <c r="K1437">
        <v>0</v>
      </c>
      <c r="L1437">
        <v>5.82</v>
      </c>
      <c r="M1437">
        <v>21.08</v>
      </c>
      <c r="N1437">
        <v>4.4000000000000004</v>
      </c>
      <c r="O1437">
        <v>1.9</v>
      </c>
      <c r="P1437" s="2" t="s">
        <v>42</v>
      </c>
      <c r="Q1437">
        <v>0</v>
      </c>
      <c r="R1437">
        <v>55.06</v>
      </c>
      <c r="S1437">
        <v>33.200000000000003</v>
      </c>
      <c r="T1437">
        <v>21.86</v>
      </c>
      <c r="U1437">
        <f t="shared" si="22"/>
        <v>0</v>
      </c>
    </row>
    <row r="1438" spans="1:21" x14ac:dyDescent="0.25">
      <c r="A1438" s="2" t="s">
        <v>2160</v>
      </c>
      <c r="B1438" s="2" t="s">
        <v>747</v>
      </c>
      <c r="C1438" s="1">
        <v>45616</v>
      </c>
      <c r="D1438" s="2" t="s">
        <v>45</v>
      </c>
      <c r="E1438" s="2" t="s">
        <v>71</v>
      </c>
      <c r="F1438" s="2" t="s">
        <v>47</v>
      </c>
      <c r="G1438">
        <v>2</v>
      </c>
      <c r="H1438" s="2" t="s">
        <v>52</v>
      </c>
      <c r="I1438">
        <v>208.61</v>
      </c>
      <c r="J1438">
        <v>10</v>
      </c>
      <c r="K1438">
        <v>20.86</v>
      </c>
      <c r="L1438">
        <v>32.979999999999997</v>
      </c>
      <c r="M1438">
        <v>73.91</v>
      </c>
      <c r="N1438">
        <v>0</v>
      </c>
      <c r="O1438">
        <v>5.74</v>
      </c>
      <c r="P1438" s="2" t="s">
        <v>42</v>
      </c>
      <c r="Q1438">
        <v>0</v>
      </c>
      <c r="R1438">
        <v>187.75</v>
      </c>
      <c r="S1438">
        <v>112.63</v>
      </c>
      <c r="T1438">
        <v>75.12</v>
      </c>
      <c r="U1438">
        <f t="shared" si="22"/>
        <v>0</v>
      </c>
    </row>
    <row r="1439" spans="1:21" x14ac:dyDescent="0.25">
      <c r="A1439" s="2" t="s">
        <v>2161</v>
      </c>
      <c r="B1439" s="2" t="s">
        <v>2162</v>
      </c>
      <c r="C1439" s="1">
        <v>45819</v>
      </c>
      <c r="D1439" s="2" t="s">
        <v>59</v>
      </c>
      <c r="E1439" s="2" t="s">
        <v>46</v>
      </c>
      <c r="F1439" s="2" t="s">
        <v>40</v>
      </c>
      <c r="G1439">
        <v>1</v>
      </c>
      <c r="H1439" s="2" t="s">
        <v>64</v>
      </c>
      <c r="I1439">
        <v>59.15</v>
      </c>
      <c r="J1439">
        <v>20</v>
      </c>
      <c r="K1439">
        <v>11.83</v>
      </c>
      <c r="L1439">
        <v>9.98</v>
      </c>
      <c r="M1439">
        <v>19.36</v>
      </c>
      <c r="N1439">
        <v>7.1</v>
      </c>
      <c r="O1439">
        <v>1.67</v>
      </c>
      <c r="P1439" s="2" t="s">
        <v>42</v>
      </c>
      <c r="Q1439">
        <v>0</v>
      </c>
      <c r="R1439">
        <v>47.32</v>
      </c>
      <c r="S1439">
        <v>38.11</v>
      </c>
      <c r="T1439">
        <v>9.2100000000000009</v>
      </c>
      <c r="U1439">
        <f t="shared" si="22"/>
        <v>0</v>
      </c>
    </row>
    <row r="1440" spans="1:21" x14ac:dyDescent="0.25">
      <c r="A1440" s="2" t="s">
        <v>2163</v>
      </c>
      <c r="B1440" s="2" t="s">
        <v>1650</v>
      </c>
      <c r="C1440" s="1">
        <v>45803</v>
      </c>
      <c r="D1440" s="2" t="s">
        <v>59</v>
      </c>
      <c r="E1440" s="2" t="s">
        <v>71</v>
      </c>
      <c r="F1440" s="2" t="s">
        <v>47</v>
      </c>
      <c r="G1440">
        <v>3</v>
      </c>
      <c r="H1440" s="2" t="s">
        <v>56</v>
      </c>
      <c r="I1440">
        <v>382.77</v>
      </c>
      <c r="J1440">
        <v>5</v>
      </c>
      <c r="K1440">
        <v>19.14</v>
      </c>
      <c r="L1440">
        <v>55.48</v>
      </c>
      <c r="M1440">
        <v>151.43</v>
      </c>
      <c r="N1440">
        <v>54.54</v>
      </c>
      <c r="O1440">
        <v>10.85</v>
      </c>
      <c r="P1440" s="2" t="s">
        <v>42</v>
      </c>
      <c r="Q1440">
        <v>0</v>
      </c>
      <c r="R1440">
        <v>363.63</v>
      </c>
      <c r="S1440">
        <v>272.3</v>
      </c>
      <c r="T1440">
        <v>91.33</v>
      </c>
      <c r="U1440">
        <f t="shared" si="22"/>
        <v>0</v>
      </c>
    </row>
    <row r="1441" spans="1:21" x14ac:dyDescent="0.25">
      <c r="A1441" s="2" t="s">
        <v>2164</v>
      </c>
      <c r="B1441" s="2" t="s">
        <v>572</v>
      </c>
      <c r="C1441" s="1">
        <v>45865</v>
      </c>
      <c r="D1441" s="2" t="s">
        <v>45</v>
      </c>
      <c r="E1441" s="2" t="s">
        <v>39</v>
      </c>
      <c r="F1441" s="2" t="s">
        <v>51</v>
      </c>
      <c r="G1441">
        <v>3</v>
      </c>
      <c r="H1441" s="2" t="s">
        <v>77</v>
      </c>
      <c r="I1441">
        <v>153.96</v>
      </c>
      <c r="J1441">
        <v>15</v>
      </c>
      <c r="K1441">
        <v>23.09</v>
      </c>
      <c r="L1441">
        <v>85.46</v>
      </c>
      <c r="M1441">
        <v>63.47</v>
      </c>
      <c r="N1441">
        <v>0</v>
      </c>
      <c r="O1441">
        <v>4.0999999999999996</v>
      </c>
      <c r="P1441" s="2" t="s">
        <v>42</v>
      </c>
      <c r="Q1441">
        <v>0</v>
      </c>
      <c r="R1441">
        <v>130.87</v>
      </c>
      <c r="S1441">
        <v>153.03</v>
      </c>
      <c r="T1441">
        <v>-22.16</v>
      </c>
      <c r="U1441">
        <f t="shared" si="22"/>
        <v>0</v>
      </c>
    </row>
    <row r="1442" spans="1:21" x14ac:dyDescent="0.25">
      <c r="A1442" s="2" t="s">
        <v>2165</v>
      </c>
      <c r="B1442" s="2" t="s">
        <v>656</v>
      </c>
      <c r="C1442" s="1">
        <v>45980</v>
      </c>
      <c r="D1442" s="2" t="s">
        <v>38</v>
      </c>
      <c r="E1442" s="2" t="s">
        <v>67</v>
      </c>
      <c r="F1442" s="2" t="s">
        <v>51</v>
      </c>
      <c r="G1442">
        <v>1</v>
      </c>
      <c r="H1442" s="2" t="s">
        <v>64</v>
      </c>
      <c r="I1442">
        <v>95.89</v>
      </c>
      <c r="J1442">
        <v>5</v>
      </c>
      <c r="K1442">
        <v>4.79</v>
      </c>
      <c r="L1442">
        <v>9.34</v>
      </c>
      <c r="M1442">
        <v>27.4</v>
      </c>
      <c r="N1442">
        <v>0</v>
      </c>
      <c r="O1442">
        <v>2.94</v>
      </c>
      <c r="P1442" s="2" t="s">
        <v>42</v>
      </c>
      <c r="Q1442">
        <v>0</v>
      </c>
      <c r="R1442">
        <v>91.1</v>
      </c>
      <c r="S1442">
        <v>39.68</v>
      </c>
      <c r="T1442">
        <v>51.42</v>
      </c>
      <c r="U1442">
        <f t="shared" si="22"/>
        <v>0</v>
      </c>
    </row>
    <row r="1443" spans="1:21" x14ac:dyDescent="0.25">
      <c r="A1443" s="2" t="s">
        <v>2166</v>
      </c>
      <c r="B1443" s="2" t="s">
        <v>172</v>
      </c>
      <c r="C1443" s="1">
        <v>45673</v>
      </c>
      <c r="D1443" s="2" t="s">
        <v>38</v>
      </c>
      <c r="E1443" s="2" t="s">
        <v>55</v>
      </c>
      <c r="F1443" s="2" t="s">
        <v>40</v>
      </c>
      <c r="G1443">
        <v>5</v>
      </c>
      <c r="H1443" s="2" t="s">
        <v>74</v>
      </c>
      <c r="I1443">
        <v>169.52</v>
      </c>
      <c r="J1443">
        <v>25</v>
      </c>
      <c r="K1443">
        <v>42.38</v>
      </c>
      <c r="L1443">
        <v>76.34</v>
      </c>
      <c r="M1443">
        <v>64.849999999999994</v>
      </c>
      <c r="N1443">
        <v>0</v>
      </c>
      <c r="O1443">
        <v>3.99</v>
      </c>
      <c r="P1443" s="2" t="s">
        <v>42</v>
      </c>
      <c r="Q1443">
        <v>0</v>
      </c>
      <c r="R1443">
        <v>127.14</v>
      </c>
      <c r="S1443">
        <v>145.18</v>
      </c>
      <c r="T1443">
        <v>-18.04</v>
      </c>
      <c r="U1443">
        <f t="shared" si="22"/>
        <v>0</v>
      </c>
    </row>
    <row r="1444" spans="1:21" x14ac:dyDescent="0.25">
      <c r="A1444" s="2" t="s">
        <v>2167</v>
      </c>
      <c r="B1444" s="2" t="s">
        <v>950</v>
      </c>
      <c r="C1444" s="1">
        <v>45381</v>
      </c>
      <c r="D1444" s="2" t="s">
        <v>59</v>
      </c>
      <c r="E1444" s="2" t="s">
        <v>67</v>
      </c>
      <c r="F1444" s="2" t="s">
        <v>40</v>
      </c>
      <c r="G1444">
        <v>3</v>
      </c>
      <c r="H1444" s="2" t="s">
        <v>64</v>
      </c>
      <c r="I1444">
        <v>123.83</v>
      </c>
      <c r="J1444">
        <v>10</v>
      </c>
      <c r="K1444">
        <v>12.38</v>
      </c>
      <c r="L1444">
        <v>30.4</v>
      </c>
      <c r="M1444">
        <v>46.03</v>
      </c>
      <c r="N1444">
        <v>16.72</v>
      </c>
      <c r="O1444">
        <v>3.53</v>
      </c>
      <c r="P1444" s="2" t="s">
        <v>42</v>
      </c>
      <c r="Q1444">
        <v>0</v>
      </c>
      <c r="R1444">
        <v>111.45</v>
      </c>
      <c r="S1444">
        <v>96.68</v>
      </c>
      <c r="T1444">
        <v>14.77</v>
      </c>
      <c r="U1444">
        <f t="shared" si="22"/>
        <v>0</v>
      </c>
    </row>
    <row r="1445" spans="1:21" x14ac:dyDescent="0.25">
      <c r="A1445" s="2" t="s">
        <v>2168</v>
      </c>
      <c r="B1445" s="2" t="s">
        <v>1311</v>
      </c>
      <c r="C1445" s="1">
        <v>45739</v>
      </c>
      <c r="D1445" s="2" t="s">
        <v>59</v>
      </c>
      <c r="E1445" s="2" t="s">
        <v>55</v>
      </c>
      <c r="F1445" s="2" t="s">
        <v>47</v>
      </c>
      <c r="G1445">
        <v>2</v>
      </c>
      <c r="H1445" s="2" t="s">
        <v>74</v>
      </c>
      <c r="I1445">
        <v>127.18</v>
      </c>
      <c r="J1445">
        <v>0</v>
      </c>
      <c r="K1445">
        <v>0</v>
      </c>
      <c r="L1445">
        <v>29.7</v>
      </c>
      <c r="M1445">
        <v>40.46</v>
      </c>
      <c r="N1445">
        <v>19.079999999999998</v>
      </c>
      <c r="O1445">
        <v>3.99</v>
      </c>
      <c r="P1445" s="2" t="s">
        <v>42</v>
      </c>
      <c r="Q1445">
        <v>0</v>
      </c>
      <c r="R1445">
        <v>127.18</v>
      </c>
      <c r="S1445">
        <v>93.23</v>
      </c>
      <c r="T1445">
        <v>33.950000000000003</v>
      </c>
      <c r="U1445">
        <f t="shared" si="22"/>
        <v>0</v>
      </c>
    </row>
    <row r="1446" spans="1:21" x14ac:dyDescent="0.25">
      <c r="A1446" s="2" t="s">
        <v>2169</v>
      </c>
      <c r="B1446" s="2" t="s">
        <v>461</v>
      </c>
      <c r="C1446" s="1">
        <v>45877</v>
      </c>
      <c r="D1446" s="2" t="s">
        <v>80</v>
      </c>
      <c r="E1446" s="2" t="s">
        <v>71</v>
      </c>
      <c r="F1446" s="2" t="s">
        <v>40</v>
      </c>
      <c r="G1446">
        <v>3</v>
      </c>
      <c r="H1446" s="2" t="s">
        <v>56</v>
      </c>
      <c r="I1446">
        <v>595.42999999999995</v>
      </c>
      <c r="J1446">
        <v>15</v>
      </c>
      <c r="K1446">
        <v>89.31</v>
      </c>
      <c r="L1446">
        <v>45.66</v>
      </c>
      <c r="M1446">
        <v>206.85</v>
      </c>
      <c r="N1446">
        <v>40.49</v>
      </c>
      <c r="O1446">
        <v>14.98</v>
      </c>
      <c r="P1446" s="2" t="s">
        <v>42</v>
      </c>
      <c r="Q1446">
        <v>0</v>
      </c>
      <c r="R1446">
        <v>506.12</v>
      </c>
      <c r="S1446">
        <v>307.98</v>
      </c>
      <c r="T1446">
        <v>198.14</v>
      </c>
      <c r="U1446">
        <f t="shared" si="22"/>
        <v>0</v>
      </c>
    </row>
    <row r="1447" spans="1:21" x14ac:dyDescent="0.25">
      <c r="A1447" s="2" t="s">
        <v>2170</v>
      </c>
      <c r="B1447" s="2" t="s">
        <v>2171</v>
      </c>
      <c r="C1447" s="1">
        <v>46019</v>
      </c>
      <c r="D1447" s="2" t="s">
        <v>38</v>
      </c>
      <c r="E1447" s="2" t="s">
        <v>46</v>
      </c>
      <c r="F1447" s="2" t="s">
        <v>51</v>
      </c>
      <c r="G1447">
        <v>1</v>
      </c>
      <c r="H1447" s="2" t="s">
        <v>41</v>
      </c>
      <c r="I1447">
        <v>185.03</v>
      </c>
      <c r="J1447">
        <v>0</v>
      </c>
      <c r="K1447">
        <v>0</v>
      </c>
      <c r="L1447">
        <v>5.42</v>
      </c>
      <c r="M1447">
        <v>66.69</v>
      </c>
      <c r="N1447">
        <v>0</v>
      </c>
      <c r="O1447">
        <v>5.67</v>
      </c>
      <c r="P1447" s="2" t="s">
        <v>68</v>
      </c>
      <c r="Q1447">
        <v>185.03</v>
      </c>
      <c r="R1447">
        <v>0</v>
      </c>
      <c r="S1447">
        <v>77.78</v>
      </c>
      <c r="T1447">
        <v>-77.78</v>
      </c>
      <c r="U1447">
        <f t="shared" si="22"/>
        <v>0</v>
      </c>
    </row>
    <row r="1448" spans="1:21" x14ac:dyDescent="0.25">
      <c r="A1448" s="2" t="s">
        <v>2172</v>
      </c>
      <c r="B1448" s="2" t="s">
        <v>2111</v>
      </c>
      <c r="C1448" s="1">
        <v>45640</v>
      </c>
      <c r="D1448" s="2" t="s">
        <v>38</v>
      </c>
      <c r="E1448" s="2" t="s">
        <v>55</v>
      </c>
      <c r="F1448" s="2" t="s">
        <v>51</v>
      </c>
      <c r="G1448">
        <v>1</v>
      </c>
      <c r="H1448" s="2" t="s">
        <v>64</v>
      </c>
      <c r="I1448">
        <v>56</v>
      </c>
      <c r="J1448">
        <v>0</v>
      </c>
      <c r="K1448">
        <v>0</v>
      </c>
      <c r="L1448">
        <v>12.86</v>
      </c>
      <c r="M1448">
        <v>19.82</v>
      </c>
      <c r="N1448">
        <v>0</v>
      </c>
      <c r="O1448">
        <v>1.92</v>
      </c>
      <c r="P1448" s="2" t="s">
        <v>42</v>
      </c>
      <c r="Q1448">
        <v>0</v>
      </c>
      <c r="R1448">
        <v>56</v>
      </c>
      <c r="S1448">
        <v>34.6</v>
      </c>
      <c r="T1448">
        <v>21.4</v>
      </c>
      <c r="U1448">
        <f t="shared" si="22"/>
        <v>0</v>
      </c>
    </row>
    <row r="1449" spans="1:21" x14ac:dyDescent="0.25">
      <c r="A1449" s="2" t="s">
        <v>2173</v>
      </c>
      <c r="B1449" s="2" t="s">
        <v>267</v>
      </c>
      <c r="C1449" s="1">
        <v>45707</v>
      </c>
      <c r="D1449" s="2" t="s">
        <v>80</v>
      </c>
      <c r="E1449" s="2" t="s">
        <v>46</v>
      </c>
      <c r="F1449" s="2" t="s">
        <v>94</v>
      </c>
      <c r="G1449">
        <v>3</v>
      </c>
      <c r="H1449" s="2" t="s">
        <v>56</v>
      </c>
      <c r="I1449">
        <v>273.3</v>
      </c>
      <c r="J1449">
        <v>10</v>
      </c>
      <c r="K1449">
        <v>27.33</v>
      </c>
      <c r="L1449">
        <v>42.94</v>
      </c>
      <c r="M1449">
        <v>114.51</v>
      </c>
      <c r="N1449">
        <v>19.68</v>
      </c>
      <c r="O1449">
        <v>7.43</v>
      </c>
      <c r="P1449" s="2" t="s">
        <v>42</v>
      </c>
      <c r="Q1449">
        <v>0</v>
      </c>
      <c r="R1449">
        <v>245.97</v>
      </c>
      <c r="S1449">
        <v>184.56</v>
      </c>
      <c r="T1449">
        <v>61.41</v>
      </c>
      <c r="U1449">
        <f t="shared" si="22"/>
        <v>1</v>
      </c>
    </row>
    <row r="1450" spans="1:21" x14ac:dyDescent="0.25">
      <c r="A1450" s="2" t="s">
        <v>2174</v>
      </c>
      <c r="B1450" s="2" t="s">
        <v>1679</v>
      </c>
      <c r="C1450" s="1">
        <v>45597</v>
      </c>
      <c r="D1450" s="2" t="s">
        <v>45</v>
      </c>
      <c r="E1450" s="2" t="s">
        <v>71</v>
      </c>
      <c r="F1450" s="2" t="s">
        <v>51</v>
      </c>
      <c r="G1450">
        <v>1</v>
      </c>
      <c r="H1450" s="2" t="s">
        <v>64</v>
      </c>
      <c r="I1450">
        <v>24.88</v>
      </c>
      <c r="J1450">
        <v>0</v>
      </c>
      <c r="K1450">
        <v>0</v>
      </c>
      <c r="L1450">
        <v>7.02</v>
      </c>
      <c r="M1450">
        <v>13.77</v>
      </c>
      <c r="N1450">
        <v>0</v>
      </c>
      <c r="O1450">
        <v>1.02</v>
      </c>
      <c r="P1450" s="2" t="s">
        <v>42</v>
      </c>
      <c r="Q1450">
        <v>0</v>
      </c>
      <c r="R1450">
        <v>24.88</v>
      </c>
      <c r="S1450">
        <v>21.81</v>
      </c>
      <c r="T1450">
        <v>3.07</v>
      </c>
      <c r="U1450">
        <f t="shared" si="22"/>
        <v>0</v>
      </c>
    </row>
    <row r="1451" spans="1:21" x14ac:dyDescent="0.25">
      <c r="A1451" s="2" t="s">
        <v>2175</v>
      </c>
      <c r="B1451" s="2" t="s">
        <v>305</v>
      </c>
      <c r="C1451" s="1">
        <v>45495</v>
      </c>
      <c r="D1451" s="2" t="s">
        <v>45</v>
      </c>
      <c r="E1451" s="2" t="s">
        <v>71</v>
      </c>
      <c r="F1451" s="2" t="s">
        <v>51</v>
      </c>
      <c r="G1451">
        <v>1</v>
      </c>
      <c r="H1451" s="2" t="s">
        <v>48</v>
      </c>
      <c r="I1451">
        <v>88.77</v>
      </c>
      <c r="J1451">
        <v>0</v>
      </c>
      <c r="K1451">
        <v>0</v>
      </c>
      <c r="L1451">
        <v>34.979999999999997</v>
      </c>
      <c r="M1451">
        <v>30.84</v>
      </c>
      <c r="N1451">
        <v>0</v>
      </c>
      <c r="O1451">
        <v>2.87</v>
      </c>
      <c r="P1451" s="2" t="s">
        <v>42</v>
      </c>
      <c r="Q1451">
        <v>0</v>
      </c>
      <c r="R1451">
        <v>88.77</v>
      </c>
      <c r="S1451">
        <v>68.69</v>
      </c>
      <c r="T1451">
        <v>20.079999999999998</v>
      </c>
      <c r="U1451">
        <f t="shared" si="22"/>
        <v>0</v>
      </c>
    </row>
    <row r="1452" spans="1:21" x14ac:dyDescent="0.25">
      <c r="A1452" s="2" t="s">
        <v>2176</v>
      </c>
      <c r="B1452" s="2" t="s">
        <v>1841</v>
      </c>
      <c r="C1452" s="1">
        <v>45622</v>
      </c>
      <c r="D1452" s="2" t="s">
        <v>38</v>
      </c>
      <c r="E1452" s="2" t="s">
        <v>46</v>
      </c>
      <c r="F1452" s="2" t="s">
        <v>47</v>
      </c>
      <c r="G1452">
        <v>2</v>
      </c>
      <c r="H1452" s="2" t="s">
        <v>56</v>
      </c>
      <c r="I1452">
        <v>107.36</v>
      </c>
      <c r="J1452">
        <v>5</v>
      </c>
      <c r="K1452">
        <v>5.37</v>
      </c>
      <c r="L1452">
        <v>33.299999999999997</v>
      </c>
      <c r="M1452">
        <v>50.27</v>
      </c>
      <c r="N1452">
        <v>0</v>
      </c>
      <c r="O1452">
        <v>3.26</v>
      </c>
      <c r="P1452" s="2" t="s">
        <v>42</v>
      </c>
      <c r="Q1452">
        <v>0</v>
      </c>
      <c r="R1452">
        <v>101.99</v>
      </c>
      <c r="S1452">
        <v>86.83</v>
      </c>
      <c r="T1452">
        <v>15.16</v>
      </c>
      <c r="U1452">
        <f t="shared" si="22"/>
        <v>0</v>
      </c>
    </row>
    <row r="1453" spans="1:21" x14ac:dyDescent="0.25">
      <c r="A1453" s="2" t="s">
        <v>2177</v>
      </c>
      <c r="B1453" s="2" t="s">
        <v>1704</v>
      </c>
      <c r="C1453" s="1">
        <v>45825</v>
      </c>
      <c r="D1453" s="2" t="s">
        <v>38</v>
      </c>
      <c r="E1453" s="2" t="s">
        <v>46</v>
      </c>
      <c r="F1453" s="2" t="s">
        <v>85</v>
      </c>
      <c r="G1453">
        <v>1</v>
      </c>
      <c r="H1453" s="2" t="s">
        <v>74</v>
      </c>
      <c r="I1453">
        <v>52.69</v>
      </c>
      <c r="J1453">
        <v>20</v>
      </c>
      <c r="K1453">
        <v>10.54</v>
      </c>
      <c r="L1453">
        <v>5.82</v>
      </c>
      <c r="M1453">
        <v>23.14</v>
      </c>
      <c r="N1453">
        <v>0</v>
      </c>
      <c r="O1453">
        <v>1.52</v>
      </c>
      <c r="P1453" s="2" t="s">
        <v>42</v>
      </c>
      <c r="Q1453">
        <v>0</v>
      </c>
      <c r="R1453">
        <v>42.15</v>
      </c>
      <c r="S1453">
        <v>30.48</v>
      </c>
      <c r="T1453">
        <v>11.67</v>
      </c>
      <c r="U1453">
        <f t="shared" si="22"/>
        <v>0</v>
      </c>
    </row>
    <row r="1454" spans="1:21" x14ac:dyDescent="0.25">
      <c r="A1454" s="2" t="s">
        <v>2178</v>
      </c>
      <c r="B1454" s="2" t="s">
        <v>58</v>
      </c>
      <c r="C1454" s="1">
        <v>45886</v>
      </c>
      <c r="D1454" s="2" t="s">
        <v>45</v>
      </c>
      <c r="E1454" s="2" t="s">
        <v>55</v>
      </c>
      <c r="F1454" s="2" t="s">
        <v>94</v>
      </c>
      <c r="G1454">
        <v>1</v>
      </c>
      <c r="H1454" s="2" t="s">
        <v>74</v>
      </c>
      <c r="I1454">
        <v>96.12</v>
      </c>
      <c r="J1454">
        <v>15</v>
      </c>
      <c r="K1454">
        <v>14.42</v>
      </c>
      <c r="L1454">
        <v>42.66</v>
      </c>
      <c r="M1454">
        <v>59.97</v>
      </c>
      <c r="N1454">
        <v>0</v>
      </c>
      <c r="O1454">
        <v>2.67</v>
      </c>
      <c r="P1454" s="2" t="s">
        <v>42</v>
      </c>
      <c r="Q1454">
        <v>0</v>
      </c>
      <c r="R1454">
        <v>81.7</v>
      </c>
      <c r="S1454">
        <v>105.3</v>
      </c>
      <c r="T1454">
        <v>-23.6</v>
      </c>
      <c r="U1454">
        <f t="shared" si="22"/>
        <v>0</v>
      </c>
    </row>
    <row r="1455" spans="1:21" x14ac:dyDescent="0.25">
      <c r="A1455" s="2" t="s">
        <v>2179</v>
      </c>
      <c r="B1455" s="2" t="s">
        <v>2180</v>
      </c>
      <c r="C1455" s="1">
        <v>45791</v>
      </c>
      <c r="D1455" s="2" t="s">
        <v>45</v>
      </c>
      <c r="E1455" s="2" t="s">
        <v>55</v>
      </c>
      <c r="F1455" s="2" t="s">
        <v>47</v>
      </c>
      <c r="G1455">
        <v>3</v>
      </c>
      <c r="H1455" s="2" t="s">
        <v>41</v>
      </c>
      <c r="I1455">
        <v>216.49</v>
      </c>
      <c r="J1455">
        <v>15</v>
      </c>
      <c r="K1455">
        <v>32.47</v>
      </c>
      <c r="L1455">
        <v>44.08</v>
      </c>
      <c r="M1455">
        <v>68.67</v>
      </c>
      <c r="N1455">
        <v>0</v>
      </c>
      <c r="O1455">
        <v>5.64</v>
      </c>
      <c r="P1455" s="2" t="s">
        <v>42</v>
      </c>
      <c r="Q1455">
        <v>0</v>
      </c>
      <c r="R1455">
        <v>184.02</v>
      </c>
      <c r="S1455">
        <v>118.39</v>
      </c>
      <c r="T1455">
        <v>65.63</v>
      </c>
      <c r="U1455">
        <f t="shared" si="22"/>
        <v>0</v>
      </c>
    </row>
    <row r="1456" spans="1:21" x14ac:dyDescent="0.25">
      <c r="A1456" s="2" t="s">
        <v>2181</v>
      </c>
      <c r="B1456" s="2" t="s">
        <v>738</v>
      </c>
      <c r="C1456" s="1">
        <v>45910</v>
      </c>
      <c r="D1456" s="2" t="s">
        <v>59</v>
      </c>
      <c r="E1456" s="2" t="s">
        <v>46</v>
      </c>
      <c r="F1456" s="2" t="s">
        <v>94</v>
      </c>
      <c r="G1456">
        <v>1</v>
      </c>
      <c r="H1456" s="2" t="s">
        <v>74</v>
      </c>
      <c r="I1456">
        <v>32.659999999999997</v>
      </c>
      <c r="J1456">
        <v>0</v>
      </c>
      <c r="K1456">
        <v>0</v>
      </c>
      <c r="L1456">
        <v>23.32</v>
      </c>
      <c r="M1456">
        <v>21.38</v>
      </c>
      <c r="N1456">
        <v>4.9000000000000004</v>
      </c>
      <c r="O1456">
        <v>1.25</v>
      </c>
      <c r="P1456" s="2" t="s">
        <v>42</v>
      </c>
      <c r="Q1456">
        <v>0</v>
      </c>
      <c r="R1456">
        <v>32.659999999999997</v>
      </c>
      <c r="S1456">
        <v>50.85</v>
      </c>
      <c r="T1456">
        <v>-18.190000000000001</v>
      </c>
      <c r="U1456">
        <f t="shared" si="22"/>
        <v>0</v>
      </c>
    </row>
    <row r="1457" spans="1:21" x14ac:dyDescent="0.25">
      <c r="A1457" s="2" t="s">
        <v>2182</v>
      </c>
      <c r="B1457" s="2" t="s">
        <v>623</v>
      </c>
      <c r="C1457" s="1">
        <v>45828</v>
      </c>
      <c r="D1457" s="2" t="s">
        <v>59</v>
      </c>
      <c r="E1457" s="2" t="s">
        <v>39</v>
      </c>
      <c r="F1457" s="2" t="s">
        <v>94</v>
      </c>
      <c r="G1457">
        <v>1</v>
      </c>
      <c r="H1457" s="2" t="s">
        <v>111</v>
      </c>
      <c r="I1457">
        <v>83.78</v>
      </c>
      <c r="J1457">
        <v>5</v>
      </c>
      <c r="K1457">
        <v>4.1900000000000004</v>
      </c>
      <c r="L1457">
        <v>14.22</v>
      </c>
      <c r="M1457">
        <v>25.22</v>
      </c>
      <c r="N1457">
        <v>11.94</v>
      </c>
      <c r="O1457">
        <v>2.61</v>
      </c>
      <c r="P1457" s="2" t="s">
        <v>42</v>
      </c>
      <c r="Q1457">
        <v>0</v>
      </c>
      <c r="R1457">
        <v>79.59</v>
      </c>
      <c r="S1457">
        <v>53.99</v>
      </c>
      <c r="T1457">
        <v>25.6</v>
      </c>
      <c r="U1457">
        <f t="shared" si="22"/>
        <v>0</v>
      </c>
    </row>
    <row r="1458" spans="1:21" x14ac:dyDescent="0.25">
      <c r="A1458" s="2" t="s">
        <v>2183</v>
      </c>
      <c r="B1458" s="2" t="s">
        <v>2184</v>
      </c>
      <c r="C1458" s="1">
        <v>45524</v>
      </c>
      <c r="D1458" s="2" t="s">
        <v>59</v>
      </c>
      <c r="E1458" s="2" t="s">
        <v>46</v>
      </c>
      <c r="F1458" s="2" t="s">
        <v>94</v>
      </c>
      <c r="G1458">
        <v>4</v>
      </c>
      <c r="H1458" s="2" t="s">
        <v>64</v>
      </c>
      <c r="I1458">
        <v>208.46</v>
      </c>
      <c r="J1458">
        <v>15</v>
      </c>
      <c r="K1458">
        <v>31.27</v>
      </c>
      <c r="L1458">
        <v>39.68</v>
      </c>
      <c r="M1458">
        <v>97.6</v>
      </c>
      <c r="N1458">
        <v>26.58</v>
      </c>
      <c r="O1458">
        <v>5.44</v>
      </c>
      <c r="P1458" s="2" t="s">
        <v>68</v>
      </c>
      <c r="Q1458">
        <v>177.19</v>
      </c>
      <c r="R1458">
        <v>0</v>
      </c>
      <c r="S1458">
        <v>169.3</v>
      </c>
      <c r="T1458">
        <v>-169.3</v>
      </c>
      <c r="U1458">
        <f t="shared" si="22"/>
        <v>0</v>
      </c>
    </row>
    <row r="1459" spans="1:21" x14ac:dyDescent="0.25">
      <c r="A1459" s="2" t="s">
        <v>2185</v>
      </c>
      <c r="B1459" s="2" t="s">
        <v>123</v>
      </c>
      <c r="C1459" s="1">
        <v>45900</v>
      </c>
      <c r="D1459" s="2" t="s">
        <v>38</v>
      </c>
      <c r="E1459" s="2" t="s">
        <v>71</v>
      </c>
      <c r="F1459" s="2" t="s">
        <v>51</v>
      </c>
      <c r="G1459">
        <v>1</v>
      </c>
      <c r="H1459" s="2" t="s">
        <v>41</v>
      </c>
      <c r="I1459">
        <v>215.16</v>
      </c>
      <c r="J1459">
        <v>15</v>
      </c>
      <c r="K1459">
        <v>32.270000000000003</v>
      </c>
      <c r="L1459">
        <v>10.46</v>
      </c>
      <c r="M1459">
        <v>62.72</v>
      </c>
      <c r="N1459">
        <v>0</v>
      </c>
      <c r="O1459">
        <v>5.6</v>
      </c>
      <c r="P1459" s="2" t="s">
        <v>42</v>
      </c>
      <c r="Q1459">
        <v>0</v>
      </c>
      <c r="R1459">
        <v>182.89</v>
      </c>
      <c r="S1459">
        <v>78.78</v>
      </c>
      <c r="T1459">
        <v>104.11</v>
      </c>
      <c r="U1459">
        <f t="shared" si="22"/>
        <v>0</v>
      </c>
    </row>
    <row r="1460" spans="1:21" x14ac:dyDescent="0.25">
      <c r="A1460" s="2" t="s">
        <v>2186</v>
      </c>
      <c r="B1460" s="2" t="s">
        <v>2187</v>
      </c>
      <c r="C1460" s="1">
        <v>45536</v>
      </c>
      <c r="D1460" s="2" t="s">
        <v>80</v>
      </c>
      <c r="E1460" s="2" t="s">
        <v>55</v>
      </c>
      <c r="F1460" s="2" t="s">
        <v>51</v>
      </c>
      <c r="G1460">
        <v>2</v>
      </c>
      <c r="H1460" s="2" t="s">
        <v>74</v>
      </c>
      <c r="I1460">
        <v>158.04</v>
      </c>
      <c r="J1460">
        <v>0</v>
      </c>
      <c r="K1460">
        <v>0</v>
      </c>
      <c r="L1460">
        <v>36.58</v>
      </c>
      <c r="M1460">
        <v>67.12</v>
      </c>
      <c r="N1460">
        <v>12.64</v>
      </c>
      <c r="O1460">
        <v>4.88</v>
      </c>
      <c r="P1460" s="2" t="s">
        <v>42</v>
      </c>
      <c r="Q1460">
        <v>0</v>
      </c>
      <c r="R1460">
        <v>158.04</v>
      </c>
      <c r="S1460">
        <v>121.22</v>
      </c>
      <c r="T1460">
        <v>36.82</v>
      </c>
      <c r="U1460">
        <f t="shared" si="22"/>
        <v>1</v>
      </c>
    </row>
    <row r="1461" spans="1:21" x14ac:dyDescent="0.25">
      <c r="A1461" s="2" t="s">
        <v>2188</v>
      </c>
      <c r="B1461" s="2" t="s">
        <v>61</v>
      </c>
      <c r="C1461" s="1">
        <v>45854</v>
      </c>
      <c r="D1461" s="2" t="s">
        <v>59</v>
      </c>
      <c r="E1461" s="2" t="s">
        <v>71</v>
      </c>
      <c r="F1461" s="2" t="s">
        <v>47</v>
      </c>
      <c r="G1461">
        <v>2</v>
      </c>
      <c r="H1461" s="2" t="s">
        <v>48</v>
      </c>
      <c r="I1461">
        <v>91.13</v>
      </c>
      <c r="J1461">
        <v>0</v>
      </c>
      <c r="K1461">
        <v>0</v>
      </c>
      <c r="L1461">
        <v>18.12</v>
      </c>
      <c r="M1461">
        <v>38.46</v>
      </c>
      <c r="N1461">
        <v>13.67</v>
      </c>
      <c r="O1461">
        <v>2.94</v>
      </c>
      <c r="P1461" s="2" t="s">
        <v>42</v>
      </c>
      <c r="Q1461">
        <v>0</v>
      </c>
      <c r="R1461">
        <v>91.13</v>
      </c>
      <c r="S1461">
        <v>73.19</v>
      </c>
      <c r="T1461">
        <v>17.940000000000001</v>
      </c>
      <c r="U1461">
        <f t="shared" si="22"/>
        <v>0</v>
      </c>
    </row>
    <row r="1462" spans="1:21" x14ac:dyDescent="0.25">
      <c r="A1462" s="2" t="s">
        <v>2189</v>
      </c>
      <c r="B1462" s="2" t="s">
        <v>2190</v>
      </c>
      <c r="C1462" s="1">
        <v>45531</v>
      </c>
      <c r="D1462" s="2" t="s">
        <v>38</v>
      </c>
      <c r="E1462" s="2" t="s">
        <v>71</v>
      </c>
      <c r="F1462" s="2" t="s">
        <v>85</v>
      </c>
      <c r="G1462">
        <v>1</v>
      </c>
      <c r="H1462" s="2" t="s">
        <v>77</v>
      </c>
      <c r="I1462">
        <v>5.52</v>
      </c>
      <c r="J1462">
        <v>0</v>
      </c>
      <c r="K1462">
        <v>0</v>
      </c>
      <c r="L1462">
        <v>7.82</v>
      </c>
      <c r="M1462">
        <v>3.38</v>
      </c>
      <c r="N1462">
        <v>0</v>
      </c>
      <c r="O1462">
        <v>0.46</v>
      </c>
      <c r="P1462" s="2" t="s">
        <v>42</v>
      </c>
      <c r="Q1462">
        <v>0</v>
      </c>
      <c r="R1462">
        <v>5.52</v>
      </c>
      <c r="S1462">
        <v>11.66</v>
      </c>
      <c r="T1462">
        <v>-6.14</v>
      </c>
      <c r="U1462">
        <f t="shared" si="22"/>
        <v>0</v>
      </c>
    </row>
    <row r="1463" spans="1:21" x14ac:dyDescent="0.25">
      <c r="A1463" s="2" t="s">
        <v>2191</v>
      </c>
      <c r="B1463" s="2" t="s">
        <v>913</v>
      </c>
      <c r="C1463" s="1">
        <v>45847</v>
      </c>
      <c r="D1463" s="2" t="s">
        <v>80</v>
      </c>
      <c r="E1463" s="2" t="s">
        <v>71</v>
      </c>
      <c r="F1463" s="2" t="s">
        <v>40</v>
      </c>
      <c r="G1463">
        <v>5</v>
      </c>
      <c r="H1463" s="2" t="s">
        <v>41</v>
      </c>
      <c r="I1463">
        <v>197.87</v>
      </c>
      <c r="J1463">
        <v>0</v>
      </c>
      <c r="K1463">
        <v>0</v>
      </c>
      <c r="L1463">
        <v>45.14</v>
      </c>
      <c r="M1463">
        <v>77.459999999999994</v>
      </c>
      <c r="N1463">
        <v>15.83</v>
      </c>
      <c r="O1463">
        <v>6.04</v>
      </c>
      <c r="P1463" s="2" t="s">
        <v>42</v>
      </c>
      <c r="Q1463">
        <v>0</v>
      </c>
      <c r="R1463">
        <v>197.87</v>
      </c>
      <c r="S1463">
        <v>144.47</v>
      </c>
      <c r="T1463">
        <v>53.4</v>
      </c>
      <c r="U1463">
        <f t="shared" si="22"/>
        <v>0</v>
      </c>
    </row>
    <row r="1464" spans="1:21" x14ac:dyDescent="0.25">
      <c r="A1464" s="2" t="s">
        <v>2192</v>
      </c>
      <c r="B1464" s="2" t="s">
        <v>1286</v>
      </c>
      <c r="C1464" s="1">
        <v>45914</v>
      </c>
      <c r="D1464" s="2" t="s">
        <v>80</v>
      </c>
      <c r="E1464" s="2" t="s">
        <v>67</v>
      </c>
      <c r="F1464" s="2" t="s">
        <v>94</v>
      </c>
      <c r="G1464">
        <v>2</v>
      </c>
      <c r="H1464" s="2" t="s">
        <v>111</v>
      </c>
      <c r="I1464">
        <v>199.42</v>
      </c>
      <c r="J1464">
        <v>5</v>
      </c>
      <c r="K1464">
        <v>9.9700000000000006</v>
      </c>
      <c r="L1464">
        <v>56.3</v>
      </c>
      <c r="M1464">
        <v>79.510000000000005</v>
      </c>
      <c r="N1464">
        <v>15.16</v>
      </c>
      <c r="O1464">
        <v>5.79</v>
      </c>
      <c r="P1464" s="2" t="s">
        <v>42</v>
      </c>
      <c r="Q1464">
        <v>0</v>
      </c>
      <c r="R1464">
        <v>189.45</v>
      </c>
      <c r="S1464">
        <v>156.76</v>
      </c>
      <c r="T1464">
        <v>32.69</v>
      </c>
      <c r="U1464">
        <f t="shared" si="22"/>
        <v>0</v>
      </c>
    </row>
    <row r="1465" spans="1:21" x14ac:dyDescent="0.25">
      <c r="A1465" s="2" t="s">
        <v>2193</v>
      </c>
      <c r="B1465" s="2" t="s">
        <v>905</v>
      </c>
      <c r="C1465" s="1">
        <v>45944</v>
      </c>
      <c r="D1465" s="2" t="s">
        <v>80</v>
      </c>
      <c r="E1465" s="2" t="s">
        <v>46</v>
      </c>
      <c r="F1465" s="2" t="s">
        <v>85</v>
      </c>
      <c r="G1465">
        <v>3</v>
      </c>
      <c r="H1465" s="2" t="s">
        <v>48</v>
      </c>
      <c r="I1465">
        <v>243.77</v>
      </c>
      <c r="J1465">
        <v>10</v>
      </c>
      <c r="K1465">
        <v>24.38</v>
      </c>
      <c r="L1465">
        <v>52.24</v>
      </c>
      <c r="M1465">
        <v>104.51</v>
      </c>
      <c r="N1465">
        <v>17.55</v>
      </c>
      <c r="O1465">
        <v>6.66</v>
      </c>
      <c r="P1465" s="2" t="s">
        <v>42</v>
      </c>
      <c r="Q1465">
        <v>0</v>
      </c>
      <c r="R1465">
        <v>219.39</v>
      </c>
      <c r="S1465">
        <v>180.96</v>
      </c>
      <c r="T1465">
        <v>38.43</v>
      </c>
      <c r="U1465">
        <f t="shared" si="22"/>
        <v>0</v>
      </c>
    </row>
    <row r="1466" spans="1:21" x14ac:dyDescent="0.25">
      <c r="A1466" s="2" t="s">
        <v>2194</v>
      </c>
      <c r="B1466" s="2" t="s">
        <v>182</v>
      </c>
      <c r="C1466" s="1">
        <v>45631</v>
      </c>
      <c r="D1466" s="2" t="s">
        <v>45</v>
      </c>
      <c r="E1466" s="2" t="s">
        <v>46</v>
      </c>
      <c r="F1466" s="2" t="s">
        <v>94</v>
      </c>
      <c r="G1466">
        <v>1</v>
      </c>
      <c r="H1466" s="2" t="s">
        <v>74</v>
      </c>
      <c r="I1466">
        <v>35.64</v>
      </c>
      <c r="J1466">
        <v>0</v>
      </c>
      <c r="K1466">
        <v>0</v>
      </c>
      <c r="L1466">
        <v>13.18</v>
      </c>
      <c r="M1466">
        <v>10.44</v>
      </c>
      <c r="N1466">
        <v>0</v>
      </c>
      <c r="O1466">
        <v>1.33</v>
      </c>
      <c r="P1466" s="2" t="s">
        <v>42</v>
      </c>
      <c r="Q1466">
        <v>0</v>
      </c>
      <c r="R1466">
        <v>35.64</v>
      </c>
      <c r="S1466">
        <v>24.95</v>
      </c>
      <c r="T1466">
        <v>10.69</v>
      </c>
      <c r="U1466">
        <f t="shared" si="22"/>
        <v>0</v>
      </c>
    </row>
    <row r="1467" spans="1:21" x14ac:dyDescent="0.25">
      <c r="A1467" s="2" t="s">
        <v>2195</v>
      </c>
      <c r="B1467" s="2" t="s">
        <v>1477</v>
      </c>
      <c r="C1467" s="1">
        <v>45652</v>
      </c>
      <c r="D1467" s="2" t="s">
        <v>45</v>
      </c>
      <c r="E1467" s="2" t="s">
        <v>46</v>
      </c>
      <c r="F1467" s="2" t="s">
        <v>40</v>
      </c>
      <c r="G1467">
        <v>2</v>
      </c>
      <c r="H1467" s="2" t="s">
        <v>41</v>
      </c>
      <c r="I1467">
        <v>121.11</v>
      </c>
      <c r="J1467">
        <v>25</v>
      </c>
      <c r="K1467">
        <v>30.28</v>
      </c>
      <c r="L1467">
        <v>40.5</v>
      </c>
      <c r="M1467">
        <v>51.99</v>
      </c>
      <c r="N1467">
        <v>0</v>
      </c>
      <c r="O1467">
        <v>2.93</v>
      </c>
      <c r="P1467" s="2" t="s">
        <v>42</v>
      </c>
      <c r="Q1467">
        <v>0</v>
      </c>
      <c r="R1467">
        <v>90.83</v>
      </c>
      <c r="S1467">
        <v>95.42</v>
      </c>
      <c r="T1467">
        <v>-4.59</v>
      </c>
      <c r="U1467">
        <f t="shared" si="22"/>
        <v>0</v>
      </c>
    </row>
    <row r="1468" spans="1:21" x14ac:dyDescent="0.25">
      <c r="A1468" s="2" t="s">
        <v>2196</v>
      </c>
      <c r="B1468" s="2" t="s">
        <v>858</v>
      </c>
      <c r="C1468" s="1">
        <v>45792</v>
      </c>
      <c r="D1468" s="2" t="s">
        <v>38</v>
      </c>
      <c r="E1468" s="2" t="s">
        <v>46</v>
      </c>
      <c r="F1468" s="2" t="s">
        <v>85</v>
      </c>
      <c r="G1468">
        <v>3</v>
      </c>
      <c r="H1468" s="2" t="s">
        <v>111</v>
      </c>
      <c r="I1468">
        <v>224.8</v>
      </c>
      <c r="J1468">
        <v>5</v>
      </c>
      <c r="K1468">
        <v>11.24</v>
      </c>
      <c r="L1468">
        <v>38.1</v>
      </c>
      <c r="M1468">
        <v>79.099999999999994</v>
      </c>
      <c r="N1468">
        <v>0</v>
      </c>
      <c r="O1468">
        <v>6.49</v>
      </c>
      <c r="P1468" s="2" t="s">
        <v>42</v>
      </c>
      <c r="Q1468">
        <v>0</v>
      </c>
      <c r="R1468">
        <v>213.56</v>
      </c>
      <c r="S1468">
        <v>123.69</v>
      </c>
      <c r="T1468">
        <v>89.87</v>
      </c>
      <c r="U1468">
        <f t="shared" si="22"/>
        <v>0</v>
      </c>
    </row>
    <row r="1469" spans="1:21" x14ac:dyDescent="0.25">
      <c r="A1469" s="2" t="s">
        <v>2197</v>
      </c>
      <c r="B1469" s="2" t="s">
        <v>490</v>
      </c>
      <c r="C1469" s="1">
        <v>45832</v>
      </c>
      <c r="D1469" s="2" t="s">
        <v>45</v>
      </c>
      <c r="E1469" s="2" t="s">
        <v>71</v>
      </c>
      <c r="F1469" s="2" t="s">
        <v>51</v>
      </c>
      <c r="G1469">
        <v>2</v>
      </c>
      <c r="H1469" s="2" t="s">
        <v>56</v>
      </c>
      <c r="I1469">
        <v>347.28</v>
      </c>
      <c r="J1469">
        <v>0</v>
      </c>
      <c r="K1469">
        <v>0</v>
      </c>
      <c r="L1469">
        <v>24.88</v>
      </c>
      <c r="M1469">
        <v>138.25</v>
      </c>
      <c r="N1469">
        <v>0</v>
      </c>
      <c r="O1469">
        <v>10.37</v>
      </c>
      <c r="P1469" s="2" t="s">
        <v>42</v>
      </c>
      <c r="Q1469">
        <v>0</v>
      </c>
      <c r="R1469">
        <v>347.28</v>
      </c>
      <c r="S1469">
        <v>173.5</v>
      </c>
      <c r="T1469">
        <v>173.78</v>
      </c>
      <c r="U1469">
        <f t="shared" si="22"/>
        <v>0</v>
      </c>
    </row>
    <row r="1470" spans="1:21" x14ac:dyDescent="0.25">
      <c r="A1470" s="2" t="s">
        <v>2198</v>
      </c>
      <c r="B1470" s="2" t="s">
        <v>2199</v>
      </c>
      <c r="C1470" s="1">
        <v>45398</v>
      </c>
      <c r="D1470" s="2" t="s">
        <v>38</v>
      </c>
      <c r="E1470" s="2" t="s">
        <v>39</v>
      </c>
      <c r="F1470" s="2" t="s">
        <v>94</v>
      </c>
      <c r="G1470">
        <v>4</v>
      </c>
      <c r="H1470" s="2" t="s">
        <v>111</v>
      </c>
      <c r="I1470">
        <v>175.51</v>
      </c>
      <c r="J1470">
        <v>10</v>
      </c>
      <c r="K1470">
        <v>17.55</v>
      </c>
      <c r="L1470">
        <v>52.78</v>
      </c>
      <c r="M1470">
        <v>76.47</v>
      </c>
      <c r="N1470">
        <v>0</v>
      </c>
      <c r="O1470">
        <v>4.88</v>
      </c>
      <c r="P1470" s="2" t="s">
        <v>68</v>
      </c>
      <c r="Q1470">
        <v>157.96</v>
      </c>
      <c r="R1470">
        <v>0</v>
      </c>
      <c r="S1470">
        <v>134.13</v>
      </c>
      <c r="T1470">
        <v>-134.13</v>
      </c>
      <c r="U1470">
        <f t="shared" si="22"/>
        <v>0</v>
      </c>
    </row>
    <row r="1471" spans="1:21" x14ac:dyDescent="0.25">
      <c r="A1471" s="2" t="s">
        <v>2200</v>
      </c>
      <c r="B1471" s="2" t="s">
        <v>243</v>
      </c>
      <c r="C1471" s="1">
        <v>45425</v>
      </c>
      <c r="D1471" s="2" t="s">
        <v>45</v>
      </c>
      <c r="E1471" s="2" t="s">
        <v>55</v>
      </c>
      <c r="F1471" s="2" t="s">
        <v>94</v>
      </c>
      <c r="G1471">
        <v>2</v>
      </c>
      <c r="H1471" s="2" t="s">
        <v>77</v>
      </c>
      <c r="I1471">
        <v>94.24</v>
      </c>
      <c r="J1471">
        <v>0</v>
      </c>
      <c r="K1471">
        <v>0</v>
      </c>
      <c r="L1471">
        <v>18.28</v>
      </c>
      <c r="M1471">
        <v>40.94</v>
      </c>
      <c r="N1471">
        <v>0</v>
      </c>
      <c r="O1471">
        <v>3.03</v>
      </c>
      <c r="P1471" s="2" t="s">
        <v>42</v>
      </c>
      <c r="Q1471">
        <v>0</v>
      </c>
      <c r="R1471">
        <v>94.24</v>
      </c>
      <c r="S1471">
        <v>62.25</v>
      </c>
      <c r="T1471">
        <v>31.99</v>
      </c>
      <c r="U1471">
        <f t="shared" si="22"/>
        <v>0</v>
      </c>
    </row>
    <row r="1472" spans="1:21" x14ac:dyDescent="0.25">
      <c r="A1472" s="2" t="s">
        <v>2201</v>
      </c>
      <c r="B1472" s="2" t="s">
        <v>2015</v>
      </c>
      <c r="C1472" s="1">
        <v>45834</v>
      </c>
      <c r="D1472" s="2" t="s">
        <v>45</v>
      </c>
      <c r="E1472" s="2" t="s">
        <v>46</v>
      </c>
      <c r="F1472" s="2" t="s">
        <v>47</v>
      </c>
      <c r="G1472">
        <v>1</v>
      </c>
      <c r="H1472" s="2" t="s">
        <v>41</v>
      </c>
      <c r="I1472">
        <v>91.68</v>
      </c>
      <c r="J1472">
        <v>0</v>
      </c>
      <c r="K1472">
        <v>0</v>
      </c>
      <c r="L1472">
        <v>10.06</v>
      </c>
      <c r="M1472">
        <v>40.36</v>
      </c>
      <c r="N1472">
        <v>0</v>
      </c>
      <c r="O1472">
        <v>2.96</v>
      </c>
      <c r="P1472" s="2" t="s">
        <v>42</v>
      </c>
      <c r="Q1472">
        <v>0</v>
      </c>
      <c r="R1472">
        <v>91.68</v>
      </c>
      <c r="S1472">
        <v>53.38</v>
      </c>
      <c r="T1472">
        <v>38.299999999999997</v>
      </c>
      <c r="U1472">
        <f t="shared" si="22"/>
        <v>1</v>
      </c>
    </row>
    <row r="1473" spans="1:21" x14ac:dyDescent="0.25">
      <c r="A1473" s="2" t="s">
        <v>2202</v>
      </c>
      <c r="B1473" s="2" t="s">
        <v>1458</v>
      </c>
      <c r="C1473" s="1">
        <v>45489</v>
      </c>
      <c r="D1473" s="2" t="s">
        <v>38</v>
      </c>
      <c r="E1473" s="2" t="s">
        <v>39</v>
      </c>
      <c r="F1473" s="2" t="s">
        <v>47</v>
      </c>
      <c r="G1473">
        <v>2</v>
      </c>
      <c r="H1473" s="2" t="s">
        <v>52</v>
      </c>
      <c r="I1473">
        <v>192.31</v>
      </c>
      <c r="J1473">
        <v>10</v>
      </c>
      <c r="K1473">
        <v>19.23</v>
      </c>
      <c r="L1473">
        <v>15.14</v>
      </c>
      <c r="M1473">
        <v>64.91</v>
      </c>
      <c r="N1473">
        <v>0</v>
      </c>
      <c r="O1473">
        <v>5.32</v>
      </c>
      <c r="P1473" s="2" t="s">
        <v>42</v>
      </c>
      <c r="Q1473">
        <v>0</v>
      </c>
      <c r="R1473">
        <v>173.08</v>
      </c>
      <c r="S1473">
        <v>85.37</v>
      </c>
      <c r="T1473">
        <v>87.71</v>
      </c>
      <c r="U1473">
        <f t="shared" si="22"/>
        <v>0</v>
      </c>
    </row>
    <row r="1474" spans="1:21" x14ac:dyDescent="0.25">
      <c r="A1474" s="2" t="s">
        <v>2203</v>
      </c>
      <c r="B1474" s="2" t="s">
        <v>1982</v>
      </c>
      <c r="C1474" s="1">
        <v>45645</v>
      </c>
      <c r="D1474" s="2" t="s">
        <v>45</v>
      </c>
      <c r="E1474" s="2" t="s">
        <v>71</v>
      </c>
      <c r="F1474" s="2" t="s">
        <v>94</v>
      </c>
      <c r="G1474">
        <v>5</v>
      </c>
      <c r="H1474" s="2" t="s">
        <v>56</v>
      </c>
      <c r="I1474">
        <v>240.8</v>
      </c>
      <c r="J1474">
        <v>0</v>
      </c>
      <c r="K1474">
        <v>0</v>
      </c>
      <c r="L1474">
        <v>37.74</v>
      </c>
      <c r="M1474">
        <v>84.99</v>
      </c>
      <c r="N1474">
        <v>0</v>
      </c>
      <c r="O1474">
        <v>7.28</v>
      </c>
      <c r="P1474" s="2" t="s">
        <v>42</v>
      </c>
      <c r="Q1474">
        <v>0</v>
      </c>
      <c r="R1474">
        <v>240.8</v>
      </c>
      <c r="S1474">
        <v>130.01</v>
      </c>
      <c r="T1474">
        <v>110.79</v>
      </c>
      <c r="U1474">
        <f t="shared" si="22"/>
        <v>0</v>
      </c>
    </row>
    <row r="1475" spans="1:21" x14ac:dyDescent="0.25">
      <c r="A1475" s="2" t="s">
        <v>2204</v>
      </c>
      <c r="B1475" s="2" t="s">
        <v>1640</v>
      </c>
      <c r="C1475" s="1">
        <v>45854</v>
      </c>
      <c r="D1475" s="2" t="s">
        <v>59</v>
      </c>
      <c r="E1475" s="2" t="s">
        <v>55</v>
      </c>
      <c r="F1475" s="2" t="s">
        <v>40</v>
      </c>
      <c r="G1475">
        <v>3</v>
      </c>
      <c r="H1475" s="2" t="s">
        <v>52</v>
      </c>
      <c r="I1475">
        <v>211.89</v>
      </c>
      <c r="J1475">
        <v>0</v>
      </c>
      <c r="K1475">
        <v>0</v>
      </c>
      <c r="L1475">
        <v>28.32</v>
      </c>
      <c r="M1475">
        <v>69.05</v>
      </c>
      <c r="N1475">
        <v>31.78</v>
      </c>
      <c r="O1475">
        <v>6.44</v>
      </c>
      <c r="P1475" s="2" t="s">
        <v>42</v>
      </c>
      <c r="Q1475">
        <v>0</v>
      </c>
      <c r="R1475">
        <v>211.89</v>
      </c>
      <c r="S1475">
        <v>135.59</v>
      </c>
      <c r="T1475">
        <v>76.3</v>
      </c>
      <c r="U1475">
        <f t="shared" si="22"/>
        <v>0</v>
      </c>
    </row>
    <row r="1476" spans="1:21" x14ac:dyDescent="0.25">
      <c r="A1476" s="2" t="s">
        <v>2205</v>
      </c>
      <c r="B1476" s="2" t="s">
        <v>774</v>
      </c>
      <c r="C1476" s="1">
        <v>45944</v>
      </c>
      <c r="D1476" s="2" t="s">
        <v>59</v>
      </c>
      <c r="E1476" s="2" t="s">
        <v>39</v>
      </c>
      <c r="F1476" s="2" t="s">
        <v>51</v>
      </c>
      <c r="G1476">
        <v>4</v>
      </c>
      <c r="H1476" s="2" t="s">
        <v>56</v>
      </c>
      <c r="I1476">
        <v>110.42</v>
      </c>
      <c r="J1476">
        <v>15</v>
      </c>
      <c r="K1476">
        <v>16.559999999999999</v>
      </c>
      <c r="L1476">
        <v>44.22</v>
      </c>
      <c r="M1476">
        <v>48.68</v>
      </c>
      <c r="N1476">
        <v>14.08</v>
      </c>
      <c r="O1476">
        <v>3.02</v>
      </c>
      <c r="P1476" s="2" t="s">
        <v>42</v>
      </c>
      <c r="Q1476">
        <v>0</v>
      </c>
      <c r="R1476">
        <v>93.86</v>
      </c>
      <c r="S1476">
        <v>110</v>
      </c>
      <c r="T1476">
        <v>-16.14</v>
      </c>
      <c r="U1476">
        <f t="shared" si="22"/>
        <v>0</v>
      </c>
    </row>
    <row r="1477" spans="1:21" x14ac:dyDescent="0.25">
      <c r="A1477" s="2" t="s">
        <v>2206</v>
      </c>
      <c r="B1477" s="2" t="s">
        <v>688</v>
      </c>
      <c r="C1477" s="1">
        <v>45675</v>
      </c>
      <c r="D1477" s="2" t="s">
        <v>80</v>
      </c>
      <c r="E1477" s="2" t="s">
        <v>71</v>
      </c>
      <c r="F1477" s="2" t="s">
        <v>47</v>
      </c>
      <c r="G1477">
        <v>1</v>
      </c>
      <c r="H1477" s="2" t="s">
        <v>56</v>
      </c>
      <c r="I1477">
        <v>45.69</v>
      </c>
      <c r="J1477">
        <v>10</v>
      </c>
      <c r="K1477">
        <v>4.57</v>
      </c>
      <c r="L1477">
        <v>11.58</v>
      </c>
      <c r="M1477">
        <v>28.21</v>
      </c>
      <c r="N1477">
        <v>3.29</v>
      </c>
      <c r="O1477">
        <v>1.49</v>
      </c>
      <c r="P1477" s="2" t="s">
        <v>42</v>
      </c>
      <c r="Q1477">
        <v>0</v>
      </c>
      <c r="R1477">
        <v>41.12</v>
      </c>
      <c r="S1477">
        <v>44.57</v>
      </c>
      <c r="T1477">
        <v>-3.45</v>
      </c>
      <c r="U1477">
        <f t="shared" ref="U1477:U1540" si="23">IF(P1475="Yes", 1, 0)</f>
        <v>0</v>
      </c>
    </row>
    <row r="1478" spans="1:21" x14ac:dyDescent="0.25">
      <c r="A1478" s="2" t="s">
        <v>2207</v>
      </c>
      <c r="B1478" s="2" t="s">
        <v>2208</v>
      </c>
      <c r="C1478" s="1">
        <v>45625</v>
      </c>
      <c r="D1478" s="2" t="s">
        <v>38</v>
      </c>
      <c r="E1478" s="2" t="s">
        <v>71</v>
      </c>
      <c r="F1478" s="2" t="s">
        <v>94</v>
      </c>
      <c r="G1478">
        <v>2</v>
      </c>
      <c r="H1478" s="2" t="s">
        <v>41</v>
      </c>
      <c r="I1478">
        <v>240.21</v>
      </c>
      <c r="J1478">
        <v>25</v>
      </c>
      <c r="K1478">
        <v>60.05</v>
      </c>
      <c r="L1478">
        <v>26.46</v>
      </c>
      <c r="M1478">
        <v>82.98</v>
      </c>
      <c r="N1478">
        <v>0</v>
      </c>
      <c r="O1478">
        <v>5.52</v>
      </c>
      <c r="P1478" s="2" t="s">
        <v>42</v>
      </c>
      <c r="Q1478">
        <v>0</v>
      </c>
      <c r="R1478">
        <v>180.16</v>
      </c>
      <c r="S1478">
        <v>114.96</v>
      </c>
      <c r="T1478">
        <v>65.2</v>
      </c>
      <c r="U1478">
        <f t="shared" si="23"/>
        <v>0</v>
      </c>
    </row>
    <row r="1479" spans="1:21" x14ac:dyDescent="0.25">
      <c r="A1479" s="2" t="s">
        <v>2209</v>
      </c>
      <c r="B1479" s="2" t="s">
        <v>496</v>
      </c>
      <c r="C1479" s="1">
        <v>45752</v>
      </c>
      <c r="D1479" s="2" t="s">
        <v>38</v>
      </c>
      <c r="E1479" s="2" t="s">
        <v>71</v>
      </c>
      <c r="F1479" s="2" t="s">
        <v>51</v>
      </c>
      <c r="G1479">
        <v>1</v>
      </c>
      <c r="H1479" s="2" t="s">
        <v>56</v>
      </c>
      <c r="I1479">
        <v>29.59</v>
      </c>
      <c r="J1479">
        <v>0</v>
      </c>
      <c r="K1479">
        <v>0</v>
      </c>
      <c r="L1479">
        <v>4.7</v>
      </c>
      <c r="M1479">
        <v>12.42</v>
      </c>
      <c r="N1479">
        <v>0</v>
      </c>
      <c r="O1479">
        <v>1.1599999999999999</v>
      </c>
      <c r="P1479" s="2" t="s">
        <v>42</v>
      </c>
      <c r="Q1479">
        <v>0</v>
      </c>
      <c r="R1479">
        <v>29.59</v>
      </c>
      <c r="S1479">
        <v>18.28</v>
      </c>
      <c r="T1479">
        <v>11.31</v>
      </c>
      <c r="U1479">
        <f t="shared" si="23"/>
        <v>0</v>
      </c>
    </row>
    <row r="1480" spans="1:21" x14ac:dyDescent="0.25">
      <c r="A1480" s="2" t="s">
        <v>2210</v>
      </c>
      <c r="B1480" s="2" t="s">
        <v>1451</v>
      </c>
      <c r="C1480" s="1">
        <v>45679</v>
      </c>
      <c r="D1480" s="2" t="s">
        <v>38</v>
      </c>
      <c r="E1480" s="2" t="s">
        <v>46</v>
      </c>
      <c r="F1480" s="2" t="s">
        <v>47</v>
      </c>
      <c r="G1480">
        <v>2</v>
      </c>
      <c r="H1480" s="2" t="s">
        <v>111</v>
      </c>
      <c r="I1480">
        <v>216.13</v>
      </c>
      <c r="J1480">
        <v>25</v>
      </c>
      <c r="K1480">
        <v>54.03</v>
      </c>
      <c r="L1480">
        <v>17.079999999999998</v>
      </c>
      <c r="M1480">
        <v>71.319999999999993</v>
      </c>
      <c r="N1480">
        <v>0</v>
      </c>
      <c r="O1480">
        <v>5</v>
      </c>
      <c r="P1480" s="2" t="s">
        <v>42</v>
      </c>
      <c r="Q1480">
        <v>0</v>
      </c>
      <c r="R1480">
        <v>162.1</v>
      </c>
      <c r="S1480">
        <v>93.4</v>
      </c>
      <c r="T1480">
        <v>68.7</v>
      </c>
      <c r="U1480">
        <f t="shared" si="23"/>
        <v>0</v>
      </c>
    </row>
    <row r="1481" spans="1:21" x14ac:dyDescent="0.25">
      <c r="A1481" s="2" t="s">
        <v>2211</v>
      </c>
      <c r="B1481" s="2" t="s">
        <v>2212</v>
      </c>
      <c r="C1481" s="1">
        <v>45942</v>
      </c>
      <c r="D1481" s="2" t="s">
        <v>45</v>
      </c>
      <c r="E1481" s="2" t="s">
        <v>46</v>
      </c>
      <c r="F1481" s="2" t="s">
        <v>47</v>
      </c>
      <c r="G1481">
        <v>1</v>
      </c>
      <c r="H1481" s="2" t="s">
        <v>48</v>
      </c>
      <c r="I1481">
        <v>35.24</v>
      </c>
      <c r="J1481">
        <v>20</v>
      </c>
      <c r="K1481">
        <v>7.05</v>
      </c>
      <c r="L1481">
        <v>23.32</v>
      </c>
      <c r="M1481">
        <v>17.059999999999999</v>
      </c>
      <c r="N1481">
        <v>0</v>
      </c>
      <c r="O1481">
        <v>1.1200000000000001</v>
      </c>
      <c r="P1481" s="2" t="s">
        <v>42</v>
      </c>
      <c r="Q1481">
        <v>0</v>
      </c>
      <c r="R1481">
        <v>28.19</v>
      </c>
      <c r="S1481">
        <v>41.5</v>
      </c>
      <c r="T1481">
        <v>-13.31</v>
      </c>
      <c r="U1481">
        <f t="shared" si="23"/>
        <v>0</v>
      </c>
    </row>
    <row r="1482" spans="1:21" x14ac:dyDescent="0.25">
      <c r="A1482" s="2" t="s">
        <v>2213</v>
      </c>
      <c r="B1482" s="2" t="s">
        <v>2214</v>
      </c>
      <c r="C1482" s="1">
        <v>45848</v>
      </c>
      <c r="D1482" s="2" t="s">
        <v>38</v>
      </c>
      <c r="E1482" s="2" t="s">
        <v>67</v>
      </c>
      <c r="F1482" s="2" t="s">
        <v>94</v>
      </c>
      <c r="G1482">
        <v>4</v>
      </c>
      <c r="H1482" s="2" t="s">
        <v>56</v>
      </c>
      <c r="I1482">
        <v>237.63</v>
      </c>
      <c r="J1482">
        <v>15</v>
      </c>
      <c r="K1482">
        <v>35.64</v>
      </c>
      <c r="L1482">
        <v>46.72</v>
      </c>
      <c r="M1482">
        <v>93.18</v>
      </c>
      <c r="N1482">
        <v>0</v>
      </c>
      <c r="O1482">
        <v>6.16</v>
      </c>
      <c r="P1482" s="2" t="s">
        <v>68</v>
      </c>
      <c r="Q1482">
        <v>201.99</v>
      </c>
      <c r="R1482">
        <v>0</v>
      </c>
      <c r="S1482">
        <v>146.06</v>
      </c>
      <c r="T1482">
        <v>-146.06</v>
      </c>
      <c r="U1482">
        <f t="shared" si="23"/>
        <v>0</v>
      </c>
    </row>
    <row r="1483" spans="1:21" x14ac:dyDescent="0.25">
      <c r="A1483" s="2" t="s">
        <v>2215</v>
      </c>
      <c r="B1483" s="2" t="s">
        <v>1560</v>
      </c>
      <c r="C1483" s="1">
        <v>46025</v>
      </c>
      <c r="D1483" s="2" t="s">
        <v>45</v>
      </c>
      <c r="E1483" s="2" t="s">
        <v>67</v>
      </c>
      <c r="F1483" s="2" t="s">
        <v>51</v>
      </c>
      <c r="G1483">
        <v>1</v>
      </c>
      <c r="H1483" s="2" t="s">
        <v>77</v>
      </c>
      <c r="I1483">
        <v>53</v>
      </c>
      <c r="J1483">
        <v>20</v>
      </c>
      <c r="K1483">
        <v>10.6</v>
      </c>
      <c r="L1483">
        <v>11</v>
      </c>
      <c r="M1483">
        <v>16.12</v>
      </c>
      <c r="N1483">
        <v>0</v>
      </c>
      <c r="O1483">
        <v>1.53</v>
      </c>
      <c r="P1483" s="2" t="s">
        <v>42</v>
      </c>
      <c r="Q1483">
        <v>0</v>
      </c>
      <c r="R1483">
        <v>42.4</v>
      </c>
      <c r="S1483">
        <v>28.65</v>
      </c>
      <c r="T1483">
        <v>13.75</v>
      </c>
      <c r="U1483">
        <f t="shared" si="23"/>
        <v>0</v>
      </c>
    </row>
    <row r="1484" spans="1:21" x14ac:dyDescent="0.25">
      <c r="A1484" s="2" t="s">
        <v>2216</v>
      </c>
      <c r="B1484" s="2" t="s">
        <v>1395</v>
      </c>
      <c r="C1484" s="1">
        <v>45421</v>
      </c>
      <c r="D1484" s="2" t="s">
        <v>45</v>
      </c>
      <c r="E1484" s="2" t="s">
        <v>46</v>
      </c>
      <c r="F1484" s="2" t="s">
        <v>85</v>
      </c>
      <c r="G1484">
        <v>3</v>
      </c>
      <c r="H1484" s="2" t="s">
        <v>74</v>
      </c>
      <c r="I1484">
        <v>353.34</v>
      </c>
      <c r="J1484">
        <v>20</v>
      </c>
      <c r="K1484">
        <v>70.67</v>
      </c>
      <c r="L1484">
        <v>38.4</v>
      </c>
      <c r="M1484">
        <v>114.72</v>
      </c>
      <c r="N1484">
        <v>0</v>
      </c>
      <c r="O1484">
        <v>8.5</v>
      </c>
      <c r="P1484" s="2" t="s">
        <v>42</v>
      </c>
      <c r="Q1484">
        <v>0</v>
      </c>
      <c r="R1484">
        <v>282.67</v>
      </c>
      <c r="S1484">
        <v>161.62</v>
      </c>
      <c r="T1484">
        <v>121.05</v>
      </c>
      <c r="U1484">
        <f t="shared" si="23"/>
        <v>1</v>
      </c>
    </row>
    <row r="1485" spans="1:21" x14ac:dyDescent="0.25">
      <c r="A1485" s="2" t="s">
        <v>2217</v>
      </c>
      <c r="B1485" s="2" t="s">
        <v>736</v>
      </c>
      <c r="C1485" s="1">
        <v>45758</v>
      </c>
      <c r="D1485" s="2" t="s">
        <v>38</v>
      </c>
      <c r="E1485" s="2" t="s">
        <v>71</v>
      </c>
      <c r="F1485" s="2" t="s">
        <v>40</v>
      </c>
      <c r="G1485">
        <v>2</v>
      </c>
      <c r="H1485" s="2" t="s">
        <v>56</v>
      </c>
      <c r="I1485">
        <v>198.65</v>
      </c>
      <c r="J1485">
        <v>0</v>
      </c>
      <c r="K1485">
        <v>0</v>
      </c>
      <c r="L1485">
        <v>27.62</v>
      </c>
      <c r="M1485">
        <v>70.86</v>
      </c>
      <c r="N1485">
        <v>0</v>
      </c>
      <c r="O1485">
        <v>6.06</v>
      </c>
      <c r="P1485" s="2" t="s">
        <v>42</v>
      </c>
      <c r="Q1485">
        <v>0</v>
      </c>
      <c r="R1485">
        <v>198.65</v>
      </c>
      <c r="S1485">
        <v>104.54</v>
      </c>
      <c r="T1485">
        <v>94.11</v>
      </c>
      <c r="U1485">
        <f t="shared" si="23"/>
        <v>0</v>
      </c>
    </row>
    <row r="1486" spans="1:21" x14ac:dyDescent="0.25">
      <c r="A1486" s="2" t="s">
        <v>2218</v>
      </c>
      <c r="B1486" s="2" t="s">
        <v>1361</v>
      </c>
      <c r="C1486" s="1">
        <v>45695</v>
      </c>
      <c r="D1486" s="2" t="s">
        <v>45</v>
      </c>
      <c r="E1486" s="2" t="s">
        <v>46</v>
      </c>
      <c r="F1486" s="2" t="s">
        <v>40</v>
      </c>
      <c r="G1486">
        <v>1</v>
      </c>
      <c r="H1486" s="2" t="s">
        <v>52</v>
      </c>
      <c r="I1486">
        <v>84.04</v>
      </c>
      <c r="J1486">
        <v>5</v>
      </c>
      <c r="K1486">
        <v>4.2</v>
      </c>
      <c r="L1486">
        <v>4.22</v>
      </c>
      <c r="M1486">
        <v>25.97</v>
      </c>
      <c r="N1486">
        <v>0</v>
      </c>
      <c r="O1486">
        <v>2.62</v>
      </c>
      <c r="P1486" s="2" t="s">
        <v>42</v>
      </c>
      <c r="Q1486">
        <v>0</v>
      </c>
      <c r="R1486">
        <v>79.84</v>
      </c>
      <c r="S1486">
        <v>32.81</v>
      </c>
      <c r="T1486">
        <v>47.03</v>
      </c>
      <c r="U1486">
        <f t="shared" si="23"/>
        <v>0</v>
      </c>
    </row>
    <row r="1487" spans="1:21" x14ac:dyDescent="0.25">
      <c r="A1487" s="2" t="s">
        <v>2219</v>
      </c>
      <c r="B1487" s="2" t="s">
        <v>560</v>
      </c>
      <c r="C1487" s="1">
        <v>45895</v>
      </c>
      <c r="D1487" s="2" t="s">
        <v>38</v>
      </c>
      <c r="E1487" s="2" t="s">
        <v>55</v>
      </c>
      <c r="F1487" s="2" t="s">
        <v>85</v>
      </c>
      <c r="G1487">
        <v>3</v>
      </c>
      <c r="H1487" s="2" t="s">
        <v>111</v>
      </c>
      <c r="I1487">
        <v>110.68</v>
      </c>
      <c r="J1487">
        <v>20</v>
      </c>
      <c r="K1487">
        <v>22.14</v>
      </c>
      <c r="L1487">
        <v>20.100000000000001</v>
      </c>
      <c r="M1487">
        <v>37.9</v>
      </c>
      <c r="N1487">
        <v>0</v>
      </c>
      <c r="O1487">
        <v>2.87</v>
      </c>
      <c r="P1487" s="2" t="s">
        <v>42</v>
      </c>
      <c r="Q1487">
        <v>0</v>
      </c>
      <c r="R1487">
        <v>88.54</v>
      </c>
      <c r="S1487">
        <v>60.87</v>
      </c>
      <c r="T1487">
        <v>27.67</v>
      </c>
      <c r="U1487">
        <f t="shared" si="23"/>
        <v>0</v>
      </c>
    </row>
    <row r="1488" spans="1:21" x14ac:dyDescent="0.25">
      <c r="A1488" s="2" t="s">
        <v>2220</v>
      </c>
      <c r="B1488" s="2" t="s">
        <v>1072</v>
      </c>
      <c r="C1488" s="1">
        <v>45819</v>
      </c>
      <c r="D1488" s="2" t="s">
        <v>45</v>
      </c>
      <c r="E1488" s="2" t="s">
        <v>71</v>
      </c>
      <c r="F1488" s="2" t="s">
        <v>85</v>
      </c>
      <c r="G1488">
        <v>4</v>
      </c>
      <c r="H1488" s="2" t="s">
        <v>56</v>
      </c>
      <c r="I1488">
        <v>360.41</v>
      </c>
      <c r="J1488">
        <v>0</v>
      </c>
      <c r="K1488">
        <v>0</v>
      </c>
      <c r="L1488">
        <v>39.24</v>
      </c>
      <c r="M1488">
        <v>178.52</v>
      </c>
      <c r="N1488">
        <v>0</v>
      </c>
      <c r="O1488">
        <v>10.75</v>
      </c>
      <c r="P1488" s="2" t="s">
        <v>42</v>
      </c>
      <c r="Q1488">
        <v>0</v>
      </c>
      <c r="R1488">
        <v>360.41</v>
      </c>
      <c r="S1488">
        <v>228.51</v>
      </c>
      <c r="T1488">
        <v>131.9</v>
      </c>
      <c r="U1488">
        <f t="shared" si="23"/>
        <v>0</v>
      </c>
    </row>
    <row r="1489" spans="1:21" x14ac:dyDescent="0.25">
      <c r="A1489" s="2" t="s">
        <v>2221</v>
      </c>
      <c r="B1489" s="2" t="s">
        <v>1975</v>
      </c>
      <c r="C1489" s="1">
        <v>45759</v>
      </c>
      <c r="D1489" s="2" t="s">
        <v>45</v>
      </c>
      <c r="E1489" s="2" t="s">
        <v>46</v>
      </c>
      <c r="F1489" s="2" t="s">
        <v>51</v>
      </c>
      <c r="G1489">
        <v>1</v>
      </c>
      <c r="H1489" s="2" t="s">
        <v>56</v>
      </c>
      <c r="I1489">
        <v>289.05</v>
      </c>
      <c r="J1489">
        <v>0</v>
      </c>
      <c r="K1489">
        <v>0</v>
      </c>
      <c r="L1489">
        <v>11.46</v>
      </c>
      <c r="M1489">
        <v>115.83</v>
      </c>
      <c r="N1489">
        <v>0</v>
      </c>
      <c r="O1489">
        <v>8.68</v>
      </c>
      <c r="P1489" s="2" t="s">
        <v>42</v>
      </c>
      <c r="Q1489">
        <v>0</v>
      </c>
      <c r="R1489">
        <v>289.05</v>
      </c>
      <c r="S1489">
        <v>135.97</v>
      </c>
      <c r="T1489">
        <v>153.08000000000001</v>
      </c>
      <c r="U1489">
        <f t="shared" si="23"/>
        <v>0</v>
      </c>
    </row>
    <row r="1490" spans="1:21" x14ac:dyDescent="0.25">
      <c r="A1490" s="2" t="s">
        <v>2222</v>
      </c>
      <c r="B1490" s="2" t="s">
        <v>498</v>
      </c>
      <c r="C1490" s="1">
        <v>45805</v>
      </c>
      <c r="D1490" s="2" t="s">
        <v>59</v>
      </c>
      <c r="E1490" s="2" t="s">
        <v>71</v>
      </c>
      <c r="F1490" s="2" t="s">
        <v>51</v>
      </c>
      <c r="G1490">
        <v>1</v>
      </c>
      <c r="H1490" s="2" t="s">
        <v>56</v>
      </c>
      <c r="I1490">
        <v>83.94</v>
      </c>
      <c r="J1490">
        <v>15</v>
      </c>
      <c r="K1490">
        <v>12.59</v>
      </c>
      <c r="L1490">
        <v>26.84</v>
      </c>
      <c r="M1490">
        <v>24.48</v>
      </c>
      <c r="N1490">
        <v>10.7</v>
      </c>
      <c r="O1490">
        <v>2.37</v>
      </c>
      <c r="P1490" s="2" t="s">
        <v>42</v>
      </c>
      <c r="Q1490">
        <v>0</v>
      </c>
      <c r="R1490">
        <v>71.349999999999994</v>
      </c>
      <c r="S1490">
        <v>64.39</v>
      </c>
      <c r="T1490">
        <v>6.96</v>
      </c>
      <c r="U1490">
        <f t="shared" si="23"/>
        <v>0</v>
      </c>
    </row>
    <row r="1491" spans="1:21" x14ac:dyDescent="0.25">
      <c r="A1491" s="2" t="s">
        <v>2223</v>
      </c>
      <c r="B1491" s="2" t="s">
        <v>2010</v>
      </c>
      <c r="C1491" s="1">
        <v>46016</v>
      </c>
      <c r="D1491" s="2" t="s">
        <v>45</v>
      </c>
      <c r="E1491" s="2" t="s">
        <v>46</v>
      </c>
      <c r="F1491" s="2" t="s">
        <v>40</v>
      </c>
      <c r="G1491">
        <v>1</v>
      </c>
      <c r="H1491" s="2" t="s">
        <v>64</v>
      </c>
      <c r="I1491">
        <v>118.3</v>
      </c>
      <c r="J1491">
        <v>10</v>
      </c>
      <c r="K1491">
        <v>11.83</v>
      </c>
      <c r="L1491">
        <v>19.96</v>
      </c>
      <c r="M1491">
        <v>38.72</v>
      </c>
      <c r="N1491">
        <v>0</v>
      </c>
      <c r="O1491">
        <v>3.39</v>
      </c>
      <c r="P1491" s="2" t="s">
        <v>42</v>
      </c>
      <c r="Q1491">
        <v>0</v>
      </c>
      <c r="R1491">
        <v>106.47</v>
      </c>
      <c r="S1491">
        <v>62.07</v>
      </c>
      <c r="T1491">
        <v>44.4</v>
      </c>
      <c r="U1491">
        <f t="shared" si="23"/>
        <v>0</v>
      </c>
    </row>
    <row r="1492" spans="1:21" x14ac:dyDescent="0.25">
      <c r="A1492" s="2" t="s">
        <v>2224</v>
      </c>
      <c r="B1492" s="2" t="s">
        <v>729</v>
      </c>
      <c r="C1492" s="1">
        <v>45930</v>
      </c>
      <c r="D1492" s="2" t="s">
        <v>80</v>
      </c>
      <c r="E1492" s="2" t="s">
        <v>39</v>
      </c>
      <c r="F1492" s="2" t="s">
        <v>94</v>
      </c>
      <c r="G1492">
        <v>1</v>
      </c>
      <c r="H1492" s="2" t="s">
        <v>56</v>
      </c>
      <c r="I1492">
        <v>55.06</v>
      </c>
      <c r="J1492">
        <v>20</v>
      </c>
      <c r="K1492">
        <v>11.01</v>
      </c>
      <c r="L1492">
        <v>5.82</v>
      </c>
      <c r="M1492">
        <v>21.08</v>
      </c>
      <c r="N1492">
        <v>3.52</v>
      </c>
      <c r="O1492">
        <v>1.58</v>
      </c>
      <c r="P1492" s="2" t="s">
        <v>42</v>
      </c>
      <c r="Q1492">
        <v>0</v>
      </c>
      <c r="R1492">
        <v>44.05</v>
      </c>
      <c r="S1492">
        <v>32</v>
      </c>
      <c r="T1492">
        <v>12.05</v>
      </c>
      <c r="U1492">
        <f t="shared" si="23"/>
        <v>0</v>
      </c>
    </row>
    <row r="1493" spans="1:21" x14ac:dyDescent="0.25">
      <c r="A1493" s="2" t="s">
        <v>2225</v>
      </c>
      <c r="B1493" s="2" t="s">
        <v>455</v>
      </c>
      <c r="C1493" s="1">
        <v>45444</v>
      </c>
      <c r="D1493" s="2" t="s">
        <v>80</v>
      </c>
      <c r="E1493" s="2" t="s">
        <v>39</v>
      </c>
      <c r="F1493" s="2" t="s">
        <v>94</v>
      </c>
      <c r="G1493">
        <v>1</v>
      </c>
      <c r="H1493" s="2" t="s">
        <v>111</v>
      </c>
      <c r="I1493">
        <v>29.4</v>
      </c>
      <c r="J1493">
        <v>10</v>
      </c>
      <c r="K1493">
        <v>2.94</v>
      </c>
      <c r="L1493">
        <v>6.22</v>
      </c>
      <c r="M1493">
        <v>11.41</v>
      </c>
      <c r="N1493">
        <v>2.12</v>
      </c>
      <c r="O1493">
        <v>1.07</v>
      </c>
      <c r="P1493" s="2" t="s">
        <v>42</v>
      </c>
      <c r="Q1493">
        <v>0</v>
      </c>
      <c r="R1493">
        <v>26.46</v>
      </c>
      <c r="S1493">
        <v>20.82</v>
      </c>
      <c r="T1493">
        <v>5.64</v>
      </c>
      <c r="U1493">
        <f t="shared" si="23"/>
        <v>0</v>
      </c>
    </row>
    <row r="1494" spans="1:21" x14ac:dyDescent="0.25">
      <c r="A1494" s="2" t="s">
        <v>2226</v>
      </c>
      <c r="B1494" s="2" t="s">
        <v>1876</v>
      </c>
      <c r="C1494" s="1">
        <v>45598</v>
      </c>
      <c r="D1494" s="2" t="s">
        <v>38</v>
      </c>
      <c r="E1494" s="2" t="s">
        <v>71</v>
      </c>
      <c r="F1494" s="2" t="s">
        <v>40</v>
      </c>
      <c r="G1494">
        <v>1</v>
      </c>
      <c r="H1494" s="2" t="s">
        <v>77</v>
      </c>
      <c r="I1494">
        <v>35.979999999999997</v>
      </c>
      <c r="J1494">
        <v>0</v>
      </c>
      <c r="K1494">
        <v>0</v>
      </c>
      <c r="L1494">
        <v>23.48</v>
      </c>
      <c r="M1494">
        <v>15.76</v>
      </c>
      <c r="N1494">
        <v>0</v>
      </c>
      <c r="O1494">
        <v>1.34</v>
      </c>
      <c r="P1494" s="2" t="s">
        <v>42</v>
      </c>
      <c r="Q1494">
        <v>0</v>
      </c>
      <c r="R1494">
        <v>35.979999999999997</v>
      </c>
      <c r="S1494">
        <v>40.58</v>
      </c>
      <c r="T1494">
        <v>-4.5999999999999996</v>
      </c>
      <c r="U1494">
        <f t="shared" si="23"/>
        <v>0</v>
      </c>
    </row>
    <row r="1495" spans="1:21" x14ac:dyDescent="0.25">
      <c r="A1495" s="2" t="s">
        <v>2227</v>
      </c>
      <c r="B1495" s="2" t="s">
        <v>2228</v>
      </c>
      <c r="C1495" s="1">
        <v>45617</v>
      </c>
      <c r="D1495" s="2" t="s">
        <v>59</v>
      </c>
      <c r="E1495" s="2" t="s">
        <v>46</v>
      </c>
      <c r="F1495" s="2" t="s">
        <v>40</v>
      </c>
      <c r="G1495">
        <v>2</v>
      </c>
      <c r="H1495" s="2" t="s">
        <v>41</v>
      </c>
      <c r="I1495">
        <v>132.71</v>
      </c>
      <c r="J1495">
        <v>15</v>
      </c>
      <c r="K1495">
        <v>19.91</v>
      </c>
      <c r="L1495">
        <v>42.1</v>
      </c>
      <c r="M1495">
        <v>44.5</v>
      </c>
      <c r="N1495">
        <v>16.920000000000002</v>
      </c>
      <c r="O1495">
        <v>3.57</v>
      </c>
      <c r="P1495" s="2" t="s">
        <v>42</v>
      </c>
      <c r="Q1495">
        <v>0</v>
      </c>
      <c r="R1495">
        <v>112.8</v>
      </c>
      <c r="S1495">
        <v>107.09</v>
      </c>
      <c r="T1495">
        <v>5.71</v>
      </c>
      <c r="U1495">
        <f t="shared" si="23"/>
        <v>0</v>
      </c>
    </row>
    <row r="1496" spans="1:21" x14ac:dyDescent="0.25">
      <c r="A1496" s="2" t="s">
        <v>2229</v>
      </c>
      <c r="B1496" s="2" t="s">
        <v>1477</v>
      </c>
      <c r="C1496" s="1">
        <v>45881</v>
      </c>
      <c r="D1496" s="2" t="s">
        <v>45</v>
      </c>
      <c r="E1496" s="2" t="s">
        <v>71</v>
      </c>
      <c r="F1496" s="2" t="s">
        <v>51</v>
      </c>
      <c r="G1496">
        <v>2</v>
      </c>
      <c r="H1496" s="2" t="s">
        <v>41</v>
      </c>
      <c r="I1496">
        <v>47.47</v>
      </c>
      <c r="J1496">
        <v>0</v>
      </c>
      <c r="K1496">
        <v>0</v>
      </c>
      <c r="L1496">
        <v>27.88</v>
      </c>
      <c r="M1496">
        <v>25.8</v>
      </c>
      <c r="N1496">
        <v>0</v>
      </c>
      <c r="O1496">
        <v>1.68</v>
      </c>
      <c r="P1496" s="2" t="s">
        <v>68</v>
      </c>
      <c r="Q1496">
        <v>47.47</v>
      </c>
      <c r="R1496">
        <v>0</v>
      </c>
      <c r="S1496">
        <v>55.36</v>
      </c>
      <c r="T1496">
        <v>-55.36</v>
      </c>
      <c r="U1496">
        <f t="shared" si="23"/>
        <v>0</v>
      </c>
    </row>
    <row r="1497" spans="1:21" x14ac:dyDescent="0.25">
      <c r="A1497" s="2" t="s">
        <v>2230</v>
      </c>
      <c r="B1497" s="2" t="s">
        <v>2231</v>
      </c>
      <c r="C1497" s="1">
        <v>45843</v>
      </c>
      <c r="D1497" s="2" t="s">
        <v>59</v>
      </c>
      <c r="E1497" s="2" t="s">
        <v>71</v>
      </c>
      <c r="F1497" s="2" t="s">
        <v>85</v>
      </c>
      <c r="G1497">
        <v>3</v>
      </c>
      <c r="H1497" s="2" t="s">
        <v>74</v>
      </c>
      <c r="I1497">
        <v>146.51</v>
      </c>
      <c r="J1497">
        <v>5</v>
      </c>
      <c r="K1497">
        <v>7.33</v>
      </c>
      <c r="L1497">
        <v>54.54</v>
      </c>
      <c r="M1497">
        <v>81.819999999999993</v>
      </c>
      <c r="N1497">
        <v>20.88</v>
      </c>
      <c r="O1497">
        <v>4.34</v>
      </c>
      <c r="P1497" s="2" t="s">
        <v>42</v>
      </c>
      <c r="Q1497">
        <v>0</v>
      </c>
      <c r="R1497">
        <v>139.18</v>
      </c>
      <c r="S1497">
        <v>161.58000000000001</v>
      </c>
      <c r="T1497">
        <v>-22.4</v>
      </c>
      <c r="U1497">
        <f t="shared" si="23"/>
        <v>0</v>
      </c>
    </row>
    <row r="1498" spans="1:21" x14ac:dyDescent="0.25">
      <c r="A1498" s="2" t="s">
        <v>2232</v>
      </c>
      <c r="B1498" s="2" t="s">
        <v>562</v>
      </c>
      <c r="C1498" s="1">
        <v>45943</v>
      </c>
      <c r="D1498" s="2" t="s">
        <v>45</v>
      </c>
      <c r="E1498" s="2" t="s">
        <v>71</v>
      </c>
      <c r="F1498" s="2" t="s">
        <v>94</v>
      </c>
      <c r="G1498">
        <v>2</v>
      </c>
      <c r="H1498" s="2" t="s">
        <v>74</v>
      </c>
      <c r="I1498">
        <v>258.29000000000002</v>
      </c>
      <c r="J1498">
        <v>0</v>
      </c>
      <c r="K1498">
        <v>0</v>
      </c>
      <c r="L1498">
        <v>44.96</v>
      </c>
      <c r="M1498">
        <v>125.18</v>
      </c>
      <c r="N1498">
        <v>0</v>
      </c>
      <c r="O1498">
        <v>7.79</v>
      </c>
      <c r="P1498" s="2" t="s">
        <v>42</v>
      </c>
      <c r="Q1498">
        <v>0</v>
      </c>
      <c r="R1498">
        <v>258.29000000000002</v>
      </c>
      <c r="S1498">
        <v>177.93</v>
      </c>
      <c r="T1498">
        <v>80.36</v>
      </c>
      <c r="U1498">
        <f t="shared" si="23"/>
        <v>1</v>
      </c>
    </row>
    <row r="1499" spans="1:21" x14ac:dyDescent="0.25">
      <c r="A1499" s="2" t="s">
        <v>2233</v>
      </c>
      <c r="B1499" s="2" t="s">
        <v>100</v>
      </c>
      <c r="C1499" s="1">
        <v>45693</v>
      </c>
      <c r="D1499" s="2" t="s">
        <v>59</v>
      </c>
      <c r="E1499" s="2" t="s">
        <v>46</v>
      </c>
      <c r="F1499" s="2" t="s">
        <v>85</v>
      </c>
      <c r="G1499">
        <v>2</v>
      </c>
      <c r="H1499" s="2" t="s">
        <v>56</v>
      </c>
      <c r="I1499">
        <v>58.32</v>
      </c>
      <c r="J1499">
        <v>0</v>
      </c>
      <c r="K1499">
        <v>0</v>
      </c>
      <c r="L1499">
        <v>22.84</v>
      </c>
      <c r="M1499">
        <v>20.62</v>
      </c>
      <c r="N1499">
        <v>8.75</v>
      </c>
      <c r="O1499">
        <v>1.99</v>
      </c>
      <c r="P1499" s="2" t="s">
        <v>42</v>
      </c>
      <c r="Q1499">
        <v>0</v>
      </c>
      <c r="R1499">
        <v>58.32</v>
      </c>
      <c r="S1499">
        <v>54.2</v>
      </c>
      <c r="T1499">
        <v>4.12</v>
      </c>
      <c r="U1499">
        <f t="shared" si="23"/>
        <v>0</v>
      </c>
    </row>
    <row r="1500" spans="1:21" x14ac:dyDescent="0.25">
      <c r="A1500" s="2" t="s">
        <v>2234</v>
      </c>
      <c r="B1500" s="2" t="s">
        <v>129</v>
      </c>
      <c r="C1500" s="1">
        <v>45908</v>
      </c>
      <c r="D1500" s="2" t="s">
        <v>38</v>
      </c>
      <c r="E1500" s="2" t="s">
        <v>39</v>
      </c>
      <c r="F1500" s="2" t="s">
        <v>85</v>
      </c>
      <c r="G1500">
        <v>2</v>
      </c>
      <c r="H1500" s="2" t="s">
        <v>111</v>
      </c>
      <c r="I1500">
        <v>237.93</v>
      </c>
      <c r="J1500">
        <v>0</v>
      </c>
      <c r="K1500">
        <v>0</v>
      </c>
      <c r="L1500">
        <v>14.68</v>
      </c>
      <c r="M1500">
        <v>85.16</v>
      </c>
      <c r="N1500">
        <v>0</v>
      </c>
      <c r="O1500">
        <v>7.2</v>
      </c>
      <c r="P1500" s="2" t="s">
        <v>42</v>
      </c>
      <c r="Q1500">
        <v>0</v>
      </c>
      <c r="R1500">
        <v>237.93</v>
      </c>
      <c r="S1500">
        <v>107.04</v>
      </c>
      <c r="T1500">
        <v>130.88999999999999</v>
      </c>
      <c r="U1500">
        <f t="shared" si="23"/>
        <v>0</v>
      </c>
    </row>
    <row r="1501" spans="1:21" x14ac:dyDescent="0.25">
      <c r="A1501" s="2" t="s">
        <v>2235</v>
      </c>
      <c r="B1501" s="2" t="s">
        <v>1468</v>
      </c>
      <c r="C1501" s="1">
        <v>45666</v>
      </c>
      <c r="D1501" s="2" t="s">
        <v>59</v>
      </c>
      <c r="E1501" s="2" t="s">
        <v>46</v>
      </c>
      <c r="F1501" s="2" t="s">
        <v>51</v>
      </c>
      <c r="G1501">
        <v>1</v>
      </c>
      <c r="H1501" s="2" t="s">
        <v>74</v>
      </c>
      <c r="I1501">
        <v>58.23</v>
      </c>
      <c r="J1501">
        <v>0</v>
      </c>
      <c r="K1501">
        <v>0</v>
      </c>
      <c r="L1501">
        <v>38.1</v>
      </c>
      <c r="M1501">
        <v>25.41</v>
      </c>
      <c r="N1501">
        <v>8.73</v>
      </c>
      <c r="O1501">
        <v>1.99</v>
      </c>
      <c r="P1501" s="2" t="s">
        <v>42</v>
      </c>
      <c r="Q1501">
        <v>0</v>
      </c>
      <c r="R1501">
        <v>58.23</v>
      </c>
      <c r="S1501">
        <v>74.23</v>
      </c>
      <c r="T1501">
        <v>-16</v>
      </c>
      <c r="U1501">
        <f t="shared" si="23"/>
        <v>0</v>
      </c>
    </row>
    <row r="1502" spans="1:21" x14ac:dyDescent="0.25">
      <c r="A1502" s="2" t="s">
        <v>2236</v>
      </c>
      <c r="B1502" s="2" t="s">
        <v>2237</v>
      </c>
      <c r="C1502" s="1">
        <v>45703</v>
      </c>
      <c r="D1502" s="2" t="s">
        <v>45</v>
      </c>
      <c r="E1502" s="2" t="s">
        <v>46</v>
      </c>
      <c r="F1502" s="2" t="s">
        <v>85</v>
      </c>
      <c r="G1502">
        <v>1</v>
      </c>
      <c r="H1502" s="2" t="s">
        <v>48</v>
      </c>
      <c r="I1502">
        <v>63.78</v>
      </c>
      <c r="J1502">
        <v>0</v>
      </c>
      <c r="K1502">
        <v>0</v>
      </c>
      <c r="L1502">
        <v>3.9</v>
      </c>
      <c r="M1502">
        <v>23.51</v>
      </c>
      <c r="N1502">
        <v>0</v>
      </c>
      <c r="O1502">
        <v>2.15</v>
      </c>
      <c r="P1502" s="2" t="s">
        <v>42</v>
      </c>
      <c r="Q1502">
        <v>0</v>
      </c>
      <c r="R1502">
        <v>63.78</v>
      </c>
      <c r="S1502">
        <v>29.56</v>
      </c>
      <c r="T1502">
        <v>34.22</v>
      </c>
      <c r="U1502">
        <f t="shared" si="23"/>
        <v>0</v>
      </c>
    </row>
    <row r="1503" spans="1:21" x14ac:dyDescent="0.25">
      <c r="A1503" s="2" t="s">
        <v>2238</v>
      </c>
      <c r="B1503" s="2" t="s">
        <v>445</v>
      </c>
      <c r="C1503" s="1">
        <v>45623</v>
      </c>
      <c r="D1503" s="2" t="s">
        <v>38</v>
      </c>
      <c r="E1503" s="2" t="s">
        <v>71</v>
      </c>
      <c r="F1503" s="2" t="s">
        <v>94</v>
      </c>
      <c r="G1503">
        <v>1</v>
      </c>
      <c r="H1503" s="2" t="s">
        <v>74</v>
      </c>
      <c r="I1503">
        <v>28.96</v>
      </c>
      <c r="J1503">
        <v>0</v>
      </c>
      <c r="K1503">
        <v>0</v>
      </c>
      <c r="L1503">
        <v>9.02</v>
      </c>
      <c r="M1503">
        <v>8.3000000000000007</v>
      </c>
      <c r="N1503">
        <v>0</v>
      </c>
      <c r="O1503">
        <v>1.1399999999999999</v>
      </c>
      <c r="P1503" s="2" t="s">
        <v>42</v>
      </c>
      <c r="Q1503">
        <v>0</v>
      </c>
      <c r="R1503">
        <v>28.96</v>
      </c>
      <c r="S1503">
        <v>18.46</v>
      </c>
      <c r="T1503">
        <v>10.5</v>
      </c>
      <c r="U1503">
        <f t="shared" si="23"/>
        <v>0</v>
      </c>
    </row>
    <row r="1504" spans="1:21" x14ac:dyDescent="0.25">
      <c r="A1504" s="2" t="s">
        <v>2239</v>
      </c>
      <c r="B1504" s="2" t="s">
        <v>106</v>
      </c>
      <c r="C1504" s="1">
        <v>45823</v>
      </c>
      <c r="D1504" s="2" t="s">
        <v>45</v>
      </c>
      <c r="E1504" s="2" t="s">
        <v>71</v>
      </c>
      <c r="F1504" s="2" t="s">
        <v>47</v>
      </c>
      <c r="G1504">
        <v>5</v>
      </c>
      <c r="H1504" s="2" t="s">
        <v>74</v>
      </c>
      <c r="I1504">
        <v>878.4</v>
      </c>
      <c r="J1504">
        <v>0</v>
      </c>
      <c r="K1504">
        <v>0</v>
      </c>
      <c r="L1504">
        <v>54.56</v>
      </c>
      <c r="M1504">
        <v>308.68</v>
      </c>
      <c r="N1504">
        <v>0</v>
      </c>
      <c r="O1504">
        <v>25.77</v>
      </c>
      <c r="P1504" s="2" t="s">
        <v>68</v>
      </c>
      <c r="Q1504">
        <v>878.4</v>
      </c>
      <c r="R1504">
        <v>0</v>
      </c>
      <c r="S1504">
        <v>389.01</v>
      </c>
      <c r="T1504">
        <v>-389.01</v>
      </c>
      <c r="U1504">
        <f t="shared" si="23"/>
        <v>0</v>
      </c>
    </row>
    <row r="1505" spans="1:21" x14ac:dyDescent="0.25">
      <c r="A1505" s="2" t="s">
        <v>2240</v>
      </c>
      <c r="B1505" s="2" t="s">
        <v>351</v>
      </c>
      <c r="C1505" s="1">
        <v>45760</v>
      </c>
      <c r="D1505" s="2" t="s">
        <v>38</v>
      </c>
      <c r="E1505" s="2" t="s">
        <v>55</v>
      </c>
      <c r="F1505" s="2" t="s">
        <v>94</v>
      </c>
      <c r="G1505">
        <v>1</v>
      </c>
      <c r="H1505" s="2" t="s">
        <v>64</v>
      </c>
      <c r="I1505">
        <v>43.1</v>
      </c>
      <c r="J1505">
        <v>0</v>
      </c>
      <c r="K1505">
        <v>0</v>
      </c>
      <c r="L1505">
        <v>30.2</v>
      </c>
      <c r="M1505">
        <v>24.8</v>
      </c>
      <c r="N1505">
        <v>0</v>
      </c>
      <c r="O1505">
        <v>1.55</v>
      </c>
      <c r="P1505" s="2" t="s">
        <v>42</v>
      </c>
      <c r="Q1505">
        <v>0</v>
      </c>
      <c r="R1505">
        <v>43.1</v>
      </c>
      <c r="S1505">
        <v>56.55</v>
      </c>
      <c r="T1505">
        <v>-13.45</v>
      </c>
      <c r="U1505">
        <f t="shared" si="23"/>
        <v>0</v>
      </c>
    </row>
    <row r="1506" spans="1:21" x14ac:dyDescent="0.25">
      <c r="A1506" s="2" t="s">
        <v>2241</v>
      </c>
      <c r="B1506" s="2" t="s">
        <v>1690</v>
      </c>
      <c r="C1506" s="1">
        <v>45745</v>
      </c>
      <c r="D1506" s="2" t="s">
        <v>59</v>
      </c>
      <c r="E1506" s="2" t="s">
        <v>71</v>
      </c>
      <c r="F1506" s="2" t="s">
        <v>94</v>
      </c>
      <c r="G1506">
        <v>3</v>
      </c>
      <c r="H1506" s="2" t="s">
        <v>52</v>
      </c>
      <c r="I1506">
        <v>234.38</v>
      </c>
      <c r="J1506">
        <v>25</v>
      </c>
      <c r="K1506">
        <v>58.59</v>
      </c>
      <c r="L1506">
        <v>42.88</v>
      </c>
      <c r="M1506">
        <v>115.27</v>
      </c>
      <c r="N1506">
        <v>26.37</v>
      </c>
      <c r="O1506">
        <v>5.4</v>
      </c>
      <c r="P1506" s="2" t="s">
        <v>68</v>
      </c>
      <c r="Q1506">
        <v>175.79</v>
      </c>
      <c r="R1506">
        <v>0</v>
      </c>
      <c r="S1506">
        <v>189.92</v>
      </c>
      <c r="T1506">
        <v>-189.92</v>
      </c>
      <c r="U1506">
        <f t="shared" si="23"/>
        <v>1</v>
      </c>
    </row>
    <row r="1507" spans="1:21" x14ac:dyDescent="0.25">
      <c r="A1507" s="2" t="s">
        <v>2242</v>
      </c>
      <c r="B1507" s="2" t="s">
        <v>2243</v>
      </c>
      <c r="C1507" s="1">
        <v>45975</v>
      </c>
      <c r="D1507" s="2" t="s">
        <v>38</v>
      </c>
      <c r="E1507" s="2" t="s">
        <v>67</v>
      </c>
      <c r="F1507" s="2" t="s">
        <v>94</v>
      </c>
      <c r="G1507">
        <v>1</v>
      </c>
      <c r="H1507" s="2" t="s">
        <v>64</v>
      </c>
      <c r="I1507">
        <v>56</v>
      </c>
      <c r="J1507">
        <v>10</v>
      </c>
      <c r="K1507">
        <v>5.6</v>
      </c>
      <c r="L1507">
        <v>12.86</v>
      </c>
      <c r="M1507">
        <v>19.82</v>
      </c>
      <c r="N1507">
        <v>0</v>
      </c>
      <c r="O1507">
        <v>1.76</v>
      </c>
      <c r="P1507" s="2" t="s">
        <v>68</v>
      </c>
      <c r="Q1507">
        <v>50.4</v>
      </c>
      <c r="R1507">
        <v>0</v>
      </c>
      <c r="S1507">
        <v>34.44</v>
      </c>
      <c r="T1507">
        <v>-34.44</v>
      </c>
      <c r="U1507">
        <f t="shared" si="23"/>
        <v>0</v>
      </c>
    </row>
    <row r="1508" spans="1:21" x14ac:dyDescent="0.25">
      <c r="A1508" s="2" t="s">
        <v>2244</v>
      </c>
      <c r="B1508" s="2" t="s">
        <v>346</v>
      </c>
      <c r="C1508" s="1">
        <v>45716</v>
      </c>
      <c r="D1508" s="2" t="s">
        <v>59</v>
      </c>
      <c r="E1508" s="2" t="s">
        <v>46</v>
      </c>
      <c r="F1508" s="2" t="s">
        <v>40</v>
      </c>
      <c r="G1508">
        <v>1</v>
      </c>
      <c r="H1508" s="2" t="s">
        <v>64</v>
      </c>
      <c r="I1508">
        <v>127.02</v>
      </c>
      <c r="J1508">
        <v>10</v>
      </c>
      <c r="K1508">
        <v>12.7</v>
      </c>
      <c r="L1508">
        <v>15.8</v>
      </c>
      <c r="M1508">
        <v>62.54</v>
      </c>
      <c r="N1508">
        <v>17.149999999999999</v>
      </c>
      <c r="O1508">
        <v>3.62</v>
      </c>
      <c r="P1508" s="2" t="s">
        <v>42</v>
      </c>
      <c r="Q1508">
        <v>0</v>
      </c>
      <c r="R1508">
        <v>114.32</v>
      </c>
      <c r="S1508">
        <v>99.11</v>
      </c>
      <c r="T1508">
        <v>15.21</v>
      </c>
      <c r="U1508">
        <f t="shared" si="23"/>
        <v>1</v>
      </c>
    </row>
    <row r="1509" spans="1:21" x14ac:dyDescent="0.25">
      <c r="A1509" s="2" t="s">
        <v>2245</v>
      </c>
      <c r="B1509" s="2" t="s">
        <v>1211</v>
      </c>
      <c r="C1509" s="1">
        <v>45854</v>
      </c>
      <c r="D1509" s="2" t="s">
        <v>59</v>
      </c>
      <c r="E1509" s="2" t="s">
        <v>46</v>
      </c>
      <c r="F1509" s="2" t="s">
        <v>51</v>
      </c>
      <c r="G1509">
        <v>1</v>
      </c>
      <c r="H1509" s="2" t="s">
        <v>52</v>
      </c>
      <c r="I1509">
        <v>45.27</v>
      </c>
      <c r="J1509">
        <v>10</v>
      </c>
      <c r="K1509">
        <v>4.53</v>
      </c>
      <c r="L1509">
        <v>12.78</v>
      </c>
      <c r="M1509">
        <v>23.99</v>
      </c>
      <c r="N1509">
        <v>6.11</v>
      </c>
      <c r="O1509">
        <v>1.48</v>
      </c>
      <c r="P1509" s="2" t="s">
        <v>42</v>
      </c>
      <c r="Q1509">
        <v>0</v>
      </c>
      <c r="R1509">
        <v>40.74</v>
      </c>
      <c r="S1509">
        <v>44.36</v>
      </c>
      <c r="T1509">
        <v>-3.62</v>
      </c>
      <c r="U1509">
        <f t="shared" si="23"/>
        <v>1</v>
      </c>
    </row>
    <row r="1510" spans="1:21" x14ac:dyDescent="0.25">
      <c r="A1510" s="2" t="s">
        <v>2246</v>
      </c>
      <c r="B1510" s="2" t="s">
        <v>2247</v>
      </c>
      <c r="C1510" s="1">
        <v>45709</v>
      </c>
      <c r="D1510" s="2" t="s">
        <v>80</v>
      </c>
      <c r="E1510" s="2" t="s">
        <v>46</v>
      </c>
      <c r="F1510" s="2" t="s">
        <v>47</v>
      </c>
      <c r="G1510">
        <v>2</v>
      </c>
      <c r="H1510" s="2" t="s">
        <v>77</v>
      </c>
      <c r="I1510">
        <v>53.02</v>
      </c>
      <c r="J1510">
        <v>10</v>
      </c>
      <c r="K1510">
        <v>5.3</v>
      </c>
      <c r="L1510">
        <v>21.72</v>
      </c>
      <c r="M1510">
        <v>19.420000000000002</v>
      </c>
      <c r="N1510">
        <v>3.82</v>
      </c>
      <c r="O1510">
        <v>1.68</v>
      </c>
      <c r="P1510" s="2" t="s">
        <v>42</v>
      </c>
      <c r="Q1510">
        <v>0</v>
      </c>
      <c r="R1510">
        <v>47.72</v>
      </c>
      <c r="S1510">
        <v>46.64</v>
      </c>
      <c r="T1510">
        <v>1.08</v>
      </c>
      <c r="U1510">
        <f t="shared" si="23"/>
        <v>0</v>
      </c>
    </row>
    <row r="1511" spans="1:21" x14ac:dyDescent="0.25">
      <c r="A1511" s="2" t="s">
        <v>2248</v>
      </c>
      <c r="B1511" s="2" t="s">
        <v>1439</v>
      </c>
      <c r="C1511" s="1">
        <v>45937</v>
      </c>
      <c r="D1511" s="2" t="s">
        <v>45</v>
      </c>
      <c r="E1511" s="2" t="s">
        <v>46</v>
      </c>
      <c r="F1511" s="2" t="s">
        <v>47</v>
      </c>
      <c r="G1511">
        <v>1</v>
      </c>
      <c r="H1511" s="2" t="s">
        <v>64</v>
      </c>
      <c r="I1511">
        <v>94.4</v>
      </c>
      <c r="J1511">
        <v>0</v>
      </c>
      <c r="K1511">
        <v>0</v>
      </c>
      <c r="L1511">
        <v>21.88</v>
      </c>
      <c r="M1511">
        <v>51.18</v>
      </c>
      <c r="N1511">
        <v>0</v>
      </c>
      <c r="O1511">
        <v>3.04</v>
      </c>
      <c r="P1511" s="2" t="s">
        <v>42</v>
      </c>
      <c r="Q1511">
        <v>0</v>
      </c>
      <c r="R1511">
        <v>94.4</v>
      </c>
      <c r="S1511">
        <v>76.099999999999994</v>
      </c>
      <c r="T1511">
        <v>18.3</v>
      </c>
      <c r="U1511">
        <f t="shared" si="23"/>
        <v>0</v>
      </c>
    </row>
    <row r="1512" spans="1:21" x14ac:dyDescent="0.25">
      <c r="A1512" s="2" t="s">
        <v>2249</v>
      </c>
      <c r="B1512" s="2" t="s">
        <v>2250</v>
      </c>
      <c r="C1512" s="1">
        <v>45620</v>
      </c>
      <c r="D1512" s="2" t="s">
        <v>45</v>
      </c>
      <c r="E1512" s="2" t="s">
        <v>39</v>
      </c>
      <c r="F1512" s="2" t="s">
        <v>94</v>
      </c>
      <c r="G1512">
        <v>4</v>
      </c>
      <c r="H1512" s="2" t="s">
        <v>77</v>
      </c>
      <c r="I1512">
        <v>163.09</v>
      </c>
      <c r="J1512">
        <v>0</v>
      </c>
      <c r="K1512">
        <v>0</v>
      </c>
      <c r="L1512">
        <v>43.98</v>
      </c>
      <c r="M1512">
        <v>82.06</v>
      </c>
      <c r="N1512">
        <v>0</v>
      </c>
      <c r="O1512">
        <v>5.03</v>
      </c>
      <c r="P1512" s="2" t="s">
        <v>42</v>
      </c>
      <c r="Q1512">
        <v>0</v>
      </c>
      <c r="R1512">
        <v>163.09</v>
      </c>
      <c r="S1512">
        <v>131.07</v>
      </c>
      <c r="T1512">
        <v>32.020000000000003</v>
      </c>
      <c r="U1512">
        <f t="shared" si="23"/>
        <v>0</v>
      </c>
    </row>
    <row r="1513" spans="1:21" x14ac:dyDescent="0.25">
      <c r="A1513" s="2" t="s">
        <v>2251</v>
      </c>
      <c r="B1513" s="2" t="s">
        <v>882</v>
      </c>
      <c r="C1513" s="1">
        <v>45811</v>
      </c>
      <c r="D1513" s="2" t="s">
        <v>45</v>
      </c>
      <c r="E1513" s="2" t="s">
        <v>67</v>
      </c>
      <c r="F1513" s="2" t="s">
        <v>47</v>
      </c>
      <c r="G1513">
        <v>3</v>
      </c>
      <c r="H1513" s="2" t="s">
        <v>56</v>
      </c>
      <c r="I1513">
        <v>204.23</v>
      </c>
      <c r="J1513">
        <v>0</v>
      </c>
      <c r="K1513">
        <v>0</v>
      </c>
      <c r="L1513">
        <v>31.46</v>
      </c>
      <c r="M1513">
        <v>85.39</v>
      </c>
      <c r="N1513">
        <v>0</v>
      </c>
      <c r="O1513">
        <v>6.22</v>
      </c>
      <c r="P1513" s="2" t="s">
        <v>68</v>
      </c>
      <c r="Q1513">
        <v>204.23</v>
      </c>
      <c r="R1513">
        <v>0</v>
      </c>
      <c r="S1513">
        <v>123.07</v>
      </c>
      <c r="T1513">
        <v>-123.07</v>
      </c>
      <c r="U1513">
        <f t="shared" si="23"/>
        <v>0</v>
      </c>
    </row>
    <row r="1514" spans="1:21" x14ac:dyDescent="0.25">
      <c r="A1514" s="2" t="s">
        <v>2252</v>
      </c>
      <c r="B1514" s="2" t="s">
        <v>1718</v>
      </c>
      <c r="C1514" s="1">
        <v>45845</v>
      </c>
      <c r="D1514" s="2" t="s">
        <v>45</v>
      </c>
      <c r="E1514" s="2" t="s">
        <v>46</v>
      </c>
      <c r="F1514" s="2" t="s">
        <v>94</v>
      </c>
      <c r="G1514">
        <v>2</v>
      </c>
      <c r="H1514" s="2" t="s">
        <v>64</v>
      </c>
      <c r="I1514">
        <v>129.99</v>
      </c>
      <c r="J1514">
        <v>15</v>
      </c>
      <c r="K1514">
        <v>19.5</v>
      </c>
      <c r="L1514">
        <v>13.96</v>
      </c>
      <c r="M1514">
        <v>44.33</v>
      </c>
      <c r="N1514">
        <v>0</v>
      </c>
      <c r="O1514">
        <v>3.5</v>
      </c>
      <c r="P1514" s="2" t="s">
        <v>42</v>
      </c>
      <c r="Q1514">
        <v>0</v>
      </c>
      <c r="R1514">
        <v>110.49</v>
      </c>
      <c r="S1514">
        <v>61.79</v>
      </c>
      <c r="T1514">
        <v>48.7</v>
      </c>
      <c r="U1514">
        <f t="shared" si="23"/>
        <v>0</v>
      </c>
    </row>
    <row r="1515" spans="1:21" x14ac:dyDescent="0.25">
      <c r="A1515" s="2" t="s">
        <v>2253</v>
      </c>
      <c r="B1515" s="2" t="s">
        <v>1086</v>
      </c>
      <c r="C1515" s="1">
        <v>45574</v>
      </c>
      <c r="D1515" s="2" t="s">
        <v>38</v>
      </c>
      <c r="E1515" s="2" t="s">
        <v>46</v>
      </c>
      <c r="F1515" s="2" t="s">
        <v>40</v>
      </c>
      <c r="G1515">
        <v>1</v>
      </c>
      <c r="H1515" s="2" t="s">
        <v>111</v>
      </c>
      <c r="I1515">
        <v>143.66</v>
      </c>
      <c r="J1515">
        <v>0</v>
      </c>
      <c r="K1515">
        <v>0</v>
      </c>
      <c r="L1515">
        <v>20.28</v>
      </c>
      <c r="M1515">
        <v>95.12</v>
      </c>
      <c r="N1515">
        <v>0</v>
      </c>
      <c r="O1515">
        <v>4.47</v>
      </c>
      <c r="P1515" s="2" t="s">
        <v>42</v>
      </c>
      <c r="Q1515">
        <v>0</v>
      </c>
      <c r="R1515">
        <v>143.66</v>
      </c>
      <c r="S1515">
        <v>119.87</v>
      </c>
      <c r="T1515">
        <v>23.79</v>
      </c>
      <c r="U1515">
        <f t="shared" si="23"/>
        <v>1</v>
      </c>
    </row>
    <row r="1516" spans="1:21" x14ac:dyDescent="0.25">
      <c r="A1516" s="2" t="s">
        <v>2254</v>
      </c>
      <c r="B1516" s="2" t="s">
        <v>1687</v>
      </c>
      <c r="C1516" s="1">
        <v>45764</v>
      </c>
      <c r="D1516" s="2" t="s">
        <v>45</v>
      </c>
      <c r="E1516" s="2" t="s">
        <v>46</v>
      </c>
      <c r="F1516" s="2" t="s">
        <v>40</v>
      </c>
      <c r="G1516">
        <v>1</v>
      </c>
      <c r="H1516" s="2" t="s">
        <v>64</v>
      </c>
      <c r="I1516">
        <v>46.68</v>
      </c>
      <c r="J1516">
        <v>15</v>
      </c>
      <c r="K1516">
        <v>7</v>
      </c>
      <c r="L1516">
        <v>10.3</v>
      </c>
      <c r="M1516">
        <v>15.73</v>
      </c>
      <c r="N1516">
        <v>0</v>
      </c>
      <c r="O1516">
        <v>1.45</v>
      </c>
      <c r="P1516" s="2" t="s">
        <v>42</v>
      </c>
      <c r="Q1516">
        <v>0</v>
      </c>
      <c r="R1516">
        <v>39.68</v>
      </c>
      <c r="S1516">
        <v>27.48</v>
      </c>
      <c r="T1516">
        <v>12.2</v>
      </c>
      <c r="U1516">
        <f t="shared" si="23"/>
        <v>0</v>
      </c>
    </row>
    <row r="1517" spans="1:21" x14ac:dyDescent="0.25">
      <c r="A1517" s="2" t="s">
        <v>2255</v>
      </c>
      <c r="B1517" s="2" t="s">
        <v>999</v>
      </c>
      <c r="C1517" s="1">
        <v>45923</v>
      </c>
      <c r="D1517" s="2" t="s">
        <v>80</v>
      </c>
      <c r="E1517" s="2" t="s">
        <v>71</v>
      </c>
      <c r="F1517" s="2" t="s">
        <v>47</v>
      </c>
      <c r="G1517">
        <v>3</v>
      </c>
      <c r="H1517" s="2" t="s">
        <v>56</v>
      </c>
      <c r="I1517">
        <v>135</v>
      </c>
      <c r="J1517">
        <v>25</v>
      </c>
      <c r="K1517">
        <v>33.75</v>
      </c>
      <c r="L1517">
        <v>27.38</v>
      </c>
      <c r="M1517">
        <v>43.52</v>
      </c>
      <c r="N1517">
        <v>8.1</v>
      </c>
      <c r="O1517">
        <v>3.24</v>
      </c>
      <c r="P1517" s="2" t="s">
        <v>42</v>
      </c>
      <c r="Q1517">
        <v>0</v>
      </c>
      <c r="R1517">
        <v>101.25</v>
      </c>
      <c r="S1517">
        <v>82.24</v>
      </c>
      <c r="T1517">
        <v>19.010000000000002</v>
      </c>
      <c r="U1517">
        <f t="shared" si="23"/>
        <v>0</v>
      </c>
    </row>
    <row r="1518" spans="1:21" x14ac:dyDescent="0.25">
      <c r="A1518" s="2" t="s">
        <v>2256</v>
      </c>
      <c r="B1518" s="2" t="s">
        <v>509</v>
      </c>
      <c r="C1518" s="1">
        <v>45558</v>
      </c>
      <c r="D1518" s="2" t="s">
        <v>45</v>
      </c>
      <c r="E1518" s="2" t="s">
        <v>67</v>
      </c>
      <c r="F1518" s="2" t="s">
        <v>85</v>
      </c>
      <c r="G1518">
        <v>2</v>
      </c>
      <c r="H1518" s="2" t="s">
        <v>48</v>
      </c>
      <c r="I1518">
        <v>47.66</v>
      </c>
      <c r="J1518">
        <v>0</v>
      </c>
      <c r="K1518">
        <v>0</v>
      </c>
      <c r="L1518">
        <v>27.78</v>
      </c>
      <c r="M1518">
        <v>22.37</v>
      </c>
      <c r="N1518">
        <v>0</v>
      </c>
      <c r="O1518">
        <v>1.68</v>
      </c>
      <c r="P1518" s="2" t="s">
        <v>42</v>
      </c>
      <c r="Q1518">
        <v>0</v>
      </c>
      <c r="R1518">
        <v>47.66</v>
      </c>
      <c r="S1518">
        <v>51.83</v>
      </c>
      <c r="T1518">
        <v>-4.17</v>
      </c>
      <c r="U1518">
        <f t="shared" si="23"/>
        <v>0</v>
      </c>
    </row>
    <row r="1519" spans="1:21" x14ac:dyDescent="0.25">
      <c r="A1519" s="2" t="s">
        <v>2257</v>
      </c>
      <c r="B1519" s="2" t="s">
        <v>1038</v>
      </c>
      <c r="C1519" s="1">
        <v>45344</v>
      </c>
      <c r="D1519" s="2" t="s">
        <v>80</v>
      </c>
      <c r="E1519" s="2" t="s">
        <v>46</v>
      </c>
      <c r="F1519" s="2" t="s">
        <v>51</v>
      </c>
      <c r="G1519">
        <v>1</v>
      </c>
      <c r="H1519" s="2" t="s">
        <v>74</v>
      </c>
      <c r="I1519">
        <v>48.08</v>
      </c>
      <c r="J1519">
        <v>0</v>
      </c>
      <c r="K1519">
        <v>0</v>
      </c>
      <c r="L1519">
        <v>15.26</v>
      </c>
      <c r="M1519">
        <v>34.07</v>
      </c>
      <c r="N1519">
        <v>3.85</v>
      </c>
      <c r="O1519">
        <v>1.69</v>
      </c>
      <c r="P1519" s="2" t="s">
        <v>42</v>
      </c>
      <c r="Q1519">
        <v>0</v>
      </c>
      <c r="R1519">
        <v>48.08</v>
      </c>
      <c r="S1519">
        <v>54.87</v>
      </c>
      <c r="T1519">
        <v>-6.79</v>
      </c>
      <c r="U1519">
        <f t="shared" si="23"/>
        <v>0</v>
      </c>
    </row>
    <row r="1520" spans="1:21" x14ac:dyDescent="0.25">
      <c r="A1520" s="2" t="s">
        <v>2258</v>
      </c>
      <c r="B1520" s="2" t="s">
        <v>2259</v>
      </c>
      <c r="C1520" s="1">
        <v>45678</v>
      </c>
      <c r="D1520" s="2" t="s">
        <v>59</v>
      </c>
      <c r="E1520" s="2" t="s">
        <v>46</v>
      </c>
      <c r="F1520" s="2" t="s">
        <v>40</v>
      </c>
      <c r="G1520">
        <v>2</v>
      </c>
      <c r="H1520" s="2" t="s">
        <v>48</v>
      </c>
      <c r="I1520">
        <v>75.09</v>
      </c>
      <c r="J1520">
        <v>0</v>
      </c>
      <c r="K1520">
        <v>0</v>
      </c>
      <c r="L1520">
        <v>56.86</v>
      </c>
      <c r="M1520">
        <v>44.4</v>
      </c>
      <c r="N1520">
        <v>11.26</v>
      </c>
      <c r="O1520">
        <v>2.48</v>
      </c>
      <c r="P1520" s="2" t="s">
        <v>42</v>
      </c>
      <c r="Q1520">
        <v>0</v>
      </c>
      <c r="R1520">
        <v>75.09</v>
      </c>
      <c r="S1520">
        <v>115</v>
      </c>
      <c r="T1520">
        <v>-39.909999999999997</v>
      </c>
      <c r="U1520">
        <f t="shared" si="23"/>
        <v>0</v>
      </c>
    </row>
    <row r="1521" spans="1:21" x14ac:dyDescent="0.25">
      <c r="A1521" s="2" t="s">
        <v>2260</v>
      </c>
      <c r="B1521" s="2" t="s">
        <v>2261</v>
      </c>
      <c r="C1521" s="1">
        <v>45790</v>
      </c>
      <c r="D1521" s="2" t="s">
        <v>45</v>
      </c>
      <c r="E1521" s="2" t="s">
        <v>67</v>
      </c>
      <c r="F1521" s="2" t="s">
        <v>47</v>
      </c>
      <c r="G1521">
        <v>1</v>
      </c>
      <c r="H1521" s="2" t="s">
        <v>56</v>
      </c>
      <c r="I1521">
        <v>159.63</v>
      </c>
      <c r="J1521">
        <v>0</v>
      </c>
      <c r="K1521">
        <v>0</v>
      </c>
      <c r="L1521">
        <v>11.94</v>
      </c>
      <c r="M1521">
        <v>109.17</v>
      </c>
      <c r="N1521">
        <v>0</v>
      </c>
      <c r="O1521">
        <v>4.93</v>
      </c>
      <c r="P1521" s="2" t="s">
        <v>42</v>
      </c>
      <c r="Q1521">
        <v>0</v>
      </c>
      <c r="R1521">
        <v>159.63</v>
      </c>
      <c r="S1521">
        <v>126.04</v>
      </c>
      <c r="T1521">
        <v>33.590000000000003</v>
      </c>
      <c r="U1521">
        <f t="shared" si="23"/>
        <v>0</v>
      </c>
    </row>
    <row r="1522" spans="1:21" x14ac:dyDescent="0.25">
      <c r="A1522" s="2" t="s">
        <v>2262</v>
      </c>
      <c r="B1522" s="2" t="s">
        <v>810</v>
      </c>
      <c r="C1522" s="1">
        <v>45703</v>
      </c>
      <c r="D1522" s="2" t="s">
        <v>45</v>
      </c>
      <c r="E1522" s="2" t="s">
        <v>46</v>
      </c>
      <c r="F1522" s="2" t="s">
        <v>94</v>
      </c>
      <c r="G1522">
        <v>1</v>
      </c>
      <c r="H1522" s="2" t="s">
        <v>64</v>
      </c>
      <c r="I1522">
        <v>62.28</v>
      </c>
      <c r="J1522">
        <v>5</v>
      </c>
      <c r="K1522">
        <v>3.11</v>
      </c>
      <c r="L1522">
        <v>10.54</v>
      </c>
      <c r="M1522">
        <v>23.32</v>
      </c>
      <c r="N1522">
        <v>0</v>
      </c>
      <c r="O1522">
        <v>2.02</v>
      </c>
      <c r="P1522" s="2" t="s">
        <v>42</v>
      </c>
      <c r="Q1522">
        <v>0</v>
      </c>
      <c r="R1522">
        <v>59.17</v>
      </c>
      <c r="S1522">
        <v>35.880000000000003</v>
      </c>
      <c r="T1522">
        <v>23.29</v>
      </c>
      <c r="U1522">
        <f t="shared" si="23"/>
        <v>0</v>
      </c>
    </row>
    <row r="1523" spans="1:21" x14ac:dyDescent="0.25">
      <c r="A1523" s="2" t="s">
        <v>2263</v>
      </c>
      <c r="B1523" s="2" t="s">
        <v>1165</v>
      </c>
      <c r="C1523" s="1">
        <v>45861</v>
      </c>
      <c r="D1523" s="2" t="s">
        <v>38</v>
      </c>
      <c r="E1523" s="2" t="s">
        <v>46</v>
      </c>
      <c r="F1523" s="2" t="s">
        <v>47</v>
      </c>
      <c r="G1523">
        <v>1</v>
      </c>
      <c r="H1523" s="2" t="s">
        <v>111</v>
      </c>
      <c r="I1523">
        <v>104.73</v>
      </c>
      <c r="J1523">
        <v>10</v>
      </c>
      <c r="K1523">
        <v>10.47</v>
      </c>
      <c r="L1523">
        <v>14.94</v>
      </c>
      <c r="M1523">
        <v>34.15</v>
      </c>
      <c r="N1523">
        <v>0</v>
      </c>
      <c r="O1523">
        <v>3.03</v>
      </c>
      <c r="P1523" s="2" t="s">
        <v>42</v>
      </c>
      <c r="Q1523">
        <v>0</v>
      </c>
      <c r="R1523">
        <v>94.26</v>
      </c>
      <c r="S1523">
        <v>52.12</v>
      </c>
      <c r="T1523">
        <v>42.14</v>
      </c>
      <c r="U1523">
        <f t="shared" si="23"/>
        <v>0</v>
      </c>
    </row>
    <row r="1524" spans="1:21" x14ac:dyDescent="0.25">
      <c r="A1524" s="2" t="s">
        <v>2264</v>
      </c>
      <c r="B1524" s="2" t="s">
        <v>332</v>
      </c>
      <c r="C1524" s="1">
        <v>45508</v>
      </c>
      <c r="D1524" s="2" t="s">
        <v>45</v>
      </c>
      <c r="E1524" s="2" t="s">
        <v>46</v>
      </c>
      <c r="F1524" s="2" t="s">
        <v>94</v>
      </c>
      <c r="G1524">
        <v>1</v>
      </c>
      <c r="H1524" s="2" t="s">
        <v>56</v>
      </c>
      <c r="I1524">
        <v>72.98</v>
      </c>
      <c r="J1524">
        <v>5</v>
      </c>
      <c r="K1524">
        <v>3.65</v>
      </c>
      <c r="L1524">
        <v>24.76</v>
      </c>
      <c r="M1524">
        <v>30.4</v>
      </c>
      <c r="N1524">
        <v>0</v>
      </c>
      <c r="O1524">
        <v>2.31</v>
      </c>
      <c r="P1524" s="2" t="s">
        <v>42</v>
      </c>
      <c r="Q1524">
        <v>0</v>
      </c>
      <c r="R1524">
        <v>69.33</v>
      </c>
      <c r="S1524">
        <v>57.47</v>
      </c>
      <c r="T1524">
        <v>11.86</v>
      </c>
      <c r="U1524">
        <f t="shared" si="23"/>
        <v>0</v>
      </c>
    </row>
    <row r="1525" spans="1:21" x14ac:dyDescent="0.25">
      <c r="A1525" s="2" t="s">
        <v>2265</v>
      </c>
      <c r="B1525" s="2" t="s">
        <v>830</v>
      </c>
      <c r="C1525" s="1">
        <v>45795</v>
      </c>
      <c r="D1525" s="2" t="s">
        <v>80</v>
      </c>
      <c r="E1525" s="2" t="s">
        <v>46</v>
      </c>
      <c r="F1525" s="2" t="s">
        <v>40</v>
      </c>
      <c r="G1525">
        <v>1</v>
      </c>
      <c r="H1525" s="2" t="s">
        <v>74</v>
      </c>
      <c r="I1525">
        <v>28.96</v>
      </c>
      <c r="J1525">
        <v>0</v>
      </c>
      <c r="K1525">
        <v>0</v>
      </c>
      <c r="L1525">
        <v>9.02</v>
      </c>
      <c r="M1525">
        <v>8.3000000000000007</v>
      </c>
      <c r="N1525">
        <v>2.3199999999999998</v>
      </c>
      <c r="O1525">
        <v>1.1399999999999999</v>
      </c>
      <c r="P1525" s="2" t="s">
        <v>42</v>
      </c>
      <c r="Q1525">
        <v>0</v>
      </c>
      <c r="R1525">
        <v>28.96</v>
      </c>
      <c r="S1525">
        <v>20.78</v>
      </c>
      <c r="T1525">
        <v>8.18</v>
      </c>
      <c r="U1525">
        <f t="shared" si="23"/>
        <v>0</v>
      </c>
    </row>
    <row r="1526" spans="1:21" x14ac:dyDescent="0.25">
      <c r="A1526" s="2" t="s">
        <v>2266</v>
      </c>
      <c r="B1526" s="2" t="s">
        <v>437</v>
      </c>
      <c r="C1526" s="1">
        <v>45532</v>
      </c>
      <c r="D1526" s="2" t="s">
        <v>80</v>
      </c>
      <c r="E1526" s="2" t="s">
        <v>39</v>
      </c>
      <c r="F1526" s="2" t="s">
        <v>47</v>
      </c>
      <c r="G1526">
        <v>4</v>
      </c>
      <c r="H1526" s="2" t="s">
        <v>111</v>
      </c>
      <c r="I1526">
        <v>155.47</v>
      </c>
      <c r="J1526">
        <v>5</v>
      </c>
      <c r="K1526">
        <v>7.77</v>
      </c>
      <c r="L1526">
        <v>33.92</v>
      </c>
      <c r="M1526">
        <v>56.61</v>
      </c>
      <c r="N1526">
        <v>11.82</v>
      </c>
      <c r="O1526">
        <v>4.58</v>
      </c>
      <c r="P1526" s="2" t="s">
        <v>42</v>
      </c>
      <c r="Q1526">
        <v>0</v>
      </c>
      <c r="R1526">
        <v>147.69999999999999</v>
      </c>
      <c r="S1526">
        <v>106.93</v>
      </c>
      <c r="T1526">
        <v>40.770000000000003</v>
      </c>
      <c r="U1526">
        <f t="shared" si="23"/>
        <v>0</v>
      </c>
    </row>
    <row r="1527" spans="1:21" x14ac:dyDescent="0.25">
      <c r="A1527" s="2" t="s">
        <v>2267</v>
      </c>
      <c r="B1527" s="2" t="s">
        <v>1106</v>
      </c>
      <c r="C1527" s="1">
        <v>45899</v>
      </c>
      <c r="D1527" s="2" t="s">
        <v>80</v>
      </c>
      <c r="E1527" s="2" t="s">
        <v>71</v>
      </c>
      <c r="F1527" s="2" t="s">
        <v>94</v>
      </c>
      <c r="G1527">
        <v>2</v>
      </c>
      <c r="H1527" s="2" t="s">
        <v>111</v>
      </c>
      <c r="I1527">
        <v>234.21</v>
      </c>
      <c r="J1527">
        <v>15</v>
      </c>
      <c r="K1527">
        <v>35.130000000000003</v>
      </c>
      <c r="L1527">
        <v>25.32</v>
      </c>
      <c r="M1527">
        <v>79.78</v>
      </c>
      <c r="N1527">
        <v>15.93</v>
      </c>
      <c r="O1527">
        <v>6.07</v>
      </c>
      <c r="P1527" s="2" t="s">
        <v>42</v>
      </c>
      <c r="Q1527">
        <v>0</v>
      </c>
      <c r="R1527">
        <v>199.08</v>
      </c>
      <c r="S1527">
        <v>127.1</v>
      </c>
      <c r="T1527">
        <v>71.98</v>
      </c>
      <c r="U1527">
        <f t="shared" si="23"/>
        <v>0</v>
      </c>
    </row>
    <row r="1528" spans="1:21" x14ac:dyDescent="0.25">
      <c r="A1528" s="2" t="s">
        <v>2268</v>
      </c>
      <c r="B1528" s="2" t="s">
        <v>650</v>
      </c>
      <c r="C1528" s="1">
        <v>45500</v>
      </c>
      <c r="D1528" s="2" t="s">
        <v>38</v>
      </c>
      <c r="E1528" s="2" t="s">
        <v>55</v>
      </c>
      <c r="F1528" s="2" t="s">
        <v>47</v>
      </c>
      <c r="G1528">
        <v>3</v>
      </c>
      <c r="H1528" s="2" t="s">
        <v>56</v>
      </c>
      <c r="I1528">
        <v>241.62</v>
      </c>
      <c r="J1528">
        <v>10</v>
      </c>
      <c r="K1528">
        <v>24.16</v>
      </c>
      <c r="L1528">
        <v>26.1</v>
      </c>
      <c r="M1528">
        <v>78.06</v>
      </c>
      <c r="N1528">
        <v>0</v>
      </c>
      <c r="O1528">
        <v>6.61</v>
      </c>
      <c r="P1528" s="2" t="s">
        <v>42</v>
      </c>
      <c r="Q1528">
        <v>0</v>
      </c>
      <c r="R1528">
        <v>217.46</v>
      </c>
      <c r="S1528">
        <v>110.77</v>
      </c>
      <c r="T1528">
        <v>106.69</v>
      </c>
      <c r="U1528">
        <f t="shared" si="23"/>
        <v>0</v>
      </c>
    </row>
    <row r="1529" spans="1:21" x14ac:dyDescent="0.25">
      <c r="A1529" s="2" t="s">
        <v>2269</v>
      </c>
      <c r="B1529" s="2" t="s">
        <v>406</v>
      </c>
      <c r="C1529" s="1">
        <v>45917</v>
      </c>
      <c r="D1529" s="2" t="s">
        <v>45</v>
      </c>
      <c r="E1529" s="2" t="s">
        <v>46</v>
      </c>
      <c r="F1529" s="2" t="s">
        <v>40</v>
      </c>
      <c r="G1529">
        <v>2</v>
      </c>
      <c r="H1529" s="2" t="s">
        <v>41</v>
      </c>
      <c r="I1529">
        <v>303.47000000000003</v>
      </c>
      <c r="J1529">
        <v>15</v>
      </c>
      <c r="K1529">
        <v>45.52</v>
      </c>
      <c r="L1529">
        <v>33.92</v>
      </c>
      <c r="M1529">
        <v>137.19999999999999</v>
      </c>
      <c r="N1529">
        <v>0</v>
      </c>
      <c r="O1529">
        <v>7.78</v>
      </c>
      <c r="P1529" s="2" t="s">
        <v>42</v>
      </c>
      <c r="Q1529">
        <v>0</v>
      </c>
      <c r="R1529">
        <v>257.95</v>
      </c>
      <c r="S1529">
        <v>178.9</v>
      </c>
      <c r="T1529">
        <v>79.05</v>
      </c>
      <c r="U1529">
        <f t="shared" si="23"/>
        <v>0</v>
      </c>
    </row>
    <row r="1530" spans="1:21" x14ac:dyDescent="0.25">
      <c r="A1530" s="2" t="s">
        <v>2270</v>
      </c>
      <c r="B1530" s="2" t="s">
        <v>1111</v>
      </c>
      <c r="C1530" s="1">
        <v>45724</v>
      </c>
      <c r="D1530" s="2" t="s">
        <v>38</v>
      </c>
      <c r="E1530" s="2" t="s">
        <v>55</v>
      </c>
      <c r="F1530" s="2" t="s">
        <v>40</v>
      </c>
      <c r="G1530">
        <v>2</v>
      </c>
      <c r="H1530" s="2" t="s">
        <v>56</v>
      </c>
      <c r="I1530">
        <v>262.56</v>
      </c>
      <c r="J1530">
        <v>0</v>
      </c>
      <c r="K1530">
        <v>0</v>
      </c>
      <c r="L1530">
        <v>22.44</v>
      </c>
      <c r="M1530">
        <v>95.11</v>
      </c>
      <c r="N1530">
        <v>0</v>
      </c>
      <c r="O1530">
        <v>7.91</v>
      </c>
      <c r="P1530" s="2" t="s">
        <v>42</v>
      </c>
      <c r="Q1530">
        <v>0</v>
      </c>
      <c r="R1530">
        <v>262.56</v>
      </c>
      <c r="S1530">
        <v>125.46</v>
      </c>
      <c r="T1530">
        <v>137.1</v>
      </c>
      <c r="U1530">
        <f t="shared" si="23"/>
        <v>0</v>
      </c>
    </row>
    <row r="1531" spans="1:21" x14ac:dyDescent="0.25">
      <c r="A1531" s="2" t="s">
        <v>2271</v>
      </c>
      <c r="B1531" s="2" t="s">
        <v>2272</v>
      </c>
      <c r="C1531" s="1">
        <v>45761</v>
      </c>
      <c r="D1531" s="2" t="s">
        <v>45</v>
      </c>
      <c r="E1531" s="2" t="s">
        <v>67</v>
      </c>
      <c r="F1531" s="2" t="s">
        <v>51</v>
      </c>
      <c r="G1531">
        <v>1</v>
      </c>
      <c r="H1531" s="2" t="s">
        <v>111</v>
      </c>
      <c r="I1531">
        <v>33.22</v>
      </c>
      <c r="J1531">
        <v>15</v>
      </c>
      <c r="K1531">
        <v>4.9800000000000004</v>
      </c>
      <c r="L1531">
        <v>8.94</v>
      </c>
      <c r="M1531">
        <v>19.46</v>
      </c>
      <c r="N1531">
        <v>0</v>
      </c>
      <c r="O1531">
        <v>1.1200000000000001</v>
      </c>
      <c r="P1531" s="2" t="s">
        <v>42</v>
      </c>
      <c r="Q1531">
        <v>0</v>
      </c>
      <c r="R1531">
        <v>28.24</v>
      </c>
      <c r="S1531">
        <v>29.52</v>
      </c>
      <c r="T1531">
        <v>-1.28</v>
      </c>
      <c r="U1531">
        <f t="shared" si="23"/>
        <v>0</v>
      </c>
    </row>
    <row r="1532" spans="1:21" x14ac:dyDescent="0.25">
      <c r="A1532" s="2" t="s">
        <v>2273</v>
      </c>
      <c r="B1532" s="2" t="s">
        <v>2274</v>
      </c>
      <c r="C1532" s="1">
        <v>45959</v>
      </c>
      <c r="D1532" s="2" t="s">
        <v>45</v>
      </c>
      <c r="E1532" s="2" t="s">
        <v>55</v>
      </c>
      <c r="F1532" s="2" t="s">
        <v>94</v>
      </c>
      <c r="G1532">
        <v>2</v>
      </c>
      <c r="H1532" s="2" t="s">
        <v>56</v>
      </c>
      <c r="I1532">
        <v>173.3</v>
      </c>
      <c r="J1532">
        <v>10</v>
      </c>
      <c r="K1532">
        <v>17.329999999999998</v>
      </c>
      <c r="L1532">
        <v>11.72</v>
      </c>
      <c r="M1532">
        <v>64.33</v>
      </c>
      <c r="N1532">
        <v>0</v>
      </c>
      <c r="O1532">
        <v>4.82</v>
      </c>
      <c r="P1532" s="2" t="s">
        <v>42</v>
      </c>
      <c r="Q1532">
        <v>0</v>
      </c>
      <c r="R1532">
        <v>155.97</v>
      </c>
      <c r="S1532">
        <v>80.87</v>
      </c>
      <c r="T1532">
        <v>75.099999999999994</v>
      </c>
      <c r="U1532">
        <f t="shared" si="23"/>
        <v>0</v>
      </c>
    </row>
    <row r="1533" spans="1:21" x14ac:dyDescent="0.25">
      <c r="A1533" s="2" t="s">
        <v>2275</v>
      </c>
      <c r="B1533" s="2" t="s">
        <v>1955</v>
      </c>
      <c r="C1533" s="1">
        <v>45519</v>
      </c>
      <c r="D1533" s="2" t="s">
        <v>45</v>
      </c>
      <c r="E1533" s="2" t="s">
        <v>46</v>
      </c>
      <c r="F1533" s="2" t="s">
        <v>51</v>
      </c>
      <c r="G1533">
        <v>2</v>
      </c>
      <c r="H1533" s="2" t="s">
        <v>52</v>
      </c>
      <c r="I1533">
        <v>105.2</v>
      </c>
      <c r="J1533">
        <v>15</v>
      </c>
      <c r="K1533">
        <v>15.78</v>
      </c>
      <c r="L1533">
        <v>22.2</v>
      </c>
      <c r="M1533">
        <v>31.58</v>
      </c>
      <c r="N1533">
        <v>0</v>
      </c>
      <c r="O1533">
        <v>2.89</v>
      </c>
      <c r="P1533" s="2" t="s">
        <v>42</v>
      </c>
      <c r="Q1533">
        <v>0</v>
      </c>
      <c r="R1533">
        <v>89.42</v>
      </c>
      <c r="S1533">
        <v>56.67</v>
      </c>
      <c r="T1533">
        <v>32.75</v>
      </c>
      <c r="U1533">
        <f t="shared" si="23"/>
        <v>0</v>
      </c>
    </row>
    <row r="1534" spans="1:21" x14ac:dyDescent="0.25">
      <c r="A1534" s="2" t="s">
        <v>2276</v>
      </c>
      <c r="B1534" s="2" t="s">
        <v>1013</v>
      </c>
      <c r="C1534" s="1">
        <v>45593</v>
      </c>
      <c r="D1534" s="2" t="s">
        <v>38</v>
      </c>
      <c r="E1534" s="2" t="s">
        <v>46</v>
      </c>
      <c r="F1534" s="2" t="s">
        <v>51</v>
      </c>
      <c r="G1534">
        <v>1</v>
      </c>
      <c r="H1534" s="2" t="s">
        <v>111</v>
      </c>
      <c r="I1534">
        <v>62.18</v>
      </c>
      <c r="J1534">
        <v>0</v>
      </c>
      <c r="K1534">
        <v>0</v>
      </c>
      <c r="L1534">
        <v>6.06</v>
      </c>
      <c r="M1534">
        <v>26.96</v>
      </c>
      <c r="N1534">
        <v>0</v>
      </c>
      <c r="O1534">
        <v>2.1</v>
      </c>
      <c r="P1534" s="2" t="s">
        <v>42</v>
      </c>
      <c r="Q1534">
        <v>0</v>
      </c>
      <c r="R1534">
        <v>62.18</v>
      </c>
      <c r="S1534">
        <v>35.119999999999997</v>
      </c>
      <c r="T1534">
        <v>27.06</v>
      </c>
      <c r="U1534">
        <f t="shared" si="23"/>
        <v>0</v>
      </c>
    </row>
    <row r="1535" spans="1:21" x14ac:dyDescent="0.25">
      <c r="A1535" s="2" t="s">
        <v>2277</v>
      </c>
      <c r="B1535" s="2" t="s">
        <v>828</v>
      </c>
      <c r="C1535" s="1">
        <v>45878</v>
      </c>
      <c r="D1535" s="2" t="s">
        <v>59</v>
      </c>
      <c r="E1535" s="2" t="s">
        <v>55</v>
      </c>
      <c r="F1535" s="2" t="s">
        <v>51</v>
      </c>
      <c r="G1535">
        <v>2</v>
      </c>
      <c r="H1535" s="2" t="s">
        <v>74</v>
      </c>
      <c r="I1535">
        <v>61.35</v>
      </c>
      <c r="J1535">
        <v>5</v>
      </c>
      <c r="K1535">
        <v>3.07</v>
      </c>
      <c r="L1535">
        <v>49.44</v>
      </c>
      <c r="M1535">
        <v>33.46</v>
      </c>
      <c r="N1535">
        <v>8.74</v>
      </c>
      <c r="O1535">
        <v>1.99</v>
      </c>
      <c r="P1535" s="2" t="s">
        <v>42</v>
      </c>
      <c r="Q1535">
        <v>0</v>
      </c>
      <c r="R1535">
        <v>58.28</v>
      </c>
      <c r="S1535">
        <v>93.63</v>
      </c>
      <c r="T1535">
        <v>-35.35</v>
      </c>
      <c r="U1535">
        <f t="shared" si="23"/>
        <v>0</v>
      </c>
    </row>
    <row r="1536" spans="1:21" x14ac:dyDescent="0.25">
      <c r="A1536" s="2" t="s">
        <v>2278</v>
      </c>
      <c r="B1536" s="2" t="s">
        <v>264</v>
      </c>
      <c r="C1536" s="1">
        <v>45904</v>
      </c>
      <c r="D1536" s="2" t="s">
        <v>45</v>
      </c>
      <c r="E1536" s="2" t="s">
        <v>39</v>
      </c>
      <c r="F1536" s="2" t="s">
        <v>40</v>
      </c>
      <c r="G1536">
        <v>3</v>
      </c>
      <c r="H1536" s="2" t="s">
        <v>41</v>
      </c>
      <c r="I1536">
        <v>274.58999999999997</v>
      </c>
      <c r="J1536">
        <v>10</v>
      </c>
      <c r="K1536">
        <v>27.46</v>
      </c>
      <c r="L1536">
        <v>17.46</v>
      </c>
      <c r="M1536">
        <v>96.04</v>
      </c>
      <c r="N1536">
        <v>0</v>
      </c>
      <c r="O1536">
        <v>7.47</v>
      </c>
      <c r="P1536" s="2" t="s">
        <v>42</v>
      </c>
      <c r="Q1536">
        <v>0</v>
      </c>
      <c r="R1536">
        <v>247.13</v>
      </c>
      <c r="S1536">
        <v>120.97</v>
      </c>
      <c r="T1536">
        <v>126.16</v>
      </c>
      <c r="U1536">
        <f t="shared" si="23"/>
        <v>0</v>
      </c>
    </row>
    <row r="1537" spans="1:21" x14ac:dyDescent="0.25">
      <c r="A1537" s="2" t="s">
        <v>2279</v>
      </c>
      <c r="B1537" s="2" t="s">
        <v>609</v>
      </c>
      <c r="C1537" s="1">
        <v>45711</v>
      </c>
      <c r="D1537" s="2" t="s">
        <v>45</v>
      </c>
      <c r="E1537" s="2" t="s">
        <v>55</v>
      </c>
      <c r="F1537" s="2" t="s">
        <v>94</v>
      </c>
      <c r="G1537">
        <v>2</v>
      </c>
      <c r="H1537" s="2" t="s">
        <v>56</v>
      </c>
      <c r="I1537">
        <v>48.92</v>
      </c>
      <c r="J1537">
        <v>5</v>
      </c>
      <c r="K1537">
        <v>2.4500000000000002</v>
      </c>
      <c r="L1537">
        <v>21.4</v>
      </c>
      <c r="M1537">
        <v>17.09</v>
      </c>
      <c r="N1537">
        <v>0</v>
      </c>
      <c r="O1537">
        <v>1.65</v>
      </c>
      <c r="P1537" s="2" t="s">
        <v>42</v>
      </c>
      <c r="Q1537">
        <v>0</v>
      </c>
      <c r="R1537">
        <v>46.47</v>
      </c>
      <c r="S1537">
        <v>40.14</v>
      </c>
      <c r="T1537">
        <v>6.33</v>
      </c>
      <c r="U1537">
        <f t="shared" si="23"/>
        <v>0</v>
      </c>
    </row>
    <row r="1538" spans="1:21" x14ac:dyDescent="0.25">
      <c r="A1538" s="2" t="s">
        <v>2280</v>
      </c>
      <c r="B1538" s="2" t="s">
        <v>2281</v>
      </c>
      <c r="C1538" s="1">
        <v>45966</v>
      </c>
      <c r="D1538" s="2" t="s">
        <v>59</v>
      </c>
      <c r="E1538" s="2" t="s">
        <v>46</v>
      </c>
      <c r="F1538" s="2" t="s">
        <v>85</v>
      </c>
      <c r="G1538">
        <v>1</v>
      </c>
      <c r="H1538" s="2" t="s">
        <v>64</v>
      </c>
      <c r="I1538">
        <v>63.94</v>
      </c>
      <c r="J1538">
        <v>0</v>
      </c>
      <c r="K1538">
        <v>0</v>
      </c>
      <c r="L1538">
        <v>8.4600000000000009</v>
      </c>
      <c r="M1538">
        <v>20.51</v>
      </c>
      <c r="N1538">
        <v>9.59</v>
      </c>
      <c r="O1538">
        <v>2.15</v>
      </c>
      <c r="P1538" s="2" t="s">
        <v>42</v>
      </c>
      <c r="Q1538">
        <v>0</v>
      </c>
      <c r="R1538">
        <v>63.94</v>
      </c>
      <c r="S1538">
        <v>40.71</v>
      </c>
      <c r="T1538">
        <v>23.23</v>
      </c>
      <c r="U1538">
        <f t="shared" si="23"/>
        <v>0</v>
      </c>
    </row>
    <row r="1539" spans="1:21" x14ac:dyDescent="0.25">
      <c r="A1539" s="2" t="s">
        <v>2282</v>
      </c>
      <c r="B1539" s="2" t="s">
        <v>249</v>
      </c>
      <c r="C1539" s="1">
        <v>45927</v>
      </c>
      <c r="D1539" s="2" t="s">
        <v>59</v>
      </c>
      <c r="E1539" s="2" t="s">
        <v>46</v>
      </c>
      <c r="F1539" s="2" t="s">
        <v>51</v>
      </c>
      <c r="G1539">
        <v>1</v>
      </c>
      <c r="H1539" s="2" t="s">
        <v>48</v>
      </c>
      <c r="I1539">
        <v>18.829999999999998</v>
      </c>
      <c r="J1539">
        <v>25</v>
      </c>
      <c r="K1539">
        <v>4.71</v>
      </c>
      <c r="L1539">
        <v>9.9</v>
      </c>
      <c r="M1539">
        <v>11.04</v>
      </c>
      <c r="N1539">
        <v>2.12</v>
      </c>
      <c r="O1539">
        <v>0.71</v>
      </c>
      <c r="P1539" s="2" t="s">
        <v>42</v>
      </c>
      <c r="Q1539">
        <v>0</v>
      </c>
      <c r="R1539">
        <v>14.12</v>
      </c>
      <c r="S1539">
        <v>23.77</v>
      </c>
      <c r="T1539">
        <v>-9.65</v>
      </c>
      <c r="U1539">
        <f t="shared" si="23"/>
        <v>0</v>
      </c>
    </row>
    <row r="1540" spans="1:21" x14ac:dyDescent="0.25">
      <c r="A1540" s="2" t="s">
        <v>2283</v>
      </c>
      <c r="B1540" s="2" t="s">
        <v>291</v>
      </c>
      <c r="C1540" s="1">
        <v>45555</v>
      </c>
      <c r="D1540" s="2" t="s">
        <v>38</v>
      </c>
      <c r="E1540" s="2" t="s">
        <v>71</v>
      </c>
      <c r="F1540" s="2" t="s">
        <v>47</v>
      </c>
      <c r="G1540">
        <v>1</v>
      </c>
      <c r="H1540" s="2" t="s">
        <v>56</v>
      </c>
      <c r="I1540">
        <v>29.59</v>
      </c>
      <c r="J1540">
        <v>20</v>
      </c>
      <c r="K1540">
        <v>5.92</v>
      </c>
      <c r="L1540">
        <v>4.7</v>
      </c>
      <c r="M1540">
        <v>12.42</v>
      </c>
      <c r="N1540">
        <v>0</v>
      </c>
      <c r="O1540">
        <v>0.99</v>
      </c>
      <c r="P1540" s="2" t="s">
        <v>42</v>
      </c>
      <c r="Q1540">
        <v>0</v>
      </c>
      <c r="R1540">
        <v>23.67</v>
      </c>
      <c r="S1540">
        <v>18.11</v>
      </c>
      <c r="T1540">
        <v>5.56</v>
      </c>
      <c r="U1540">
        <f t="shared" si="23"/>
        <v>0</v>
      </c>
    </row>
    <row r="1541" spans="1:21" x14ac:dyDescent="0.25">
      <c r="A1541" s="2" t="s">
        <v>2284</v>
      </c>
      <c r="B1541" s="2" t="s">
        <v>1942</v>
      </c>
      <c r="C1541" s="1">
        <v>45656</v>
      </c>
      <c r="D1541" s="2" t="s">
        <v>59</v>
      </c>
      <c r="E1541" s="2" t="s">
        <v>71</v>
      </c>
      <c r="F1541" s="2" t="s">
        <v>85</v>
      </c>
      <c r="G1541">
        <v>2</v>
      </c>
      <c r="H1541" s="2" t="s">
        <v>41</v>
      </c>
      <c r="I1541">
        <v>415.22</v>
      </c>
      <c r="J1541">
        <v>20</v>
      </c>
      <c r="K1541">
        <v>83.04</v>
      </c>
      <c r="L1541">
        <v>23.32</v>
      </c>
      <c r="M1541">
        <v>126.47</v>
      </c>
      <c r="N1541">
        <v>49.83</v>
      </c>
      <c r="O1541">
        <v>9.93</v>
      </c>
      <c r="P1541" s="2" t="s">
        <v>42</v>
      </c>
      <c r="Q1541">
        <v>0</v>
      </c>
      <c r="R1541">
        <v>332.18</v>
      </c>
      <c r="S1541">
        <v>209.55</v>
      </c>
      <c r="T1541">
        <v>122.63</v>
      </c>
      <c r="U1541">
        <f t="shared" ref="U1541:U1604" si="24">IF(P1539="Yes", 1, 0)</f>
        <v>0</v>
      </c>
    </row>
    <row r="1542" spans="1:21" x14ac:dyDescent="0.25">
      <c r="A1542" s="2" t="s">
        <v>2285</v>
      </c>
      <c r="B1542" s="2" t="s">
        <v>1111</v>
      </c>
      <c r="C1542" s="1">
        <v>45816</v>
      </c>
      <c r="D1542" s="2" t="s">
        <v>38</v>
      </c>
      <c r="E1542" s="2" t="s">
        <v>71</v>
      </c>
      <c r="F1542" s="2" t="s">
        <v>40</v>
      </c>
      <c r="G1542">
        <v>1</v>
      </c>
      <c r="H1542" s="2" t="s">
        <v>64</v>
      </c>
      <c r="I1542">
        <v>25.84</v>
      </c>
      <c r="J1542">
        <v>5</v>
      </c>
      <c r="K1542">
        <v>1.29</v>
      </c>
      <c r="L1542">
        <v>14.78</v>
      </c>
      <c r="M1542">
        <v>9.89</v>
      </c>
      <c r="N1542">
        <v>0</v>
      </c>
      <c r="O1542">
        <v>1.01</v>
      </c>
      <c r="P1542" s="2" t="s">
        <v>42</v>
      </c>
      <c r="Q1542">
        <v>0</v>
      </c>
      <c r="R1542">
        <v>24.55</v>
      </c>
      <c r="S1542">
        <v>25.68</v>
      </c>
      <c r="T1542">
        <v>-1.1299999999999999</v>
      </c>
      <c r="U1542">
        <f t="shared" si="24"/>
        <v>0</v>
      </c>
    </row>
    <row r="1543" spans="1:21" x14ac:dyDescent="0.25">
      <c r="A1543" s="2" t="s">
        <v>2286</v>
      </c>
      <c r="B1543" s="2" t="s">
        <v>2243</v>
      </c>
      <c r="C1543" s="1">
        <v>45405</v>
      </c>
      <c r="D1543" s="2" t="s">
        <v>38</v>
      </c>
      <c r="E1543" s="2" t="s">
        <v>67</v>
      </c>
      <c r="F1543" s="2" t="s">
        <v>40</v>
      </c>
      <c r="G1543">
        <v>4</v>
      </c>
      <c r="H1543" s="2" t="s">
        <v>77</v>
      </c>
      <c r="I1543">
        <v>439.18</v>
      </c>
      <c r="J1543">
        <v>0</v>
      </c>
      <c r="K1543">
        <v>0</v>
      </c>
      <c r="L1543">
        <v>50.86</v>
      </c>
      <c r="M1543">
        <v>144.86000000000001</v>
      </c>
      <c r="N1543">
        <v>0</v>
      </c>
      <c r="O1543">
        <v>13.04</v>
      </c>
      <c r="P1543" s="2" t="s">
        <v>42</v>
      </c>
      <c r="Q1543">
        <v>0</v>
      </c>
      <c r="R1543">
        <v>439.18</v>
      </c>
      <c r="S1543">
        <v>208.76</v>
      </c>
      <c r="T1543">
        <v>230.42</v>
      </c>
      <c r="U1543">
        <f t="shared" si="24"/>
        <v>0</v>
      </c>
    </row>
    <row r="1544" spans="1:21" x14ac:dyDescent="0.25">
      <c r="A1544" s="2" t="s">
        <v>2287</v>
      </c>
      <c r="B1544" s="2" t="s">
        <v>828</v>
      </c>
      <c r="C1544" s="1">
        <v>45596</v>
      </c>
      <c r="D1544" s="2" t="s">
        <v>38</v>
      </c>
      <c r="E1544" s="2" t="s">
        <v>46</v>
      </c>
      <c r="F1544" s="2" t="s">
        <v>47</v>
      </c>
      <c r="G1544">
        <v>2</v>
      </c>
      <c r="H1544" s="2" t="s">
        <v>52</v>
      </c>
      <c r="I1544">
        <v>114.39</v>
      </c>
      <c r="J1544">
        <v>15</v>
      </c>
      <c r="K1544">
        <v>17.16</v>
      </c>
      <c r="L1544">
        <v>21.88</v>
      </c>
      <c r="M1544">
        <v>44.87</v>
      </c>
      <c r="N1544">
        <v>0</v>
      </c>
      <c r="O1544">
        <v>3.12</v>
      </c>
      <c r="P1544" s="2" t="s">
        <v>42</v>
      </c>
      <c r="Q1544">
        <v>0</v>
      </c>
      <c r="R1544">
        <v>97.23</v>
      </c>
      <c r="S1544">
        <v>69.87</v>
      </c>
      <c r="T1544">
        <v>27.36</v>
      </c>
      <c r="U1544">
        <f t="shared" si="24"/>
        <v>0</v>
      </c>
    </row>
    <row r="1545" spans="1:21" x14ac:dyDescent="0.25">
      <c r="A1545" s="2" t="s">
        <v>2288</v>
      </c>
      <c r="B1545" s="2" t="s">
        <v>1169</v>
      </c>
      <c r="C1545" s="1">
        <v>45513</v>
      </c>
      <c r="D1545" s="2" t="s">
        <v>59</v>
      </c>
      <c r="E1545" s="2" t="s">
        <v>46</v>
      </c>
      <c r="F1545" s="2" t="s">
        <v>40</v>
      </c>
      <c r="G1545">
        <v>1</v>
      </c>
      <c r="H1545" s="2" t="s">
        <v>74</v>
      </c>
      <c r="I1545">
        <v>27.16</v>
      </c>
      <c r="J1545">
        <v>0</v>
      </c>
      <c r="K1545">
        <v>0</v>
      </c>
      <c r="L1545">
        <v>11.34</v>
      </c>
      <c r="M1545">
        <v>13.64</v>
      </c>
      <c r="N1545">
        <v>4.07</v>
      </c>
      <c r="O1545">
        <v>1.0900000000000001</v>
      </c>
      <c r="P1545" s="2" t="s">
        <v>42</v>
      </c>
      <c r="Q1545">
        <v>0</v>
      </c>
      <c r="R1545">
        <v>27.16</v>
      </c>
      <c r="S1545">
        <v>30.14</v>
      </c>
      <c r="T1545">
        <v>-2.98</v>
      </c>
      <c r="U1545">
        <f t="shared" si="24"/>
        <v>0</v>
      </c>
    </row>
    <row r="1546" spans="1:21" x14ac:dyDescent="0.25">
      <c r="A1546" s="2" t="s">
        <v>2289</v>
      </c>
      <c r="B1546" s="2" t="s">
        <v>1919</v>
      </c>
      <c r="C1546" s="1">
        <v>45916</v>
      </c>
      <c r="D1546" s="2" t="s">
        <v>38</v>
      </c>
      <c r="E1546" s="2" t="s">
        <v>46</v>
      </c>
      <c r="F1546" s="2" t="s">
        <v>51</v>
      </c>
      <c r="G1546">
        <v>1</v>
      </c>
      <c r="H1546" s="2" t="s">
        <v>41</v>
      </c>
      <c r="I1546">
        <v>89.97</v>
      </c>
      <c r="J1546">
        <v>0</v>
      </c>
      <c r="K1546">
        <v>0</v>
      </c>
      <c r="L1546">
        <v>27.78</v>
      </c>
      <c r="M1546">
        <v>40.53</v>
      </c>
      <c r="N1546">
        <v>0</v>
      </c>
      <c r="O1546">
        <v>2.91</v>
      </c>
      <c r="P1546" s="2" t="s">
        <v>42</v>
      </c>
      <c r="Q1546">
        <v>0</v>
      </c>
      <c r="R1546">
        <v>89.97</v>
      </c>
      <c r="S1546">
        <v>71.22</v>
      </c>
      <c r="T1546">
        <v>18.75</v>
      </c>
      <c r="U1546">
        <f t="shared" si="24"/>
        <v>0</v>
      </c>
    </row>
    <row r="1547" spans="1:21" x14ac:dyDescent="0.25">
      <c r="A1547" s="2" t="s">
        <v>2290</v>
      </c>
      <c r="B1547" s="2" t="s">
        <v>1169</v>
      </c>
      <c r="C1547" s="1">
        <v>45752</v>
      </c>
      <c r="D1547" s="2" t="s">
        <v>38</v>
      </c>
      <c r="E1547" s="2" t="s">
        <v>67</v>
      </c>
      <c r="F1547" s="2" t="s">
        <v>85</v>
      </c>
      <c r="G1547">
        <v>3</v>
      </c>
      <c r="H1547" s="2" t="s">
        <v>111</v>
      </c>
      <c r="I1547">
        <v>235.07</v>
      </c>
      <c r="J1547">
        <v>0</v>
      </c>
      <c r="K1547">
        <v>0</v>
      </c>
      <c r="L1547">
        <v>38.4</v>
      </c>
      <c r="M1547">
        <v>126.79</v>
      </c>
      <c r="N1547">
        <v>0</v>
      </c>
      <c r="O1547">
        <v>7.12</v>
      </c>
      <c r="P1547" s="2" t="s">
        <v>42</v>
      </c>
      <c r="Q1547">
        <v>0</v>
      </c>
      <c r="R1547">
        <v>235.07</v>
      </c>
      <c r="S1547">
        <v>172.31</v>
      </c>
      <c r="T1547">
        <v>62.76</v>
      </c>
      <c r="U1547">
        <f t="shared" si="24"/>
        <v>0</v>
      </c>
    </row>
    <row r="1548" spans="1:21" x14ac:dyDescent="0.25">
      <c r="A1548" s="2" t="s">
        <v>2291</v>
      </c>
      <c r="B1548" s="2" t="s">
        <v>856</v>
      </c>
      <c r="C1548" s="1">
        <v>45549</v>
      </c>
      <c r="D1548" s="2" t="s">
        <v>80</v>
      </c>
      <c r="E1548" s="2" t="s">
        <v>71</v>
      </c>
      <c r="F1548" s="2" t="s">
        <v>85</v>
      </c>
      <c r="G1548">
        <v>4</v>
      </c>
      <c r="H1548" s="2" t="s">
        <v>77</v>
      </c>
      <c r="I1548">
        <v>213.22</v>
      </c>
      <c r="J1548">
        <v>20</v>
      </c>
      <c r="K1548">
        <v>42.64</v>
      </c>
      <c r="L1548">
        <v>41.36</v>
      </c>
      <c r="M1548">
        <v>88.02</v>
      </c>
      <c r="N1548">
        <v>13.65</v>
      </c>
      <c r="O1548">
        <v>5.25</v>
      </c>
      <c r="P1548" s="2" t="s">
        <v>68</v>
      </c>
      <c r="Q1548">
        <v>170.58</v>
      </c>
      <c r="R1548">
        <v>0</v>
      </c>
      <c r="S1548">
        <v>148.28</v>
      </c>
      <c r="T1548">
        <v>-148.28</v>
      </c>
      <c r="U1548">
        <f t="shared" si="24"/>
        <v>0</v>
      </c>
    </row>
    <row r="1549" spans="1:21" x14ac:dyDescent="0.25">
      <c r="A1549" s="2" t="s">
        <v>2292</v>
      </c>
      <c r="B1549" s="2" t="s">
        <v>155</v>
      </c>
      <c r="C1549" s="1">
        <v>45936</v>
      </c>
      <c r="D1549" s="2" t="s">
        <v>80</v>
      </c>
      <c r="E1549" s="2" t="s">
        <v>71</v>
      </c>
      <c r="F1549" s="2" t="s">
        <v>94</v>
      </c>
      <c r="G1549">
        <v>5</v>
      </c>
      <c r="H1549" s="2" t="s">
        <v>52</v>
      </c>
      <c r="I1549">
        <v>424.57</v>
      </c>
      <c r="J1549">
        <v>0</v>
      </c>
      <c r="K1549">
        <v>0</v>
      </c>
      <c r="L1549">
        <v>111.24</v>
      </c>
      <c r="M1549">
        <v>214.22</v>
      </c>
      <c r="N1549">
        <v>33.97</v>
      </c>
      <c r="O1549">
        <v>12.61</v>
      </c>
      <c r="P1549" s="2" t="s">
        <v>42</v>
      </c>
      <c r="Q1549">
        <v>0</v>
      </c>
      <c r="R1549">
        <v>424.57</v>
      </c>
      <c r="S1549">
        <v>372.04</v>
      </c>
      <c r="T1549">
        <v>52.53</v>
      </c>
      <c r="U1549">
        <f t="shared" si="24"/>
        <v>0</v>
      </c>
    </row>
    <row r="1550" spans="1:21" x14ac:dyDescent="0.25">
      <c r="A1550" s="2" t="s">
        <v>2293</v>
      </c>
      <c r="B1550" s="2" t="s">
        <v>2281</v>
      </c>
      <c r="C1550" s="1">
        <v>45547</v>
      </c>
      <c r="D1550" s="2" t="s">
        <v>59</v>
      </c>
      <c r="E1550" s="2" t="s">
        <v>71</v>
      </c>
      <c r="F1550" s="2" t="s">
        <v>94</v>
      </c>
      <c r="G1550">
        <v>2</v>
      </c>
      <c r="H1550" s="2" t="s">
        <v>41</v>
      </c>
      <c r="I1550">
        <v>249.5</v>
      </c>
      <c r="J1550">
        <v>10</v>
      </c>
      <c r="K1550">
        <v>24.95</v>
      </c>
      <c r="L1550">
        <v>18.2</v>
      </c>
      <c r="M1550">
        <v>90.18</v>
      </c>
      <c r="N1550">
        <v>33.68</v>
      </c>
      <c r="O1550">
        <v>6.81</v>
      </c>
      <c r="P1550" s="2" t="s">
        <v>42</v>
      </c>
      <c r="Q1550">
        <v>0</v>
      </c>
      <c r="R1550">
        <v>224.55</v>
      </c>
      <c r="S1550">
        <v>148.87</v>
      </c>
      <c r="T1550">
        <v>75.680000000000007</v>
      </c>
      <c r="U1550">
        <f t="shared" si="24"/>
        <v>1</v>
      </c>
    </row>
    <row r="1551" spans="1:21" x14ac:dyDescent="0.25">
      <c r="A1551" s="2" t="s">
        <v>2294</v>
      </c>
      <c r="B1551" s="2" t="s">
        <v>332</v>
      </c>
      <c r="C1551" s="1">
        <v>45396</v>
      </c>
      <c r="D1551" s="2" t="s">
        <v>38</v>
      </c>
      <c r="E1551" s="2" t="s">
        <v>67</v>
      </c>
      <c r="F1551" s="2" t="s">
        <v>40</v>
      </c>
      <c r="G1551">
        <v>1</v>
      </c>
      <c r="H1551" s="2" t="s">
        <v>41</v>
      </c>
      <c r="I1551">
        <v>73.73</v>
      </c>
      <c r="J1551">
        <v>10</v>
      </c>
      <c r="K1551">
        <v>7.37</v>
      </c>
      <c r="L1551">
        <v>9.34</v>
      </c>
      <c r="M1551">
        <v>48.17</v>
      </c>
      <c r="N1551">
        <v>0</v>
      </c>
      <c r="O1551">
        <v>2.2200000000000002</v>
      </c>
      <c r="P1551" s="2" t="s">
        <v>68</v>
      </c>
      <c r="Q1551">
        <v>66.36</v>
      </c>
      <c r="R1551">
        <v>0</v>
      </c>
      <c r="S1551">
        <v>59.73</v>
      </c>
      <c r="T1551">
        <v>-59.73</v>
      </c>
      <c r="U1551">
        <f t="shared" si="24"/>
        <v>0</v>
      </c>
    </row>
    <row r="1552" spans="1:21" x14ac:dyDescent="0.25">
      <c r="A1552" s="2" t="s">
        <v>2295</v>
      </c>
      <c r="B1552" s="2" t="s">
        <v>782</v>
      </c>
      <c r="C1552" s="1">
        <v>45909</v>
      </c>
      <c r="D1552" s="2" t="s">
        <v>38</v>
      </c>
      <c r="E1552" s="2" t="s">
        <v>46</v>
      </c>
      <c r="F1552" s="2" t="s">
        <v>47</v>
      </c>
      <c r="G1552">
        <v>2</v>
      </c>
      <c r="H1552" s="2" t="s">
        <v>64</v>
      </c>
      <c r="I1552">
        <v>146.71</v>
      </c>
      <c r="J1552">
        <v>0</v>
      </c>
      <c r="K1552">
        <v>0</v>
      </c>
      <c r="L1552">
        <v>31.78</v>
      </c>
      <c r="M1552">
        <v>54.3</v>
      </c>
      <c r="N1552">
        <v>0</v>
      </c>
      <c r="O1552">
        <v>4.55</v>
      </c>
      <c r="P1552" s="2" t="s">
        <v>68</v>
      </c>
      <c r="Q1552">
        <v>146.71</v>
      </c>
      <c r="R1552">
        <v>0</v>
      </c>
      <c r="S1552">
        <v>90.63</v>
      </c>
      <c r="T1552">
        <v>-90.63</v>
      </c>
      <c r="U1552">
        <f t="shared" si="24"/>
        <v>0</v>
      </c>
    </row>
    <row r="1553" spans="1:21" x14ac:dyDescent="0.25">
      <c r="A1553" s="2" t="s">
        <v>2296</v>
      </c>
      <c r="B1553" s="2" t="s">
        <v>2297</v>
      </c>
      <c r="C1553" s="1">
        <v>45447</v>
      </c>
      <c r="D1553" s="2" t="s">
        <v>38</v>
      </c>
      <c r="E1553" s="2" t="s">
        <v>46</v>
      </c>
      <c r="F1553" s="2" t="s">
        <v>40</v>
      </c>
      <c r="G1553">
        <v>1</v>
      </c>
      <c r="H1553" s="2" t="s">
        <v>41</v>
      </c>
      <c r="I1553">
        <v>34</v>
      </c>
      <c r="J1553">
        <v>0</v>
      </c>
      <c r="K1553">
        <v>0</v>
      </c>
      <c r="L1553">
        <v>13.66</v>
      </c>
      <c r="M1553">
        <v>21.92</v>
      </c>
      <c r="N1553">
        <v>0</v>
      </c>
      <c r="O1553">
        <v>1.29</v>
      </c>
      <c r="P1553" s="2" t="s">
        <v>42</v>
      </c>
      <c r="Q1553">
        <v>0</v>
      </c>
      <c r="R1553">
        <v>34</v>
      </c>
      <c r="S1553">
        <v>36.869999999999997</v>
      </c>
      <c r="T1553">
        <v>-2.87</v>
      </c>
      <c r="U1553">
        <f t="shared" si="24"/>
        <v>1</v>
      </c>
    </row>
    <row r="1554" spans="1:21" x14ac:dyDescent="0.25">
      <c r="A1554" s="2" t="s">
        <v>2298</v>
      </c>
      <c r="B1554" s="2" t="s">
        <v>1100</v>
      </c>
      <c r="C1554" s="1">
        <v>45891</v>
      </c>
      <c r="D1554" s="2" t="s">
        <v>45</v>
      </c>
      <c r="E1554" s="2" t="s">
        <v>39</v>
      </c>
      <c r="F1554" s="2" t="s">
        <v>94</v>
      </c>
      <c r="G1554">
        <v>5</v>
      </c>
      <c r="H1554" s="2" t="s">
        <v>41</v>
      </c>
      <c r="I1554">
        <v>159.91</v>
      </c>
      <c r="J1554">
        <v>5</v>
      </c>
      <c r="K1554">
        <v>8</v>
      </c>
      <c r="L1554">
        <v>47.78</v>
      </c>
      <c r="M1554">
        <v>60.88</v>
      </c>
      <c r="N1554">
        <v>0</v>
      </c>
      <c r="O1554">
        <v>4.71</v>
      </c>
      <c r="P1554" s="2" t="s">
        <v>42</v>
      </c>
      <c r="Q1554">
        <v>0</v>
      </c>
      <c r="R1554">
        <v>151.91</v>
      </c>
      <c r="S1554">
        <v>113.37</v>
      </c>
      <c r="T1554">
        <v>38.54</v>
      </c>
      <c r="U1554">
        <f t="shared" si="24"/>
        <v>1</v>
      </c>
    </row>
    <row r="1555" spans="1:21" x14ac:dyDescent="0.25">
      <c r="A1555" s="2" t="s">
        <v>2299</v>
      </c>
      <c r="B1555" s="2" t="s">
        <v>814</v>
      </c>
      <c r="C1555" s="1">
        <v>45594</v>
      </c>
      <c r="D1555" s="2" t="s">
        <v>38</v>
      </c>
      <c r="E1555" s="2" t="s">
        <v>71</v>
      </c>
      <c r="F1555" s="2" t="s">
        <v>47</v>
      </c>
      <c r="G1555">
        <v>1</v>
      </c>
      <c r="H1555" s="2" t="s">
        <v>111</v>
      </c>
      <c r="I1555">
        <v>26.25</v>
      </c>
      <c r="J1555">
        <v>0</v>
      </c>
      <c r="K1555">
        <v>0</v>
      </c>
      <c r="L1555">
        <v>7.18</v>
      </c>
      <c r="M1555">
        <v>10.78</v>
      </c>
      <c r="N1555">
        <v>0</v>
      </c>
      <c r="O1555">
        <v>1.06</v>
      </c>
      <c r="P1555" s="2" t="s">
        <v>42</v>
      </c>
      <c r="Q1555">
        <v>0</v>
      </c>
      <c r="R1555">
        <v>26.25</v>
      </c>
      <c r="S1555">
        <v>19.02</v>
      </c>
      <c r="T1555">
        <v>7.23</v>
      </c>
      <c r="U1555">
        <f t="shared" si="24"/>
        <v>0</v>
      </c>
    </row>
    <row r="1556" spans="1:21" x14ac:dyDescent="0.25">
      <c r="A1556" s="2" t="s">
        <v>2300</v>
      </c>
      <c r="B1556" s="2" t="s">
        <v>1400</v>
      </c>
      <c r="C1556" s="1">
        <v>45797</v>
      </c>
      <c r="D1556" s="2" t="s">
        <v>45</v>
      </c>
      <c r="E1556" s="2" t="s">
        <v>71</v>
      </c>
      <c r="F1556" s="2" t="s">
        <v>47</v>
      </c>
      <c r="G1556">
        <v>4</v>
      </c>
      <c r="H1556" s="2" t="s">
        <v>64</v>
      </c>
      <c r="I1556">
        <v>130.66</v>
      </c>
      <c r="J1556">
        <v>10</v>
      </c>
      <c r="K1556">
        <v>13.07</v>
      </c>
      <c r="L1556">
        <v>37.840000000000003</v>
      </c>
      <c r="M1556">
        <v>64.25</v>
      </c>
      <c r="N1556">
        <v>0</v>
      </c>
      <c r="O1556">
        <v>3.71</v>
      </c>
      <c r="P1556" s="2" t="s">
        <v>68</v>
      </c>
      <c r="Q1556">
        <v>117.59</v>
      </c>
      <c r="R1556">
        <v>0</v>
      </c>
      <c r="S1556">
        <v>105.8</v>
      </c>
      <c r="T1556">
        <v>-105.8</v>
      </c>
      <c r="U1556">
        <f t="shared" si="24"/>
        <v>0</v>
      </c>
    </row>
    <row r="1557" spans="1:21" x14ac:dyDescent="0.25">
      <c r="A1557" s="2" t="s">
        <v>2301</v>
      </c>
      <c r="B1557" s="2" t="s">
        <v>960</v>
      </c>
      <c r="C1557" s="1">
        <v>45377</v>
      </c>
      <c r="D1557" s="2" t="s">
        <v>80</v>
      </c>
      <c r="E1557" s="2" t="s">
        <v>71</v>
      </c>
      <c r="F1557" s="2" t="s">
        <v>51</v>
      </c>
      <c r="G1557">
        <v>3</v>
      </c>
      <c r="H1557" s="2" t="s">
        <v>111</v>
      </c>
      <c r="I1557">
        <v>565.02</v>
      </c>
      <c r="J1557">
        <v>0</v>
      </c>
      <c r="K1557">
        <v>0</v>
      </c>
      <c r="L1557">
        <v>46.68</v>
      </c>
      <c r="M1557">
        <v>185.2</v>
      </c>
      <c r="N1557">
        <v>45.2</v>
      </c>
      <c r="O1557">
        <v>16.690000000000001</v>
      </c>
      <c r="P1557" s="2" t="s">
        <v>42</v>
      </c>
      <c r="Q1557">
        <v>0</v>
      </c>
      <c r="R1557">
        <v>565.02</v>
      </c>
      <c r="S1557">
        <v>293.77</v>
      </c>
      <c r="T1557">
        <v>271.25</v>
      </c>
      <c r="U1557">
        <f t="shared" si="24"/>
        <v>0</v>
      </c>
    </row>
    <row r="1558" spans="1:21" x14ac:dyDescent="0.25">
      <c r="A1558" s="2" t="s">
        <v>2302</v>
      </c>
      <c r="B1558" s="2" t="s">
        <v>1762</v>
      </c>
      <c r="C1558" s="1">
        <v>45885</v>
      </c>
      <c r="D1558" s="2" t="s">
        <v>45</v>
      </c>
      <c r="E1558" s="2" t="s">
        <v>71</v>
      </c>
      <c r="F1558" s="2" t="s">
        <v>51</v>
      </c>
      <c r="G1558">
        <v>1</v>
      </c>
      <c r="H1558" s="2" t="s">
        <v>64</v>
      </c>
      <c r="I1558">
        <v>24.88</v>
      </c>
      <c r="J1558">
        <v>10</v>
      </c>
      <c r="K1558">
        <v>2.4900000000000002</v>
      </c>
      <c r="L1558">
        <v>7.02</v>
      </c>
      <c r="M1558">
        <v>13.77</v>
      </c>
      <c r="N1558">
        <v>0</v>
      </c>
      <c r="O1558">
        <v>0.95</v>
      </c>
      <c r="P1558" s="2" t="s">
        <v>42</v>
      </c>
      <c r="Q1558">
        <v>0</v>
      </c>
      <c r="R1558">
        <v>22.39</v>
      </c>
      <c r="S1558">
        <v>21.74</v>
      </c>
      <c r="T1558">
        <v>0.65</v>
      </c>
      <c r="U1558">
        <f t="shared" si="24"/>
        <v>1</v>
      </c>
    </row>
    <row r="1559" spans="1:21" x14ac:dyDescent="0.25">
      <c r="A1559" s="2" t="s">
        <v>2303</v>
      </c>
      <c r="B1559" s="2" t="s">
        <v>2274</v>
      </c>
      <c r="C1559" s="1">
        <v>45850</v>
      </c>
      <c r="D1559" s="2" t="s">
        <v>45</v>
      </c>
      <c r="E1559" s="2" t="s">
        <v>71</v>
      </c>
      <c r="F1559" s="2" t="s">
        <v>85</v>
      </c>
      <c r="G1559">
        <v>1</v>
      </c>
      <c r="H1559" s="2" t="s">
        <v>56</v>
      </c>
      <c r="I1559">
        <v>14.58</v>
      </c>
      <c r="J1559">
        <v>0</v>
      </c>
      <c r="K1559">
        <v>0</v>
      </c>
      <c r="L1559">
        <v>9.1</v>
      </c>
      <c r="M1559">
        <v>4.3600000000000003</v>
      </c>
      <c r="N1559">
        <v>0</v>
      </c>
      <c r="O1559">
        <v>0.72</v>
      </c>
      <c r="P1559" s="2" t="s">
        <v>42</v>
      </c>
      <c r="Q1559">
        <v>0</v>
      </c>
      <c r="R1559">
        <v>14.58</v>
      </c>
      <c r="S1559">
        <v>14.18</v>
      </c>
      <c r="T1559">
        <v>0.4</v>
      </c>
      <c r="U1559">
        <f t="shared" si="24"/>
        <v>0</v>
      </c>
    </row>
    <row r="1560" spans="1:21" x14ac:dyDescent="0.25">
      <c r="A1560" s="2" t="s">
        <v>2304</v>
      </c>
      <c r="B1560" s="2" t="s">
        <v>1196</v>
      </c>
      <c r="C1560" s="1">
        <v>45866</v>
      </c>
      <c r="D1560" s="2" t="s">
        <v>59</v>
      </c>
      <c r="E1560" s="2" t="s">
        <v>55</v>
      </c>
      <c r="F1560" s="2" t="s">
        <v>85</v>
      </c>
      <c r="G1560">
        <v>1</v>
      </c>
      <c r="H1560" s="2" t="s">
        <v>41</v>
      </c>
      <c r="I1560">
        <v>137.96</v>
      </c>
      <c r="J1560">
        <v>5</v>
      </c>
      <c r="K1560">
        <v>6.9</v>
      </c>
      <c r="L1560">
        <v>29.08</v>
      </c>
      <c r="M1560">
        <v>50.78</v>
      </c>
      <c r="N1560">
        <v>19.66</v>
      </c>
      <c r="O1560">
        <v>4.0999999999999996</v>
      </c>
      <c r="P1560" s="2" t="s">
        <v>42</v>
      </c>
      <c r="Q1560">
        <v>0</v>
      </c>
      <c r="R1560">
        <v>131.06</v>
      </c>
      <c r="S1560">
        <v>103.62</v>
      </c>
      <c r="T1560">
        <v>27.44</v>
      </c>
      <c r="U1560">
        <f t="shared" si="24"/>
        <v>0</v>
      </c>
    </row>
    <row r="1561" spans="1:21" x14ac:dyDescent="0.25">
      <c r="A1561" s="2" t="s">
        <v>2305</v>
      </c>
      <c r="B1561" s="2" t="s">
        <v>108</v>
      </c>
      <c r="C1561" s="1">
        <v>45485</v>
      </c>
      <c r="D1561" s="2" t="s">
        <v>38</v>
      </c>
      <c r="E1561" s="2" t="s">
        <v>46</v>
      </c>
      <c r="F1561" s="2" t="s">
        <v>51</v>
      </c>
      <c r="G1561">
        <v>2</v>
      </c>
      <c r="H1561" s="2" t="s">
        <v>48</v>
      </c>
      <c r="I1561">
        <v>48.82</v>
      </c>
      <c r="J1561">
        <v>15</v>
      </c>
      <c r="K1561">
        <v>7.32</v>
      </c>
      <c r="L1561">
        <v>19.16</v>
      </c>
      <c r="M1561">
        <v>24.55</v>
      </c>
      <c r="N1561">
        <v>0</v>
      </c>
      <c r="O1561">
        <v>1.5</v>
      </c>
      <c r="P1561" s="2" t="s">
        <v>42</v>
      </c>
      <c r="Q1561">
        <v>0</v>
      </c>
      <c r="R1561">
        <v>41.5</v>
      </c>
      <c r="S1561">
        <v>45.21</v>
      </c>
      <c r="T1561">
        <v>-3.71</v>
      </c>
      <c r="U1561">
        <f t="shared" si="24"/>
        <v>0</v>
      </c>
    </row>
    <row r="1562" spans="1:21" x14ac:dyDescent="0.25">
      <c r="A1562" s="2" t="s">
        <v>2306</v>
      </c>
      <c r="B1562" s="2" t="s">
        <v>1911</v>
      </c>
      <c r="C1562" s="1">
        <v>45669</v>
      </c>
      <c r="D1562" s="2" t="s">
        <v>59</v>
      </c>
      <c r="E1562" s="2" t="s">
        <v>55</v>
      </c>
      <c r="F1562" s="2" t="s">
        <v>94</v>
      </c>
      <c r="G1562">
        <v>1</v>
      </c>
      <c r="H1562" s="2" t="s">
        <v>77</v>
      </c>
      <c r="I1562">
        <v>26.5</v>
      </c>
      <c r="J1562">
        <v>10</v>
      </c>
      <c r="K1562">
        <v>2.65</v>
      </c>
      <c r="L1562">
        <v>5.5</v>
      </c>
      <c r="M1562">
        <v>8.06</v>
      </c>
      <c r="N1562">
        <v>3.58</v>
      </c>
      <c r="O1562">
        <v>0.99</v>
      </c>
      <c r="P1562" s="2" t="s">
        <v>42</v>
      </c>
      <c r="Q1562">
        <v>0</v>
      </c>
      <c r="R1562">
        <v>23.85</v>
      </c>
      <c r="S1562">
        <v>18.13</v>
      </c>
      <c r="T1562">
        <v>5.72</v>
      </c>
      <c r="U1562">
        <f t="shared" si="24"/>
        <v>0</v>
      </c>
    </row>
    <row r="1563" spans="1:21" x14ac:dyDescent="0.25">
      <c r="A1563" s="2" t="s">
        <v>2307</v>
      </c>
      <c r="B1563" s="2" t="s">
        <v>668</v>
      </c>
      <c r="C1563" s="1">
        <v>45586</v>
      </c>
      <c r="D1563" s="2" t="s">
        <v>45</v>
      </c>
      <c r="E1563" s="2" t="s">
        <v>46</v>
      </c>
      <c r="F1563" s="2" t="s">
        <v>47</v>
      </c>
      <c r="G1563">
        <v>1</v>
      </c>
      <c r="H1563" s="2" t="s">
        <v>48</v>
      </c>
      <c r="I1563">
        <v>8.3000000000000007</v>
      </c>
      <c r="J1563">
        <v>10</v>
      </c>
      <c r="K1563">
        <v>0.83</v>
      </c>
      <c r="L1563">
        <v>13.18</v>
      </c>
      <c r="M1563">
        <v>3.65</v>
      </c>
      <c r="N1563">
        <v>0</v>
      </c>
      <c r="O1563">
        <v>0.52</v>
      </c>
      <c r="P1563" s="2" t="s">
        <v>42</v>
      </c>
      <c r="Q1563">
        <v>0</v>
      </c>
      <c r="R1563">
        <v>7.47</v>
      </c>
      <c r="S1563">
        <v>17.350000000000001</v>
      </c>
      <c r="T1563">
        <v>-9.8800000000000008</v>
      </c>
      <c r="U1563">
        <f t="shared" si="24"/>
        <v>0</v>
      </c>
    </row>
    <row r="1564" spans="1:21" x14ac:dyDescent="0.25">
      <c r="A1564" s="2" t="s">
        <v>2308</v>
      </c>
      <c r="B1564" s="2" t="s">
        <v>1979</v>
      </c>
      <c r="C1564" s="1">
        <v>45882</v>
      </c>
      <c r="D1564" s="2" t="s">
        <v>38</v>
      </c>
      <c r="E1564" s="2" t="s">
        <v>46</v>
      </c>
      <c r="F1564" s="2" t="s">
        <v>47</v>
      </c>
      <c r="G1564">
        <v>5</v>
      </c>
      <c r="H1564" s="2" t="s">
        <v>64</v>
      </c>
      <c r="I1564">
        <v>319.60000000000002</v>
      </c>
      <c r="J1564">
        <v>0</v>
      </c>
      <c r="K1564">
        <v>0</v>
      </c>
      <c r="L1564">
        <v>44.6</v>
      </c>
      <c r="M1564">
        <v>126.2</v>
      </c>
      <c r="N1564">
        <v>0</v>
      </c>
      <c r="O1564">
        <v>9.57</v>
      </c>
      <c r="P1564" s="2" t="s">
        <v>42</v>
      </c>
      <c r="Q1564">
        <v>0</v>
      </c>
      <c r="R1564">
        <v>319.60000000000002</v>
      </c>
      <c r="S1564">
        <v>180.37</v>
      </c>
      <c r="T1564">
        <v>139.22999999999999</v>
      </c>
      <c r="U1564">
        <f t="shared" si="24"/>
        <v>0</v>
      </c>
    </row>
    <row r="1565" spans="1:21" x14ac:dyDescent="0.25">
      <c r="A1565" s="2" t="s">
        <v>2309</v>
      </c>
      <c r="B1565" s="2" t="s">
        <v>420</v>
      </c>
      <c r="C1565" s="1">
        <v>45724</v>
      </c>
      <c r="D1565" s="2" t="s">
        <v>45</v>
      </c>
      <c r="E1565" s="2" t="s">
        <v>46</v>
      </c>
      <c r="F1565" s="2" t="s">
        <v>47</v>
      </c>
      <c r="G1565">
        <v>1</v>
      </c>
      <c r="H1565" s="2" t="s">
        <v>111</v>
      </c>
      <c r="I1565">
        <v>47.07</v>
      </c>
      <c r="J1565">
        <v>0</v>
      </c>
      <c r="K1565">
        <v>0</v>
      </c>
      <c r="L1565">
        <v>28.02</v>
      </c>
      <c r="M1565">
        <v>14.01</v>
      </c>
      <c r="N1565">
        <v>0</v>
      </c>
      <c r="O1565">
        <v>1.67</v>
      </c>
      <c r="P1565" s="2" t="s">
        <v>42</v>
      </c>
      <c r="Q1565">
        <v>0</v>
      </c>
      <c r="R1565">
        <v>47.07</v>
      </c>
      <c r="S1565">
        <v>43.7</v>
      </c>
      <c r="T1565">
        <v>3.37</v>
      </c>
      <c r="U1565">
        <f t="shared" si="24"/>
        <v>0</v>
      </c>
    </row>
    <row r="1566" spans="1:21" x14ac:dyDescent="0.25">
      <c r="A1566" s="2" t="s">
        <v>2310</v>
      </c>
      <c r="B1566" s="2" t="s">
        <v>774</v>
      </c>
      <c r="C1566" s="1">
        <v>45457</v>
      </c>
      <c r="D1566" s="2" t="s">
        <v>45</v>
      </c>
      <c r="E1566" s="2" t="s">
        <v>46</v>
      </c>
      <c r="F1566" s="2" t="s">
        <v>47</v>
      </c>
      <c r="G1566">
        <v>2</v>
      </c>
      <c r="H1566" s="2" t="s">
        <v>77</v>
      </c>
      <c r="I1566">
        <v>134.28</v>
      </c>
      <c r="J1566">
        <v>20</v>
      </c>
      <c r="K1566">
        <v>26.86</v>
      </c>
      <c r="L1566">
        <v>17.72</v>
      </c>
      <c r="M1566">
        <v>43.02</v>
      </c>
      <c r="N1566">
        <v>0</v>
      </c>
      <c r="O1566">
        <v>3.42</v>
      </c>
      <c r="P1566" s="2" t="s">
        <v>42</v>
      </c>
      <c r="Q1566">
        <v>0</v>
      </c>
      <c r="R1566">
        <v>107.42</v>
      </c>
      <c r="S1566">
        <v>64.16</v>
      </c>
      <c r="T1566">
        <v>43.26</v>
      </c>
      <c r="U1566">
        <f t="shared" si="24"/>
        <v>0</v>
      </c>
    </row>
    <row r="1567" spans="1:21" x14ac:dyDescent="0.25">
      <c r="A1567" s="2" t="s">
        <v>2311</v>
      </c>
      <c r="B1567" s="2" t="s">
        <v>964</v>
      </c>
      <c r="C1567" s="1">
        <v>45603</v>
      </c>
      <c r="D1567" s="2" t="s">
        <v>45</v>
      </c>
      <c r="E1567" s="2" t="s">
        <v>71</v>
      </c>
      <c r="F1567" s="2" t="s">
        <v>85</v>
      </c>
      <c r="G1567">
        <v>2</v>
      </c>
      <c r="H1567" s="2" t="s">
        <v>52</v>
      </c>
      <c r="I1567">
        <v>179.56</v>
      </c>
      <c r="J1567">
        <v>0</v>
      </c>
      <c r="K1567">
        <v>0</v>
      </c>
      <c r="L1567">
        <v>19.2</v>
      </c>
      <c r="M1567">
        <v>85.56</v>
      </c>
      <c r="N1567">
        <v>0</v>
      </c>
      <c r="O1567">
        <v>5.51</v>
      </c>
      <c r="P1567" s="2" t="s">
        <v>42</v>
      </c>
      <c r="Q1567">
        <v>0</v>
      </c>
      <c r="R1567">
        <v>179.56</v>
      </c>
      <c r="S1567">
        <v>110.27</v>
      </c>
      <c r="T1567">
        <v>69.290000000000006</v>
      </c>
      <c r="U1567">
        <f t="shared" si="24"/>
        <v>0</v>
      </c>
    </row>
    <row r="1568" spans="1:21" x14ac:dyDescent="0.25">
      <c r="A1568" s="2" t="s">
        <v>2312</v>
      </c>
      <c r="B1568" s="2" t="s">
        <v>1271</v>
      </c>
      <c r="C1568" s="1">
        <v>46005</v>
      </c>
      <c r="D1568" s="2" t="s">
        <v>45</v>
      </c>
      <c r="E1568" s="2" t="s">
        <v>67</v>
      </c>
      <c r="F1568" s="2" t="s">
        <v>85</v>
      </c>
      <c r="G1568">
        <v>1</v>
      </c>
      <c r="H1568" s="2" t="s">
        <v>48</v>
      </c>
      <c r="I1568">
        <v>16.16</v>
      </c>
      <c r="J1568">
        <v>0</v>
      </c>
      <c r="K1568">
        <v>0</v>
      </c>
      <c r="L1568">
        <v>4.54</v>
      </c>
      <c r="M1568">
        <v>7.01</v>
      </c>
      <c r="N1568">
        <v>0</v>
      </c>
      <c r="O1568">
        <v>0.77</v>
      </c>
      <c r="P1568" s="2" t="s">
        <v>42</v>
      </c>
      <c r="Q1568">
        <v>0</v>
      </c>
      <c r="R1568">
        <v>16.16</v>
      </c>
      <c r="S1568">
        <v>12.32</v>
      </c>
      <c r="T1568">
        <v>3.84</v>
      </c>
      <c r="U1568">
        <f t="shared" si="24"/>
        <v>0</v>
      </c>
    </row>
    <row r="1569" spans="1:21" x14ac:dyDescent="0.25">
      <c r="A1569" s="2" t="s">
        <v>2313</v>
      </c>
      <c r="B1569" s="2" t="s">
        <v>1038</v>
      </c>
      <c r="C1569" s="1">
        <v>45829</v>
      </c>
      <c r="D1569" s="2" t="s">
        <v>38</v>
      </c>
      <c r="E1569" s="2" t="s">
        <v>46</v>
      </c>
      <c r="F1569" s="2" t="s">
        <v>51</v>
      </c>
      <c r="G1569">
        <v>2</v>
      </c>
      <c r="H1569" s="2" t="s">
        <v>41</v>
      </c>
      <c r="I1569">
        <v>159.54</v>
      </c>
      <c r="J1569">
        <v>5</v>
      </c>
      <c r="K1569">
        <v>7.98</v>
      </c>
      <c r="L1569">
        <v>15.96</v>
      </c>
      <c r="M1569">
        <v>50.07</v>
      </c>
      <c r="N1569">
        <v>0</v>
      </c>
      <c r="O1569">
        <v>4.7</v>
      </c>
      <c r="P1569" s="2" t="s">
        <v>42</v>
      </c>
      <c r="Q1569">
        <v>0</v>
      </c>
      <c r="R1569">
        <v>151.56</v>
      </c>
      <c r="S1569">
        <v>70.73</v>
      </c>
      <c r="T1569">
        <v>80.83</v>
      </c>
      <c r="U1569">
        <f t="shared" si="24"/>
        <v>0</v>
      </c>
    </row>
    <row r="1570" spans="1:21" x14ac:dyDescent="0.25">
      <c r="A1570" s="2" t="s">
        <v>2314</v>
      </c>
      <c r="B1570" s="2" t="s">
        <v>1456</v>
      </c>
      <c r="C1570" s="1">
        <v>45595</v>
      </c>
      <c r="D1570" s="2" t="s">
        <v>38</v>
      </c>
      <c r="E1570" s="2" t="s">
        <v>46</v>
      </c>
      <c r="F1570" s="2" t="s">
        <v>51</v>
      </c>
      <c r="G1570">
        <v>1</v>
      </c>
      <c r="H1570" s="2" t="s">
        <v>77</v>
      </c>
      <c r="I1570">
        <v>16.100000000000001</v>
      </c>
      <c r="J1570">
        <v>0</v>
      </c>
      <c r="K1570">
        <v>0</v>
      </c>
      <c r="L1570">
        <v>12.62</v>
      </c>
      <c r="M1570">
        <v>5.42</v>
      </c>
      <c r="N1570">
        <v>0</v>
      </c>
      <c r="O1570">
        <v>0.77</v>
      </c>
      <c r="P1570" s="2" t="s">
        <v>42</v>
      </c>
      <c r="Q1570">
        <v>0</v>
      </c>
      <c r="R1570">
        <v>16.100000000000001</v>
      </c>
      <c r="S1570">
        <v>18.809999999999999</v>
      </c>
      <c r="T1570">
        <v>-2.71</v>
      </c>
      <c r="U1570">
        <f t="shared" si="24"/>
        <v>0</v>
      </c>
    </row>
    <row r="1571" spans="1:21" x14ac:dyDescent="0.25">
      <c r="A1571" s="2" t="s">
        <v>2315</v>
      </c>
      <c r="B1571" s="2" t="s">
        <v>749</v>
      </c>
      <c r="C1571" s="1">
        <v>45842</v>
      </c>
      <c r="D1571" s="2" t="s">
        <v>59</v>
      </c>
      <c r="E1571" s="2" t="s">
        <v>46</v>
      </c>
      <c r="F1571" s="2" t="s">
        <v>51</v>
      </c>
      <c r="G1571">
        <v>2</v>
      </c>
      <c r="H1571" s="2" t="s">
        <v>111</v>
      </c>
      <c r="I1571">
        <v>148.76</v>
      </c>
      <c r="J1571">
        <v>20</v>
      </c>
      <c r="K1571">
        <v>29.75</v>
      </c>
      <c r="L1571">
        <v>21.32</v>
      </c>
      <c r="M1571">
        <v>67.010000000000005</v>
      </c>
      <c r="N1571">
        <v>17.850000000000001</v>
      </c>
      <c r="O1571">
        <v>3.75</v>
      </c>
      <c r="P1571" s="2" t="s">
        <v>42</v>
      </c>
      <c r="Q1571">
        <v>0</v>
      </c>
      <c r="R1571">
        <v>119.01</v>
      </c>
      <c r="S1571">
        <v>109.93</v>
      </c>
      <c r="T1571">
        <v>9.08</v>
      </c>
      <c r="U1571">
        <f t="shared" si="24"/>
        <v>0</v>
      </c>
    </row>
    <row r="1572" spans="1:21" x14ac:dyDescent="0.25">
      <c r="A1572" s="2" t="s">
        <v>2316</v>
      </c>
      <c r="B1572" s="2" t="s">
        <v>274</v>
      </c>
      <c r="C1572" s="1">
        <v>45777</v>
      </c>
      <c r="D1572" s="2" t="s">
        <v>45</v>
      </c>
      <c r="E1572" s="2" t="s">
        <v>71</v>
      </c>
      <c r="F1572" s="2" t="s">
        <v>47</v>
      </c>
      <c r="G1572">
        <v>1</v>
      </c>
      <c r="H1572" s="2" t="s">
        <v>52</v>
      </c>
      <c r="I1572">
        <v>29.5</v>
      </c>
      <c r="J1572">
        <v>10</v>
      </c>
      <c r="K1572">
        <v>2.95</v>
      </c>
      <c r="L1572">
        <v>11.74</v>
      </c>
      <c r="M1572">
        <v>16.62</v>
      </c>
      <c r="N1572">
        <v>0</v>
      </c>
      <c r="O1572">
        <v>1.07</v>
      </c>
      <c r="P1572" s="2" t="s">
        <v>42</v>
      </c>
      <c r="Q1572">
        <v>0</v>
      </c>
      <c r="R1572">
        <v>26.55</v>
      </c>
      <c r="S1572">
        <v>29.43</v>
      </c>
      <c r="T1572">
        <v>-2.88</v>
      </c>
      <c r="U1572">
        <f t="shared" si="24"/>
        <v>0</v>
      </c>
    </row>
    <row r="1573" spans="1:21" x14ac:dyDescent="0.25">
      <c r="A1573" s="2" t="s">
        <v>2317</v>
      </c>
      <c r="B1573" s="2" t="s">
        <v>1456</v>
      </c>
      <c r="C1573" s="1">
        <v>45816</v>
      </c>
      <c r="D1573" s="2" t="s">
        <v>38</v>
      </c>
      <c r="E1573" s="2" t="s">
        <v>46</v>
      </c>
      <c r="F1573" s="2" t="s">
        <v>47</v>
      </c>
      <c r="G1573">
        <v>4</v>
      </c>
      <c r="H1573" s="2" t="s">
        <v>48</v>
      </c>
      <c r="I1573">
        <v>182.53</v>
      </c>
      <c r="J1573">
        <v>0</v>
      </c>
      <c r="K1573">
        <v>0</v>
      </c>
      <c r="L1573">
        <v>49.12</v>
      </c>
      <c r="M1573">
        <v>64.180000000000007</v>
      </c>
      <c r="N1573">
        <v>0</v>
      </c>
      <c r="O1573">
        <v>5.59</v>
      </c>
      <c r="P1573" s="2" t="s">
        <v>42</v>
      </c>
      <c r="Q1573">
        <v>0</v>
      </c>
      <c r="R1573">
        <v>182.53</v>
      </c>
      <c r="S1573">
        <v>118.89</v>
      </c>
      <c r="T1573">
        <v>63.64</v>
      </c>
      <c r="U1573">
        <f t="shared" si="24"/>
        <v>0</v>
      </c>
    </row>
    <row r="1574" spans="1:21" x14ac:dyDescent="0.25">
      <c r="A1574" s="2" t="s">
        <v>2318</v>
      </c>
      <c r="B1574" s="2" t="s">
        <v>576</v>
      </c>
      <c r="C1574" s="1">
        <v>45637</v>
      </c>
      <c r="D1574" s="2" t="s">
        <v>80</v>
      </c>
      <c r="E1574" s="2" t="s">
        <v>67</v>
      </c>
      <c r="F1574" s="2" t="s">
        <v>85</v>
      </c>
      <c r="G1574">
        <v>1</v>
      </c>
      <c r="H1574" s="2" t="s">
        <v>64</v>
      </c>
      <c r="I1574">
        <v>61.71</v>
      </c>
      <c r="J1574">
        <v>5</v>
      </c>
      <c r="K1574">
        <v>3.09</v>
      </c>
      <c r="L1574">
        <v>21.06</v>
      </c>
      <c r="M1574">
        <v>22.08</v>
      </c>
      <c r="N1574">
        <v>4.6900000000000004</v>
      </c>
      <c r="O1574">
        <v>2</v>
      </c>
      <c r="P1574" s="2" t="s">
        <v>42</v>
      </c>
      <c r="Q1574">
        <v>0</v>
      </c>
      <c r="R1574">
        <v>58.62</v>
      </c>
      <c r="S1574">
        <v>49.83</v>
      </c>
      <c r="T1574">
        <v>8.7899999999999991</v>
      </c>
      <c r="U1574">
        <f t="shared" si="24"/>
        <v>0</v>
      </c>
    </row>
    <row r="1575" spans="1:21" x14ac:dyDescent="0.25">
      <c r="A1575" s="2" t="s">
        <v>2319</v>
      </c>
      <c r="B1575" s="2" t="s">
        <v>2247</v>
      </c>
      <c r="C1575" s="1">
        <v>45784</v>
      </c>
      <c r="D1575" s="2" t="s">
        <v>59</v>
      </c>
      <c r="E1575" s="2" t="s">
        <v>46</v>
      </c>
      <c r="F1575" s="2" t="s">
        <v>47</v>
      </c>
      <c r="G1575">
        <v>4</v>
      </c>
      <c r="H1575" s="2" t="s">
        <v>56</v>
      </c>
      <c r="I1575">
        <v>297.86</v>
      </c>
      <c r="J1575">
        <v>25</v>
      </c>
      <c r="K1575">
        <v>74.459999999999994</v>
      </c>
      <c r="L1575">
        <v>53.82</v>
      </c>
      <c r="M1575">
        <v>120.51</v>
      </c>
      <c r="N1575">
        <v>33.51</v>
      </c>
      <c r="O1575">
        <v>6.78</v>
      </c>
      <c r="P1575" s="2" t="s">
        <v>42</v>
      </c>
      <c r="Q1575">
        <v>0</v>
      </c>
      <c r="R1575">
        <v>223.4</v>
      </c>
      <c r="S1575">
        <v>214.62</v>
      </c>
      <c r="T1575">
        <v>8.7799999999999994</v>
      </c>
      <c r="U1575">
        <f t="shared" si="24"/>
        <v>0</v>
      </c>
    </row>
    <row r="1576" spans="1:21" x14ac:dyDescent="0.25">
      <c r="A1576" s="2" t="s">
        <v>2320</v>
      </c>
      <c r="B1576" s="2" t="s">
        <v>726</v>
      </c>
      <c r="C1576" s="1">
        <v>45725</v>
      </c>
      <c r="D1576" s="2" t="s">
        <v>45</v>
      </c>
      <c r="E1576" s="2" t="s">
        <v>46</v>
      </c>
      <c r="F1576" s="2" t="s">
        <v>40</v>
      </c>
      <c r="G1576">
        <v>2</v>
      </c>
      <c r="H1576" s="2" t="s">
        <v>56</v>
      </c>
      <c r="I1576">
        <v>303.11</v>
      </c>
      <c r="J1576">
        <v>5</v>
      </c>
      <c r="K1576">
        <v>15.16</v>
      </c>
      <c r="L1576">
        <v>34.700000000000003</v>
      </c>
      <c r="M1576">
        <v>129.97</v>
      </c>
      <c r="N1576">
        <v>0</v>
      </c>
      <c r="O1576">
        <v>8.65</v>
      </c>
      <c r="P1576" s="2" t="s">
        <v>42</v>
      </c>
      <c r="Q1576">
        <v>0</v>
      </c>
      <c r="R1576">
        <v>287.95</v>
      </c>
      <c r="S1576">
        <v>173.32</v>
      </c>
      <c r="T1576">
        <v>114.63</v>
      </c>
      <c r="U1576">
        <f t="shared" si="24"/>
        <v>0</v>
      </c>
    </row>
    <row r="1577" spans="1:21" x14ac:dyDescent="0.25">
      <c r="A1577" s="2" t="s">
        <v>2321</v>
      </c>
      <c r="B1577" s="2" t="s">
        <v>2322</v>
      </c>
      <c r="C1577" s="1">
        <v>45881</v>
      </c>
      <c r="D1577" s="2" t="s">
        <v>38</v>
      </c>
      <c r="E1577" s="2" t="s">
        <v>71</v>
      </c>
      <c r="F1577" s="2" t="s">
        <v>51</v>
      </c>
      <c r="G1577">
        <v>2</v>
      </c>
      <c r="H1577" s="2" t="s">
        <v>56</v>
      </c>
      <c r="I1577">
        <v>96.94</v>
      </c>
      <c r="J1577">
        <v>0</v>
      </c>
      <c r="K1577">
        <v>0</v>
      </c>
      <c r="L1577">
        <v>20.28</v>
      </c>
      <c r="M1577">
        <v>48.4</v>
      </c>
      <c r="N1577">
        <v>0</v>
      </c>
      <c r="O1577">
        <v>3.11</v>
      </c>
      <c r="P1577" s="2" t="s">
        <v>42</v>
      </c>
      <c r="Q1577">
        <v>0</v>
      </c>
      <c r="R1577">
        <v>96.94</v>
      </c>
      <c r="S1577">
        <v>71.790000000000006</v>
      </c>
      <c r="T1577">
        <v>25.15</v>
      </c>
      <c r="U1577">
        <f t="shared" si="24"/>
        <v>0</v>
      </c>
    </row>
    <row r="1578" spans="1:21" x14ac:dyDescent="0.25">
      <c r="A1578" s="2" t="s">
        <v>2323</v>
      </c>
      <c r="B1578" s="2" t="s">
        <v>2324</v>
      </c>
      <c r="C1578" s="1">
        <v>45561</v>
      </c>
      <c r="D1578" s="2" t="s">
        <v>38</v>
      </c>
      <c r="E1578" s="2" t="s">
        <v>39</v>
      </c>
      <c r="F1578" s="2" t="s">
        <v>85</v>
      </c>
      <c r="G1578">
        <v>3</v>
      </c>
      <c r="H1578" s="2" t="s">
        <v>56</v>
      </c>
      <c r="I1578">
        <v>82.14</v>
      </c>
      <c r="J1578">
        <v>0</v>
      </c>
      <c r="K1578">
        <v>0</v>
      </c>
      <c r="L1578">
        <v>16.420000000000002</v>
      </c>
      <c r="M1578">
        <v>31.89</v>
      </c>
      <c r="N1578">
        <v>0</v>
      </c>
      <c r="O1578">
        <v>2.68</v>
      </c>
      <c r="P1578" s="2" t="s">
        <v>68</v>
      </c>
      <c r="Q1578">
        <v>82.14</v>
      </c>
      <c r="R1578">
        <v>0</v>
      </c>
      <c r="S1578">
        <v>50.99</v>
      </c>
      <c r="T1578">
        <v>-50.99</v>
      </c>
      <c r="U1578">
        <f t="shared" si="24"/>
        <v>0</v>
      </c>
    </row>
    <row r="1579" spans="1:21" x14ac:dyDescent="0.25">
      <c r="A1579" s="2" t="s">
        <v>2325</v>
      </c>
      <c r="B1579" s="2" t="s">
        <v>500</v>
      </c>
      <c r="C1579" s="1">
        <v>45784</v>
      </c>
      <c r="D1579" s="2" t="s">
        <v>38</v>
      </c>
      <c r="E1579" s="2" t="s">
        <v>55</v>
      </c>
      <c r="F1579" s="2" t="s">
        <v>51</v>
      </c>
      <c r="G1579">
        <v>2</v>
      </c>
      <c r="H1579" s="2" t="s">
        <v>56</v>
      </c>
      <c r="I1579">
        <v>126.97</v>
      </c>
      <c r="J1579">
        <v>10</v>
      </c>
      <c r="K1579">
        <v>12.7</v>
      </c>
      <c r="L1579">
        <v>58.48</v>
      </c>
      <c r="M1579">
        <v>71.989999999999995</v>
      </c>
      <c r="N1579">
        <v>0</v>
      </c>
      <c r="O1579">
        <v>3.61</v>
      </c>
      <c r="P1579" s="2" t="s">
        <v>42</v>
      </c>
      <c r="Q1579">
        <v>0</v>
      </c>
      <c r="R1579">
        <v>114.27</v>
      </c>
      <c r="S1579">
        <v>134.08000000000001</v>
      </c>
      <c r="T1579">
        <v>-19.809999999999999</v>
      </c>
      <c r="U1579">
        <f t="shared" si="24"/>
        <v>0</v>
      </c>
    </row>
    <row r="1580" spans="1:21" x14ac:dyDescent="0.25">
      <c r="A1580" s="2" t="s">
        <v>2326</v>
      </c>
      <c r="B1580" s="2" t="s">
        <v>2327</v>
      </c>
      <c r="C1580" s="1">
        <v>45801</v>
      </c>
      <c r="D1580" s="2" t="s">
        <v>45</v>
      </c>
      <c r="E1580" s="2" t="s">
        <v>39</v>
      </c>
      <c r="F1580" s="2" t="s">
        <v>85</v>
      </c>
      <c r="G1580">
        <v>2</v>
      </c>
      <c r="H1580" s="2" t="s">
        <v>48</v>
      </c>
      <c r="I1580">
        <v>120.69</v>
      </c>
      <c r="J1580">
        <v>10</v>
      </c>
      <c r="K1580">
        <v>12.07</v>
      </c>
      <c r="L1580">
        <v>37.14</v>
      </c>
      <c r="M1580">
        <v>58.03</v>
      </c>
      <c r="N1580">
        <v>0</v>
      </c>
      <c r="O1580">
        <v>3.45</v>
      </c>
      <c r="P1580" s="2" t="s">
        <v>42</v>
      </c>
      <c r="Q1580">
        <v>0</v>
      </c>
      <c r="R1580">
        <v>108.62</v>
      </c>
      <c r="S1580">
        <v>98.62</v>
      </c>
      <c r="T1580">
        <v>10</v>
      </c>
      <c r="U1580">
        <f t="shared" si="24"/>
        <v>1</v>
      </c>
    </row>
    <row r="1581" spans="1:21" x14ac:dyDescent="0.25">
      <c r="A1581" s="2" t="s">
        <v>2328</v>
      </c>
      <c r="B1581" s="2" t="s">
        <v>253</v>
      </c>
      <c r="C1581" s="1">
        <v>45868</v>
      </c>
      <c r="D1581" s="2" t="s">
        <v>45</v>
      </c>
      <c r="E1581" s="2" t="s">
        <v>46</v>
      </c>
      <c r="F1581" s="2" t="s">
        <v>40</v>
      </c>
      <c r="G1581">
        <v>2</v>
      </c>
      <c r="H1581" s="2" t="s">
        <v>56</v>
      </c>
      <c r="I1581">
        <v>137.15</v>
      </c>
      <c r="J1581">
        <v>0</v>
      </c>
      <c r="K1581">
        <v>0</v>
      </c>
      <c r="L1581">
        <v>30.82</v>
      </c>
      <c r="M1581">
        <v>60.87</v>
      </c>
      <c r="N1581">
        <v>0</v>
      </c>
      <c r="O1581">
        <v>4.28</v>
      </c>
      <c r="P1581" s="2" t="s">
        <v>42</v>
      </c>
      <c r="Q1581">
        <v>0</v>
      </c>
      <c r="R1581">
        <v>137.15</v>
      </c>
      <c r="S1581">
        <v>95.97</v>
      </c>
      <c r="T1581">
        <v>41.18</v>
      </c>
      <c r="U1581">
        <f t="shared" si="24"/>
        <v>0</v>
      </c>
    </row>
    <row r="1582" spans="1:21" x14ac:dyDescent="0.25">
      <c r="A1582" s="2" t="s">
        <v>2329</v>
      </c>
      <c r="B1582" s="2" t="s">
        <v>353</v>
      </c>
      <c r="C1582" s="1">
        <v>45651</v>
      </c>
      <c r="D1582" s="2" t="s">
        <v>80</v>
      </c>
      <c r="E1582" s="2" t="s">
        <v>55</v>
      </c>
      <c r="F1582" s="2" t="s">
        <v>94</v>
      </c>
      <c r="G1582">
        <v>2</v>
      </c>
      <c r="H1582" s="2" t="s">
        <v>41</v>
      </c>
      <c r="I1582">
        <v>44.8</v>
      </c>
      <c r="J1582">
        <v>20</v>
      </c>
      <c r="K1582">
        <v>8.9600000000000009</v>
      </c>
      <c r="L1582">
        <v>21.72</v>
      </c>
      <c r="M1582">
        <v>16.03</v>
      </c>
      <c r="N1582">
        <v>2.87</v>
      </c>
      <c r="O1582">
        <v>1.34</v>
      </c>
      <c r="P1582" s="2" t="s">
        <v>42</v>
      </c>
      <c r="Q1582">
        <v>0</v>
      </c>
      <c r="R1582">
        <v>35.840000000000003</v>
      </c>
      <c r="S1582">
        <v>41.96</v>
      </c>
      <c r="T1582">
        <v>-6.12</v>
      </c>
      <c r="U1582">
        <f t="shared" si="24"/>
        <v>0</v>
      </c>
    </row>
    <row r="1583" spans="1:21" x14ac:dyDescent="0.25">
      <c r="A1583" s="2" t="s">
        <v>2330</v>
      </c>
      <c r="B1583" s="2" t="s">
        <v>1333</v>
      </c>
      <c r="C1583" s="1">
        <v>45736</v>
      </c>
      <c r="D1583" s="2" t="s">
        <v>59</v>
      </c>
      <c r="E1583" s="2" t="s">
        <v>71</v>
      </c>
      <c r="F1583" s="2" t="s">
        <v>40</v>
      </c>
      <c r="G1583">
        <v>2</v>
      </c>
      <c r="H1583" s="2" t="s">
        <v>48</v>
      </c>
      <c r="I1583">
        <v>100.38</v>
      </c>
      <c r="J1583">
        <v>0</v>
      </c>
      <c r="K1583">
        <v>0</v>
      </c>
      <c r="L1583">
        <v>14.52</v>
      </c>
      <c r="M1583">
        <v>38.15</v>
      </c>
      <c r="N1583">
        <v>15.06</v>
      </c>
      <c r="O1583">
        <v>3.21</v>
      </c>
      <c r="P1583" s="2" t="s">
        <v>42</v>
      </c>
      <c r="Q1583">
        <v>0</v>
      </c>
      <c r="R1583">
        <v>100.38</v>
      </c>
      <c r="S1583">
        <v>70.94</v>
      </c>
      <c r="T1583">
        <v>29.44</v>
      </c>
      <c r="U1583">
        <f t="shared" si="24"/>
        <v>0</v>
      </c>
    </row>
    <row r="1584" spans="1:21" x14ac:dyDescent="0.25">
      <c r="A1584" s="2" t="s">
        <v>2331</v>
      </c>
      <c r="B1584" s="2" t="s">
        <v>1754</v>
      </c>
      <c r="C1584" s="1">
        <v>45927</v>
      </c>
      <c r="D1584" s="2" t="s">
        <v>38</v>
      </c>
      <c r="E1584" s="2" t="s">
        <v>46</v>
      </c>
      <c r="F1584" s="2" t="s">
        <v>85</v>
      </c>
      <c r="G1584">
        <v>1</v>
      </c>
      <c r="H1584" s="2" t="s">
        <v>41</v>
      </c>
      <c r="I1584">
        <v>37.71</v>
      </c>
      <c r="J1584">
        <v>0</v>
      </c>
      <c r="K1584">
        <v>0</v>
      </c>
      <c r="L1584">
        <v>14.46</v>
      </c>
      <c r="M1584">
        <v>11.89</v>
      </c>
      <c r="N1584">
        <v>0</v>
      </c>
      <c r="O1584">
        <v>1.39</v>
      </c>
      <c r="P1584" s="2" t="s">
        <v>42</v>
      </c>
      <c r="Q1584">
        <v>0</v>
      </c>
      <c r="R1584">
        <v>37.71</v>
      </c>
      <c r="S1584">
        <v>27.74</v>
      </c>
      <c r="T1584">
        <v>9.9700000000000006</v>
      </c>
      <c r="U1584">
        <f t="shared" si="24"/>
        <v>0</v>
      </c>
    </row>
    <row r="1585" spans="1:21" x14ac:dyDescent="0.25">
      <c r="A1585" s="2" t="s">
        <v>2332</v>
      </c>
      <c r="B1585" s="2" t="s">
        <v>816</v>
      </c>
      <c r="C1585" s="1">
        <v>45725</v>
      </c>
      <c r="D1585" s="2" t="s">
        <v>38</v>
      </c>
      <c r="E1585" s="2" t="s">
        <v>71</v>
      </c>
      <c r="F1585" s="2" t="s">
        <v>85</v>
      </c>
      <c r="G1585">
        <v>3</v>
      </c>
      <c r="H1585" s="2" t="s">
        <v>56</v>
      </c>
      <c r="I1585">
        <v>92.13</v>
      </c>
      <c r="J1585">
        <v>0</v>
      </c>
      <c r="K1585">
        <v>0</v>
      </c>
      <c r="L1585">
        <v>47.18</v>
      </c>
      <c r="M1585">
        <v>55.39</v>
      </c>
      <c r="N1585">
        <v>0</v>
      </c>
      <c r="O1585">
        <v>2.97</v>
      </c>
      <c r="P1585" s="2" t="s">
        <v>42</v>
      </c>
      <c r="Q1585">
        <v>0</v>
      </c>
      <c r="R1585">
        <v>92.13</v>
      </c>
      <c r="S1585">
        <v>105.54</v>
      </c>
      <c r="T1585">
        <v>-13.41</v>
      </c>
      <c r="U1585">
        <f t="shared" si="24"/>
        <v>0</v>
      </c>
    </row>
    <row r="1586" spans="1:21" x14ac:dyDescent="0.25">
      <c r="A1586" s="2" t="s">
        <v>2333</v>
      </c>
      <c r="B1586" s="2" t="s">
        <v>1086</v>
      </c>
      <c r="C1586" s="1">
        <v>45546</v>
      </c>
      <c r="D1586" s="2" t="s">
        <v>45</v>
      </c>
      <c r="E1586" s="2" t="s">
        <v>71</v>
      </c>
      <c r="F1586" s="2" t="s">
        <v>47</v>
      </c>
      <c r="G1586">
        <v>2</v>
      </c>
      <c r="H1586" s="2" t="s">
        <v>77</v>
      </c>
      <c r="I1586">
        <v>91.04</v>
      </c>
      <c r="J1586">
        <v>10</v>
      </c>
      <c r="K1586">
        <v>9.1</v>
      </c>
      <c r="L1586">
        <v>29.3</v>
      </c>
      <c r="M1586">
        <v>36.840000000000003</v>
      </c>
      <c r="N1586">
        <v>0</v>
      </c>
      <c r="O1586">
        <v>2.68</v>
      </c>
      <c r="P1586" s="2" t="s">
        <v>42</v>
      </c>
      <c r="Q1586">
        <v>0</v>
      </c>
      <c r="R1586">
        <v>81.94</v>
      </c>
      <c r="S1586">
        <v>68.819999999999993</v>
      </c>
      <c r="T1586">
        <v>13.12</v>
      </c>
      <c r="U1586">
        <f t="shared" si="24"/>
        <v>0</v>
      </c>
    </row>
    <row r="1587" spans="1:21" x14ac:dyDescent="0.25">
      <c r="A1587" s="2" t="s">
        <v>2334</v>
      </c>
      <c r="B1587" s="2" t="s">
        <v>1418</v>
      </c>
      <c r="C1587" s="1">
        <v>45833</v>
      </c>
      <c r="D1587" s="2" t="s">
        <v>59</v>
      </c>
      <c r="E1587" s="2" t="s">
        <v>46</v>
      </c>
      <c r="F1587" s="2" t="s">
        <v>51</v>
      </c>
      <c r="G1587">
        <v>4</v>
      </c>
      <c r="H1587" s="2" t="s">
        <v>111</v>
      </c>
      <c r="I1587">
        <v>374.39</v>
      </c>
      <c r="J1587">
        <v>0</v>
      </c>
      <c r="K1587">
        <v>0</v>
      </c>
      <c r="L1587">
        <v>84.38</v>
      </c>
      <c r="M1587">
        <v>177.26</v>
      </c>
      <c r="N1587">
        <v>56.16</v>
      </c>
      <c r="O1587">
        <v>11.16</v>
      </c>
      <c r="P1587" s="2" t="s">
        <v>42</v>
      </c>
      <c r="Q1587">
        <v>0</v>
      </c>
      <c r="R1587">
        <v>374.39</v>
      </c>
      <c r="S1587">
        <v>328.96</v>
      </c>
      <c r="T1587">
        <v>45.43</v>
      </c>
      <c r="U1587">
        <f t="shared" si="24"/>
        <v>0</v>
      </c>
    </row>
    <row r="1588" spans="1:21" x14ac:dyDescent="0.25">
      <c r="A1588" s="2" t="s">
        <v>2335</v>
      </c>
      <c r="B1588" s="2" t="s">
        <v>374</v>
      </c>
      <c r="C1588" s="1">
        <v>45617</v>
      </c>
      <c r="D1588" s="2" t="s">
        <v>38</v>
      </c>
      <c r="E1588" s="2" t="s">
        <v>39</v>
      </c>
      <c r="F1588" s="2" t="s">
        <v>51</v>
      </c>
      <c r="G1588">
        <v>2</v>
      </c>
      <c r="H1588" s="2" t="s">
        <v>74</v>
      </c>
      <c r="I1588">
        <v>89.23</v>
      </c>
      <c r="J1588">
        <v>10</v>
      </c>
      <c r="K1588">
        <v>8.92</v>
      </c>
      <c r="L1588">
        <v>24.12</v>
      </c>
      <c r="M1588">
        <v>32.99</v>
      </c>
      <c r="N1588">
        <v>0</v>
      </c>
      <c r="O1588">
        <v>2.63</v>
      </c>
      <c r="P1588" s="2" t="s">
        <v>42</v>
      </c>
      <c r="Q1588">
        <v>0</v>
      </c>
      <c r="R1588">
        <v>80.31</v>
      </c>
      <c r="S1588">
        <v>59.74</v>
      </c>
      <c r="T1588">
        <v>20.57</v>
      </c>
      <c r="U1588">
        <f t="shared" si="24"/>
        <v>0</v>
      </c>
    </row>
    <row r="1589" spans="1:21" x14ac:dyDescent="0.25">
      <c r="A1589" s="2" t="s">
        <v>2336</v>
      </c>
      <c r="B1589" s="2" t="s">
        <v>836</v>
      </c>
      <c r="C1589" s="1">
        <v>45900</v>
      </c>
      <c r="D1589" s="2" t="s">
        <v>45</v>
      </c>
      <c r="E1589" s="2" t="s">
        <v>46</v>
      </c>
      <c r="F1589" s="2" t="s">
        <v>94</v>
      </c>
      <c r="G1589">
        <v>2</v>
      </c>
      <c r="H1589" s="2" t="s">
        <v>41</v>
      </c>
      <c r="I1589">
        <v>532.12</v>
      </c>
      <c r="J1589">
        <v>5</v>
      </c>
      <c r="K1589">
        <v>26.61</v>
      </c>
      <c r="L1589">
        <v>37.840000000000003</v>
      </c>
      <c r="M1589">
        <v>190</v>
      </c>
      <c r="N1589">
        <v>0</v>
      </c>
      <c r="O1589">
        <v>14.96</v>
      </c>
      <c r="P1589" s="2" t="s">
        <v>42</v>
      </c>
      <c r="Q1589">
        <v>0</v>
      </c>
      <c r="R1589">
        <v>505.51</v>
      </c>
      <c r="S1589">
        <v>242.8</v>
      </c>
      <c r="T1589">
        <v>262.70999999999998</v>
      </c>
      <c r="U1589">
        <f t="shared" si="24"/>
        <v>0</v>
      </c>
    </row>
    <row r="1590" spans="1:21" x14ac:dyDescent="0.25">
      <c r="A1590" s="2" t="s">
        <v>2337</v>
      </c>
      <c r="B1590" s="2" t="s">
        <v>676</v>
      </c>
      <c r="C1590" s="1">
        <v>45543</v>
      </c>
      <c r="D1590" s="2" t="s">
        <v>38</v>
      </c>
      <c r="E1590" s="2" t="s">
        <v>46</v>
      </c>
      <c r="F1590" s="2" t="s">
        <v>94</v>
      </c>
      <c r="G1590">
        <v>1</v>
      </c>
      <c r="H1590" s="2" t="s">
        <v>41</v>
      </c>
      <c r="I1590">
        <v>37.71</v>
      </c>
      <c r="J1590">
        <v>0</v>
      </c>
      <c r="K1590">
        <v>0</v>
      </c>
      <c r="L1590">
        <v>14.46</v>
      </c>
      <c r="M1590">
        <v>11.89</v>
      </c>
      <c r="N1590">
        <v>0</v>
      </c>
      <c r="O1590">
        <v>1.39</v>
      </c>
      <c r="P1590" s="2" t="s">
        <v>42</v>
      </c>
      <c r="Q1590">
        <v>0</v>
      </c>
      <c r="R1590">
        <v>37.71</v>
      </c>
      <c r="S1590">
        <v>27.74</v>
      </c>
      <c r="T1590">
        <v>9.9700000000000006</v>
      </c>
      <c r="U1590">
        <f t="shared" si="24"/>
        <v>0</v>
      </c>
    </row>
    <row r="1591" spans="1:21" x14ac:dyDescent="0.25">
      <c r="A1591" s="2" t="s">
        <v>2338</v>
      </c>
      <c r="B1591" s="2" t="s">
        <v>1437</v>
      </c>
      <c r="C1591" s="1">
        <v>46010</v>
      </c>
      <c r="D1591" s="2" t="s">
        <v>45</v>
      </c>
      <c r="E1591" s="2" t="s">
        <v>71</v>
      </c>
      <c r="F1591" s="2" t="s">
        <v>94</v>
      </c>
      <c r="G1591">
        <v>3</v>
      </c>
      <c r="H1591" s="2" t="s">
        <v>48</v>
      </c>
      <c r="I1591">
        <v>251.99</v>
      </c>
      <c r="J1591">
        <v>5</v>
      </c>
      <c r="K1591">
        <v>12.6</v>
      </c>
      <c r="L1591">
        <v>65.900000000000006</v>
      </c>
      <c r="M1591">
        <v>99.2</v>
      </c>
      <c r="N1591">
        <v>0</v>
      </c>
      <c r="O1591">
        <v>7.24</v>
      </c>
      <c r="P1591" s="2" t="s">
        <v>68</v>
      </c>
      <c r="Q1591">
        <v>239.39</v>
      </c>
      <c r="R1591">
        <v>0</v>
      </c>
      <c r="S1591">
        <v>172.34</v>
      </c>
      <c r="T1591">
        <v>-172.34</v>
      </c>
      <c r="U1591">
        <f t="shared" si="24"/>
        <v>0</v>
      </c>
    </row>
    <row r="1592" spans="1:21" x14ac:dyDescent="0.25">
      <c r="A1592" s="2" t="s">
        <v>2339</v>
      </c>
      <c r="B1592" s="2" t="s">
        <v>2103</v>
      </c>
      <c r="C1592" s="1">
        <v>45920</v>
      </c>
      <c r="D1592" s="2" t="s">
        <v>45</v>
      </c>
      <c r="E1592" s="2" t="s">
        <v>46</v>
      </c>
      <c r="F1592" s="2" t="s">
        <v>51</v>
      </c>
      <c r="G1592">
        <v>1</v>
      </c>
      <c r="H1592" s="2" t="s">
        <v>52</v>
      </c>
      <c r="I1592">
        <v>100.66</v>
      </c>
      <c r="J1592">
        <v>20</v>
      </c>
      <c r="K1592">
        <v>20.13</v>
      </c>
      <c r="L1592">
        <v>10.46</v>
      </c>
      <c r="M1592">
        <v>36.479999999999997</v>
      </c>
      <c r="N1592">
        <v>0</v>
      </c>
      <c r="O1592">
        <v>2.64</v>
      </c>
      <c r="P1592" s="2" t="s">
        <v>42</v>
      </c>
      <c r="Q1592">
        <v>0</v>
      </c>
      <c r="R1592">
        <v>80.53</v>
      </c>
      <c r="S1592">
        <v>49.58</v>
      </c>
      <c r="T1592">
        <v>30.95</v>
      </c>
      <c r="U1592">
        <f t="shared" si="24"/>
        <v>0</v>
      </c>
    </row>
    <row r="1593" spans="1:21" x14ac:dyDescent="0.25">
      <c r="A1593" s="2" t="s">
        <v>2340</v>
      </c>
      <c r="B1593" s="2" t="s">
        <v>850</v>
      </c>
      <c r="C1593" s="1">
        <v>45808</v>
      </c>
      <c r="D1593" s="2" t="s">
        <v>38</v>
      </c>
      <c r="E1593" s="2" t="s">
        <v>71</v>
      </c>
      <c r="F1593" s="2" t="s">
        <v>51</v>
      </c>
      <c r="G1593">
        <v>4</v>
      </c>
      <c r="H1593" s="2" t="s">
        <v>56</v>
      </c>
      <c r="I1593">
        <v>181.44</v>
      </c>
      <c r="J1593">
        <v>10</v>
      </c>
      <c r="K1593">
        <v>18.14</v>
      </c>
      <c r="L1593">
        <v>59.94</v>
      </c>
      <c r="M1593">
        <v>71.540000000000006</v>
      </c>
      <c r="N1593">
        <v>0</v>
      </c>
      <c r="O1593">
        <v>5.04</v>
      </c>
      <c r="P1593" s="2" t="s">
        <v>42</v>
      </c>
      <c r="Q1593">
        <v>0</v>
      </c>
      <c r="R1593">
        <v>163.30000000000001</v>
      </c>
      <c r="S1593">
        <v>136.52000000000001</v>
      </c>
      <c r="T1593">
        <v>26.78</v>
      </c>
      <c r="U1593">
        <f t="shared" si="24"/>
        <v>1</v>
      </c>
    </row>
    <row r="1594" spans="1:21" x14ac:dyDescent="0.25">
      <c r="A1594" s="2" t="s">
        <v>2341</v>
      </c>
      <c r="B1594" s="2" t="s">
        <v>1486</v>
      </c>
      <c r="C1594" s="1">
        <v>45726</v>
      </c>
      <c r="D1594" s="2" t="s">
        <v>45</v>
      </c>
      <c r="E1594" s="2" t="s">
        <v>67</v>
      </c>
      <c r="F1594" s="2" t="s">
        <v>40</v>
      </c>
      <c r="G1594">
        <v>2</v>
      </c>
      <c r="H1594" s="2" t="s">
        <v>56</v>
      </c>
      <c r="I1594">
        <v>27.45</v>
      </c>
      <c r="J1594">
        <v>10</v>
      </c>
      <c r="K1594">
        <v>2.75</v>
      </c>
      <c r="L1594">
        <v>21.48</v>
      </c>
      <c r="M1594">
        <v>14.14</v>
      </c>
      <c r="N1594">
        <v>0</v>
      </c>
      <c r="O1594">
        <v>1.02</v>
      </c>
      <c r="P1594" s="2" t="s">
        <v>42</v>
      </c>
      <c r="Q1594">
        <v>0</v>
      </c>
      <c r="R1594">
        <v>24.7</v>
      </c>
      <c r="S1594">
        <v>36.64</v>
      </c>
      <c r="T1594">
        <v>-11.94</v>
      </c>
      <c r="U1594">
        <f t="shared" si="24"/>
        <v>0</v>
      </c>
    </row>
    <row r="1595" spans="1:21" x14ac:dyDescent="0.25">
      <c r="A1595" s="2" t="s">
        <v>2342</v>
      </c>
      <c r="B1595" s="2" t="s">
        <v>435</v>
      </c>
      <c r="C1595" s="1">
        <v>45669</v>
      </c>
      <c r="D1595" s="2" t="s">
        <v>45</v>
      </c>
      <c r="E1595" s="2" t="s">
        <v>71</v>
      </c>
      <c r="F1595" s="2" t="s">
        <v>51</v>
      </c>
      <c r="G1595">
        <v>1</v>
      </c>
      <c r="H1595" s="2" t="s">
        <v>56</v>
      </c>
      <c r="I1595">
        <v>29.69</v>
      </c>
      <c r="J1595">
        <v>0</v>
      </c>
      <c r="K1595">
        <v>0</v>
      </c>
      <c r="L1595">
        <v>6.06</v>
      </c>
      <c r="M1595">
        <v>18.66</v>
      </c>
      <c r="N1595">
        <v>0</v>
      </c>
      <c r="O1595">
        <v>1.1599999999999999</v>
      </c>
      <c r="P1595" s="2" t="s">
        <v>42</v>
      </c>
      <c r="Q1595">
        <v>0</v>
      </c>
      <c r="R1595">
        <v>29.69</v>
      </c>
      <c r="S1595">
        <v>25.88</v>
      </c>
      <c r="T1595">
        <v>3.81</v>
      </c>
      <c r="U1595">
        <f t="shared" si="24"/>
        <v>0</v>
      </c>
    </row>
    <row r="1596" spans="1:21" x14ac:dyDescent="0.25">
      <c r="A1596" s="2" t="s">
        <v>2343</v>
      </c>
      <c r="B1596" s="2" t="s">
        <v>1072</v>
      </c>
      <c r="C1596" s="1">
        <v>45393</v>
      </c>
      <c r="D1596" s="2" t="s">
        <v>38</v>
      </c>
      <c r="E1596" s="2" t="s">
        <v>39</v>
      </c>
      <c r="F1596" s="2" t="s">
        <v>40</v>
      </c>
      <c r="G1596">
        <v>2</v>
      </c>
      <c r="H1596" s="2" t="s">
        <v>64</v>
      </c>
      <c r="I1596">
        <v>37.979999999999997</v>
      </c>
      <c r="J1596">
        <v>0</v>
      </c>
      <c r="K1596">
        <v>0</v>
      </c>
      <c r="L1596">
        <v>40.659999999999997</v>
      </c>
      <c r="M1596">
        <v>18.170000000000002</v>
      </c>
      <c r="N1596">
        <v>0</v>
      </c>
      <c r="O1596">
        <v>1.4</v>
      </c>
      <c r="P1596" s="2" t="s">
        <v>42</v>
      </c>
      <c r="Q1596">
        <v>0</v>
      </c>
      <c r="R1596">
        <v>37.979999999999997</v>
      </c>
      <c r="S1596">
        <v>60.23</v>
      </c>
      <c r="T1596">
        <v>-22.25</v>
      </c>
      <c r="U1596">
        <f t="shared" si="24"/>
        <v>0</v>
      </c>
    </row>
    <row r="1597" spans="1:21" x14ac:dyDescent="0.25">
      <c r="A1597" s="2" t="s">
        <v>2344</v>
      </c>
      <c r="B1597" s="2" t="s">
        <v>554</v>
      </c>
      <c r="C1597" s="1">
        <v>45743</v>
      </c>
      <c r="D1597" s="2" t="s">
        <v>45</v>
      </c>
      <c r="E1597" s="2" t="s">
        <v>46</v>
      </c>
      <c r="F1597" s="2" t="s">
        <v>40</v>
      </c>
      <c r="G1597">
        <v>2</v>
      </c>
      <c r="H1597" s="2" t="s">
        <v>64</v>
      </c>
      <c r="I1597">
        <v>97.49</v>
      </c>
      <c r="J1597">
        <v>10</v>
      </c>
      <c r="K1597">
        <v>9.75</v>
      </c>
      <c r="L1597">
        <v>31.14</v>
      </c>
      <c r="M1597">
        <v>38.78</v>
      </c>
      <c r="N1597">
        <v>0</v>
      </c>
      <c r="O1597">
        <v>2.84</v>
      </c>
      <c r="P1597" s="2" t="s">
        <v>42</v>
      </c>
      <c r="Q1597">
        <v>0</v>
      </c>
      <c r="R1597">
        <v>87.74</v>
      </c>
      <c r="S1597">
        <v>72.760000000000005</v>
      </c>
      <c r="T1597">
        <v>14.98</v>
      </c>
      <c r="U1597">
        <f t="shared" si="24"/>
        <v>0</v>
      </c>
    </row>
    <row r="1598" spans="1:21" x14ac:dyDescent="0.25">
      <c r="A1598" s="2" t="s">
        <v>2345</v>
      </c>
      <c r="B1598" s="2" t="s">
        <v>2346</v>
      </c>
      <c r="C1598" s="1">
        <v>45679</v>
      </c>
      <c r="D1598" s="2" t="s">
        <v>38</v>
      </c>
      <c r="E1598" s="2" t="s">
        <v>55</v>
      </c>
      <c r="F1598" s="2" t="s">
        <v>40</v>
      </c>
      <c r="G1598">
        <v>1</v>
      </c>
      <c r="H1598" s="2" t="s">
        <v>48</v>
      </c>
      <c r="I1598">
        <v>11.11</v>
      </c>
      <c r="J1598">
        <v>0</v>
      </c>
      <c r="K1598">
        <v>0</v>
      </c>
      <c r="L1598">
        <v>10.94</v>
      </c>
      <c r="M1598">
        <v>7.31</v>
      </c>
      <c r="N1598">
        <v>0</v>
      </c>
      <c r="O1598">
        <v>0.62</v>
      </c>
      <c r="P1598" s="2" t="s">
        <v>42</v>
      </c>
      <c r="Q1598">
        <v>0</v>
      </c>
      <c r="R1598">
        <v>11.11</v>
      </c>
      <c r="S1598">
        <v>18.87</v>
      </c>
      <c r="T1598">
        <v>-7.76</v>
      </c>
      <c r="U1598">
        <f t="shared" si="24"/>
        <v>0</v>
      </c>
    </row>
    <row r="1599" spans="1:21" x14ac:dyDescent="0.25">
      <c r="A1599" s="2" t="s">
        <v>2347</v>
      </c>
      <c r="B1599" s="2" t="s">
        <v>211</v>
      </c>
      <c r="C1599" s="1">
        <v>45676</v>
      </c>
      <c r="D1599" s="2" t="s">
        <v>45</v>
      </c>
      <c r="E1599" s="2" t="s">
        <v>55</v>
      </c>
      <c r="F1599" s="2" t="s">
        <v>47</v>
      </c>
      <c r="G1599">
        <v>1</v>
      </c>
      <c r="H1599" s="2" t="s">
        <v>56</v>
      </c>
      <c r="I1599">
        <v>242.06</v>
      </c>
      <c r="J1599">
        <v>5</v>
      </c>
      <c r="K1599">
        <v>12.1</v>
      </c>
      <c r="L1599">
        <v>9.56</v>
      </c>
      <c r="M1599">
        <v>75.52</v>
      </c>
      <c r="N1599">
        <v>0</v>
      </c>
      <c r="O1599">
        <v>6.97</v>
      </c>
      <c r="P1599" s="2" t="s">
        <v>42</v>
      </c>
      <c r="Q1599">
        <v>0</v>
      </c>
      <c r="R1599">
        <v>229.96</v>
      </c>
      <c r="S1599">
        <v>92.05</v>
      </c>
      <c r="T1599">
        <v>137.91</v>
      </c>
      <c r="U1599">
        <f t="shared" si="24"/>
        <v>0</v>
      </c>
    </row>
    <row r="1600" spans="1:21" x14ac:dyDescent="0.25">
      <c r="A1600" s="2" t="s">
        <v>2348</v>
      </c>
      <c r="B1600" s="2" t="s">
        <v>1005</v>
      </c>
      <c r="C1600" s="1">
        <v>45877</v>
      </c>
      <c r="D1600" s="2" t="s">
        <v>45</v>
      </c>
      <c r="E1600" s="2" t="s">
        <v>71</v>
      </c>
      <c r="F1600" s="2" t="s">
        <v>51</v>
      </c>
      <c r="G1600">
        <v>1</v>
      </c>
      <c r="H1600" s="2" t="s">
        <v>56</v>
      </c>
      <c r="I1600">
        <v>91.38</v>
      </c>
      <c r="J1600">
        <v>10</v>
      </c>
      <c r="K1600">
        <v>9.14</v>
      </c>
      <c r="L1600">
        <v>23.16</v>
      </c>
      <c r="M1600">
        <v>56.42</v>
      </c>
      <c r="N1600">
        <v>0</v>
      </c>
      <c r="O1600">
        <v>2.68</v>
      </c>
      <c r="P1600" s="2" t="s">
        <v>42</v>
      </c>
      <c r="Q1600">
        <v>0</v>
      </c>
      <c r="R1600">
        <v>82.24</v>
      </c>
      <c r="S1600">
        <v>82.26</v>
      </c>
      <c r="T1600">
        <v>-0.02</v>
      </c>
      <c r="U1600">
        <f t="shared" si="24"/>
        <v>0</v>
      </c>
    </row>
    <row r="1601" spans="1:21" x14ac:dyDescent="0.25">
      <c r="A1601" s="2" t="s">
        <v>2349</v>
      </c>
      <c r="B1601" s="2" t="s">
        <v>1969</v>
      </c>
      <c r="C1601" s="1">
        <v>45946</v>
      </c>
      <c r="D1601" s="2" t="s">
        <v>45</v>
      </c>
      <c r="E1601" s="2" t="s">
        <v>46</v>
      </c>
      <c r="F1601" s="2" t="s">
        <v>94</v>
      </c>
      <c r="G1601">
        <v>2</v>
      </c>
      <c r="H1601" s="2" t="s">
        <v>56</v>
      </c>
      <c r="I1601">
        <v>71.239999999999995</v>
      </c>
      <c r="J1601">
        <v>10</v>
      </c>
      <c r="K1601">
        <v>7.12</v>
      </c>
      <c r="L1601">
        <v>23.4</v>
      </c>
      <c r="M1601">
        <v>40.119999999999997</v>
      </c>
      <c r="N1601">
        <v>0</v>
      </c>
      <c r="O1601">
        <v>2.16</v>
      </c>
      <c r="P1601" s="2" t="s">
        <v>42</v>
      </c>
      <c r="Q1601">
        <v>0</v>
      </c>
      <c r="R1601">
        <v>64.12</v>
      </c>
      <c r="S1601">
        <v>65.680000000000007</v>
      </c>
      <c r="T1601">
        <v>-1.56</v>
      </c>
      <c r="U1601">
        <f t="shared" si="24"/>
        <v>0</v>
      </c>
    </row>
    <row r="1602" spans="1:21" x14ac:dyDescent="0.25">
      <c r="A1602" s="2" t="s">
        <v>2350</v>
      </c>
      <c r="B1602" s="2" t="s">
        <v>2351</v>
      </c>
      <c r="C1602" s="1">
        <v>45501</v>
      </c>
      <c r="D1602" s="2" t="s">
        <v>59</v>
      </c>
      <c r="E1602" s="2" t="s">
        <v>55</v>
      </c>
      <c r="F1602" s="2" t="s">
        <v>94</v>
      </c>
      <c r="G1602">
        <v>2</v>
      </c>
      <c r="H1602" s="2" t="s">
        <v>52</v>
      </c>
      <c r="I1602">
        <v>95.88</v>
      </c>
      <c r="J1602">
        <v>0</v>
      </c>
      <c r="K1602">
        <v>0</v>
      </c>
      <c r="L1602">
        <v>15.72</v>
      </c>
      <c r="M1602">
        <v>31.68</v>
      </c>
      <c r="N1602">
        <v>14.38</v>
      </c>
      <c r="O1602">
        <v>3.08</v>
      </c>
      <c r="P1602" s="2" t="s">
        <v>42</v>
      </c>
      <c r="Q1602">
        <v>0</v>
      </c>
      <c r="R1602">
        <v>95.88</v>
      </c>
      <c r="S1602">
        <v>64.86</v>
      </c>
      <c r="T1602">
        <v>31.02</v>
      </c>
      <c r="U1602">
        <f t="shared" si="24"/>
        <v>0</v>
      </c>
    </row>
    <row r="1603" spans="1:21" x14ac:dyDescent="0.25">
      <c r="A1603" s="2" t="s">
        <v>2352</v>
      </c>
      <c r="B1603" s="2" t="s">
        <v>1338</v>
      </c>
      <c r="C1603" s="1">
        <v>45799</v>
      </c>
      <c r="D1603" s="2" t="s">
        <v>59</v>
      </c>
      <c r="E1603" s="2" t="s">
        <v>71</v>
      </c>
      <c r="F1603" s="2" t="s">
        <v>51</v>
      </c>
      <c r="G1603">
        <v>3</v>
      </c>
      <c r="H1603" s="2" t="s">
        <v>52</v>
      </c>
      <c r="I1603">
        <v>194.07</v>
      </c>
      <c r="J1603">
        <v>15</v>
      </c>
      <c r="K1603">
        <v>29.11</v>
      </c>
      <c r="L1603">
        <v>63.66</v>
      </c>
      <c r="M1603">
        <v>108.96</v>
      </c>
      <c r="N1603">
        <v>24.74</v>
      </c>
      <c r="O1603">
        <v>5.08</v>
      </c>
      <c r="P1603" s="2" t="s">
        <v>42</v>
      </c>
      <c r="Q1603">
        <v>0</v>
      </c>
      <c r="R1603">
        <v>164.96</v>
      </c>
      <c r="S1603">
        <v>202.44</v>
      </c>
      <c r="T1603">
        <v>-37.479999999999997</v>
      </c>
      <c r="U1603">
        <f t="shared" si="24"/>
        <v>0</v>
      </c>
    </row>
    <row r="1604" spans="1:21" x14ac:dyDescent="0.25">
      <c r="A1604" s="2" t="s">
        <v>2353</v>
      </c>
      <c r="B1604" s="2" t="s">
        <v>668</v>
      </c>
      <c r="C1604" s="1">
        <v>45702</v>
      </c>
      <c r="D1604" s="2" t="s">
        <v>45</v>
      </c>
      <c r="E1604" s="2" t="s">
        <v>55</v>
      </c>
      <c r="F1604" s="2" t="s">
        <v>94</v>
      </c>
      <c r="G1604">
        <v>1</v>
      </c>
      <c r="H1604" s="2" t="s">
        <v>48</v>
      </c>
      <c r="I1604">
        <v>25.01</v>
      </c>
      <c r="J1604">
        <v>10</v>
      </c>
      <c r="K1604">
        <v>2.5</v>
      </c>
      <c r="L1604">
        <v>7.9</v>
      </c>
      <c r="M1604">
        <v>9.01</v>
      </c>
      <c r="N1604">
        <v>0</v>
      </c>
      <c r="O1604">
        <v>0.95</v>
      </c>
      <c r="P1604" s="2" t="s">
        <v>42</v>
      </c>
      <c r="Q1604">
        <v>0</v>
      </c>
      <c r="R1604">
        <v>22.51</v>
      </c>
      <c r="S1604">
        <v>17.86</v>
      </c>
      <c r="T1604">
        <v>4.6500000000000004</v>
      </c>
      <c r="U1604">
        <f t="shared" si="24"/>
        <v>0</v>
      </c>
    </row>
    <row r="1605" spans="1:21" x14ac:dyDescent="0.25">
      <c r="A1605" s="2" t="s">
        <v>2354</v>
      </c>
      <c r="B1605" s="2" t="s">
        <v>986</v>
      </c>
      <c r="C1605" s="1">
        <v>45883</v>
      </c>
      <c r="D1605" s="2" t="s">
        <v>38</v>
      </c>
      <c r="E1605" s="2" t="s">
        <v>67</v>
      </c>
      <c r="F1605" s="2" t="s">
        <v>51</v>
      </c>
      <c r="G1605">
        <v>4</v>
      </c>
      <c r="H1605" s="2" t="s">
        <v>48</v>
      </c>
      <c r="I1605">
        <v>157.53</v>
      </c>
      <c r="J1605">
        <v>20</v>
      </c>
      <c r="K1605">
        <v>31.51</v>
      </c>
      <c r="L1605">
        <v>55.08</v>
      </c>
      <c r="M1605">
        <v>78.150000000000006</v>
      </c>
      <c r="N1605">
        <v>0</v>
      </c>
      <c r="O1605">
        <v>3.95</v>
      </c>
      <c r="P1605" s="2" t="s">
        <v>42</v>
      </c>
      <c r="Q1605">
        <v>0</v>
      </c>
      <c r="R1605">
        <v>126.02</v>
      </c>
      <c r="S1605">
        <v>137.18</v>
      </c>
      <c r="T1605">
        <v>-11.16</v>
      </c>
      <c r="U1605">
        <f t="shared" ref="U1605:U1668" si="25">IF(P1603="Yes", 1, 0)</f>
        <v>0</v>
      </c>
    </row>
    <row r="1606" spans="1:21" x14ac:dyDescent="0.25">
      <c r="A1606" s="2" t="s">
        <v>2355</v>
      </c>
      <c r="B1606" s="2" t="s">
        <v>2356</v>
      </c>
      <c r="C1606" s="1">
        <v>45545</v>
      </c>
      <c r="D1606" s="2" t="s">
        <v>45</v>
      </c>
      <c r="E1606" s="2" t="s">
        <v>67</v>
      </c>
      <c r="F1606" s="2" t="s">
        <v>47</v>
      </c>
      <c r="G1606">
        <v>1</v>
      </c>
      <c r="H1606" s="2" t="s">
        <v>74</v>
      </c>
      <c r="I1606">
        <v>11.52</v>
      </c>
      <c r="J1606">
        <v>10</v>
      </c>
      <c r="K1606">
        <v>1.1499999999999999</v>
      </c>
      <c r="L1606">
        <v>7.58</v>
      </c>
      <c r="M1606">
        <v>3.71</v>
      </c>
      <c r="N1606">
        <v>0</v>
      </c>
      <c r="O1606">
        <v>0.6</v>
      </c>
      <c r="P1606" s="2" t="s">
        <v>42</v>
      </c>
      <c r="Q1606">
        <v>0</v>
      </c>
      <c r="R1606">
        <v>10.37</v>
      </c>
      <c r="S1606">
        <v>11.89</v>
      </c>
      <c r="T1606">
        <v>-1.52</v>
      </c>
      <c r="U1606">
        <f t="shared" si="25"/>
        <v>0</v>
      </c>
    </row>
    <row r="1607" spans="1:21" x14ac:dyDescent="0.25">
      <c r="A1607" s="2" t="s">
        <v>2357</v>
      </c>
      <c r="B1607" s="2" t="s">
        <v>84</v>
      </c>
      <c r="C1607" s="1">
        <v>45711</v>
      </c>
      <c r="D1607" s="2" t="s">
        <v>38</v>
      </c>
      <c r="E1607" s="2" t="s">
        <v>46</v>
      </c>
      <c r="F1607" s="2" t="s">
        <v>47</v>
      </c>
      <c r="G1607">
        <v>2</v>
      </c>
      <c r="H1607" s="2" t="s">
        <v>74</v>
      </c>
      <c r="I1607">
        <v>279</v>
      </c>
      <c r="J1607">
        <v>5</v>
      </c>
      <c r="K1607">
        <v>13.95</v>
      </c>
      <c r="L1607">
        <v>17.64</v>
      </c>
      <c r="M1607">
        <v>110.38</v>
      </c>
      <c r="N1607">
        <v>0</v>
      </c>
      <c r="O1607">
        <v>7.99</v>
      </c>
      <c r="P1607" s="2" t="s">
        <v>68</v>
      </c>
      <c r="Q1607">
        <v>265.05</v>
      </c>
      <c r="R1607">
        <v>0</v>
      </c>
      <c r="S1607">
        <v>136.01</v>
      </c>
      <c r="T1607">
        <v>-136.01</v>
      </c>
      <c r="U1607">
        <f t="shared" si="25"/>
        <v>0</v>
      </c>
    </row>
    <row r="1608" spans="1:21" x14ac:dyDescent="0.25">
      <c r="A1608" s="2" t="s">
        <v>2358</v>
      </c>
      <c r="B1608" s="2" t="s">
        <v>2359</v>
      </c>
      <c r="C1608" s="1">
        <v>45808</v>
      </c>
      <c r="D1608" s="2" t="s">
        <v>59</v>
      </c>
      <c r="E1608" s="2" t="s">
        <v>46</v>
      </c>
      <c r="F1608" s="2" t="s">
        <v>51</v>
      </c>
      <c r="G1608">
        <v>2</v>
      </c>
      <c r="H1608" s="2" t="s">
        <v>41</v>
      </c>
      <c r="I1608">
        <v>69.92</v>
      </c>
      <c r="J1608">
        <v>10</v>
      </c>
      <c r="K1608">
        <v>6.99</v>
      </c>
      <c r="L1608">
        <v>25.86</v>
      </c>
      <c r="M1608">
        <v>33.729999999999997</v>
      </c>
      <c r="N1608">
        <v>9.44</v>
      </c>
      <c r="O1608">
        <v>2.12</v>
      </c>
      <c r="P1608" s="2" t="s">
        <v>42</v>
      </c>
      <c r="Q1608">
        <v>0</v>
      </c>
      <c r="R1608">
        <v>62.93</v>
      </c>
      <c r="S1608">
        <v>71.150000000000006</v>
      </c>
      <c r="T1608">
        <v>-8.2200000000000006</v>
      </c>
      <c r="U1608">
        <f t="shared" si="25"/>
        <v>0</v>
      </c>
    </row>
    <row r="1609" spans="1:21" x14ac:dyDescent="0.25">
      <c r="A1609" s="2" t="s">
        <v>2360</v>
      </c>
      <c r="B1609" s="2" t="s">
        <v>1604</v>
      </c>
      <c r="C1609" s="1">
        <v>45466</v>
      </c>
      <c r="D1609" s="2" t="s">
        <v>59</v>
      </c>
      <c r="E1609" s="2" t="s">
        <v>71</v>
      </c>
      <c r="F1609" s="2" t="s">
        <v>40</v>
      </c>
      <c r="G1609">
        <v>2</v>
      </c>
      <c r="H1609" s="2" t="s">
        <v>74</v>
      </c>
      <c r="I1609">
        <v>101.77</v>
      </c>
      <c r="J1609">
        <v>0</v>
      </c>
      <c r="K1609">
        <v>0</v>
      </c>
      <c r="L1609">
        <v>17.16</v>
      </c>
      <c r="M1609">
        <v>48.83</v>
      </c>
      <c r="N1609">
        <v>15.27</v>
      </c>
      <c r="O1609">
        <v>3.25</v>
      </c>
      <c r="P1609" s="2" t="s">
        <v>42</v>
      </c>
      <c r="Q1609">
        <v>0</v>
      </c>
      <c r="R1609">
        <v>101.77</v>
      </c>
      <c r="S1609">
        <v>84.51</v>
      </c>
      <c r="T1609">
        <v>17.260000000000002</v>
      </c>
      <c r="U1609">
        <f t="shared" si="25"/>
        <v>1</v>
      </c>
    </row>
    <row r="1610" spans="1:21" x14ac:dyDescent="0.25">
      <c r="A1610" s="2" t="s">
        <v>2361</v>
      </c>
      <c r="B1610" s="2" t="s">
        <v>668</v>
      </c>
      <c r="C1610" s="1">
        <v>45918</v>
      </c>
      <c r="D1610" s="2" t="s">
        <v>59</v>
      </c>
      <c r="E1610" s="2" t="s">
        <v>46</v>
      </c>
      <c r="F1610" s="2" t="s">
        <v>47</v>
      </c>
      <c r="G1610">
        <v>2</v>
      </c>
      <c r="H1610" s="2" t="s">
        <v>64</v>
      </c>
      <c r="I1610">
        <v>132.49</v>
      </c>
      <c r="J1610">
        <v>0</v>
      </c>
      <c r="K1610">
        <v>0</v>
      </c>
      <c r="L1610">
        <v>19.96</v>
      </c>
      <c r="M1610">
        <v>42.04</v>
      </c>
      <c r="N1610">
        <v>19.87</v>
      </c>
      <c r="O1610">
        <v>4.1399999999999997</v>
      </c>
      <c r="P1610" s="2" t="s">
        <v>42</v>
      </c>
      <c r="Q1610">
        <v>0</v>
      </c>
      <c r="R1610">
        <v>132.49</v>
      </c>
      <c r="S1610">
        <v>86.01</v>
      </c>
      <c r="T1610">
        <v>46.48</v>
      </c>
      <c r="U1610">
        <f t="shared" si="25"/>
        <v>0</v>
      </c>
    </row>
    <row r="1611" spans="1:21" x14ac:dyDescent="0.25">
      <c r="A1611" s="2" t="s">
        <v>2362</v>
      </c>
      <c r="B1611" s="2" t="s">
        <v>826</v>
      </c>
      <c r="C1611" s="1">
        <v>45913</v>
      </c>
      <c r="D1611" s="2" t="s">
        <v>59</v>
      </c>
      <c r="E1611" s="2" t="s">
        <v>46</v>
      </c>
      <c r="F1611" s="2" t="s">
        <v>85</v>
      </c>
      <c r="G1611">
        <v>3</v>
      </c>
      <c r="H1611" s="2" t="s">
        <v>74</v>
      </c>
      <c r="I1611">
        <v>83.81</v>
      </c>
      <c r="J1611">
        <v>15</v>
      </c>
      <c r="K1611">
        <v>12.57</v>
      </c>
      <c r="L1611">
        <v>29.3</v>
      </c>
      <c r="M1611">
        <v>31.57</v>
      </c>
      <c r="N1611">
        <v>10.69</v>
      </c>
      <c r="O1611">
        <v>2.37</v>
      </c>
      <c r="P1611" s="2" t="s">
        <v>42</v>
      </c>
      <c r="Q1611">
        <v>0</v>
      </c>
      <c r="R1611">
        <v>71.239999999999995</v>
      </c>
      <c r="S1611">
        <v>73.930000000000007</v>
      </c>
      <c r="T1611">
        <v>-2.69</v>
      </c>
      <c r="U1611">
        <f t="shared" si="25"/>
        <v>0</v>
      </c>
    </row>
    <row r="1612" spans="1:21" x14ac:dyDescent="0.25">
      <c r="A1612" s="2" t="s">
        <v>2363</v>
      </c>
      <c r="B1612" s="2" t="s">
        <v>314</v>
      </c>
      <c r="C1612" s="1">
        <v>45882</v>
      </c>
      <c r="D1612" s="2" t="s">
        <v>45</v>
      </c>
      <c r="E1612" s="2" t="s">
        <v>55</v>
      </c>
      <c r="F1612" s="2" t="s">
        <v>40</v>
      </c>
      <c r="G1612">
        <v>1</v>
      </c>
      <c r="H1612" s="2" t="s">
        <v>74</v>
      </c>
      <c r="I1612">
        <v>408.12</v>
      </c>
      <c r="J1612">
        <v>15</v>
      </c>
      <c r="K1612">
        <v>61.22</v>
      </c>
      <c r="L1612">
        <v>18.899999999999999</v>
      </c>
      <c r="M1612">
        <v>119.04</v>
      </c>
      <c r="N1612">
        <v>0</v>
      </c>
      <c r="O1612">
        <v>10.36</v>
      </c>
      <c r="P1612" s="2" t="s">
        <v>42</v>
      </c>
      <c r="Q1612">
        <v>0</v>
      </c>
      <c r="R1612">
        <v>346.9</v>
      </c>
      <c r="S1612">
        <v>148.30000000000001</v>
      </c>
      <c r="T1612">
        <v>198.6</v>
      </c>
      <c r="U1612">
        <f t="shared" si="25"/>
        <v>0</v>
      </c>
    </row>
    <row r="1613" spans="1:21" x14ac:dyDescent="0.25">
      <c r="A1613" s="2" t="s">
        <v>2364</v>
      </c>
      <c r="B1613" s="2" t="s">
        <v>1141</v>
      </c>
      <c r="C1613" s="1">
        <v>45838</v>
      </c>
      <c r="D1613" s="2" t="s">
        <v>45</v>
      </c>
      <c r="E1613" s="2" t="s">
        <v>67</v>
      </c>
      <c r="F1613" s="2" t="s">
        <v>51</v>
      </c>
      <c r="G1613">
        <v>2</v>
      </c>
      <c r="H1613" s="2" t="s">
        <v>41</v>
      </c>
      <c r="I1613">
        <v>326.83999999999997</v>
      </c>
      <c r="J1613">
        <v>25</v>
      </c>
      <c r="K1613">
        <v>81.709999999999994</v>
      </c>
      <c r="L1613">
        <v>54.56</v>
      </c>
      <c r="M1613">
        <v>163.15</v>
      </c>
      <c r="N1613">
        <v>0</v>
      </c>
      <c r="O1613">
        <v>7.41</v>
      </c>
      <c r="P1613" s="2" t="s">
        <v>42</v>
      </c>
      <c r="Q1613">
        <v>0</v>
      </c>
      <c r="R1613">
        <v>245.13</v>
      </c>
      <c r="S1613">
        <v>225.12</v>
      </c>
      <c r="T1613">
        <v>20.010000000000002</v>
      </c>
      <c r="U1613">
        <f t="shared" si="25"/>
        <v>0</v>
      </c>
    </row>
    <row r="1614" spans="1:21" x14ac:dyDescent="0.25">
      <c r="A1614" s="2" t="s">
        <v>2365</v>
      </c>
      <c r="B1614" s="2" t="s">
        <v>457</v>
      </c>
      <c r="C1614" s="1">
        <v>45823</v>
      </c>
      <c r="D1614" s="2" t="s">
        <v>59</v>
      </c>
      <c r="E1614" s="2" t="s">
        <v>71</v>
      </c>
      <c r="F1614" s="2" t="s">
        <v>51</v>
      </c>
      <c r="G1614">
        <v>3</v>
      </c>
      <c r="H1614" s="2" t="s">
        <v>74</v>
      </c>
      <c r="I1614">
        <v>232.84</v>
      </c>
      <c r="J1614">
        <v>10</v>
      </c>
      <c r="K1614">
        <v>23.28</v>
      </c>
      <c r="L1614">
        <v>35.42</v>
      </c>
      <c r="M1614">
        <v>70.55</v>
      </c>
      <c r="N1614">
        <v>31.43</v>
      </c>
      <c r="O1614">
        <v>6.38</v>
      </c>
      <c r="P1614" s="2" t="s">
        <v>42</v>
      </c>
      <c r="Q1614">
        <v>0</v>
      </c>
      <c r="R1614">
        <v>209.56</v>
      </c>
      <c r="S1614">
        <v>143.78</v>
      </c>
      <c r="T1614">
        <v>65.78</v>
      </c>
      <c r="U1614">
        <f t="shared" si="25"/>
        <v>0</v>
      </c>
    </row>
    <row r="1615" spans="1:21" x14ac:dyDescent="0.25">
      <c r="A1615" s="2" t="s">
        <v>2366</v>
      </c>
      <c r="B1615" s="2" t="s">
        <v>287</v>
      </c>
      <c r="C1615" s="1">
        <v>45603</v>
      </c>
      <c r="D1615" s="2" t="s">
        <v>59</v>
      </c>
      <c r="E1615" s="2" t="s">
        <v>46</v>
      </c>
      <c r="F1615" s="2" t="s">
        <v>47</v>
      </c>
      <c r="G1615">
        <v>2</v>
      </c>
      <c r="H1615" s="2" t="s">
        <v>111</v>
      </c>
      <c r="I1615">
        <v>283.83999999999997</v>
      </c>
      <c r="J1615">
        <v>10</v>
      </c>
      <c r="K1615">
        <v>28.38</v>
      </c>
      <c r="L1615">
        <v>21.22</v>
      </c>
      <c r="M1615">
        <v>112.89</v>
      </c>
      <c r="N1615">
        <v>38.32</v>
      </c>
      <c r="O1615">
        <v>7.71</v>
      </c>
      <c r="P1615" s="2" t="s">
        <v>42</v>
      </c>
      <c r="Q1615">
        <v>0</v>
      </c>
      <c r="R1615">
        <v>255.46</v>
      </c>
      <c r="S1615">
        <v>180.14</v>
      </c>
      <c r="T1615">
        <v>75.319999999999993</v>
      </c>
      <c r="U1615">
        <f t="shared" si="25"/>
        <v>0</v>
      </c>
    </row>
    <row r="1616" spans="1:21" x14ac:dyDescent="0.25">
      <c r="A1616" s="2" t="s">
        <v>2367</v>
      </c>
      <c r="B1616" s="2" t="s">
        <v>1064</v>
      </c>
      <c r="C1616" s="1">
        <v>45714</v>
      </c>
      <c r="D1616" s="2" t="s">
        <v>38</v>
      </c>
      <c r="E1616" s="2" t="s">
        <v>55</v>
      </c>
      <c r="F1616" s="2" t="s">
        <v>51</v>
      </c>
      <c r="G1616">
        <v>4</v>
      </c>
      <c r="H1616" s="2" t="s">
        <v>111</v>
      </c>
      <c r="I1616">
        <v>239.58</v>
      </c>
      <c r="J1616">
        <v>20</v>
      </c>
      <c r="K1616">
        <v>47.92</v>
      </c>
      <c r="L1616">
        <v>48.68</v>
      </c>
      <c r="M1616">
        <v>140.91</v>
      </c>
      <c r="N1616">
        <v>0</v>
      </c>
      <c r="O1616">
        <v>5.86</v>
      </c>
      <c r="P1616" s="2" t="s">
        <v>42</v>
      </c>
      <c r="Q1616">
        <v>0</v>
      </c>
      <c r="R1616">
        <v>191.66</v>
      </c>
      <c r="S1616">
        <v>195.45</v>
      </c>
      <c r="T1616">
        <v>-3.79</v>
      </c>
      <c r="U1616">
        <f t="shared" si="25"/>
        <v>0</v>
      </c>
    </row>
    <row r="1617" spans="1:21" x14ac:dyDescent="0.25">
      <c r="A1617" s="2" t="s">
        <v>2368</v>
      </c>
      <c r="B1617" s="2" t="s">
        <v>2369</v>
      </c>
      <c r="C1617" s="1">
        <v>45758</v>
      </c>
      <c r="D1617" s="2" t="s">
        <v>59</v>
      </c>
      <c r="E1617" s="2" t="s">
        <v>39</v>
      </c>
      <c r="F1617" s="2" t="s">
        <v>85</v>
      </c>
      <c r="G1617">
        <v>1</v>
      </c>
      <c r="H1617" s="2" t="s">
        <v>64</v>
      </c>
      <c r="I1617">
        <v>93.89</v>
      </c>
      <c r="J1617">
        <v>10</v>
      </c>
      <c r="K1617">
        <v>9.39</v>
      </c>
      <c r="L1617">
        <v>6.14</v>
      </c>
      <c r="M1617">
        <v>32.81</v>
      </c>
      <c r="N1617">
        <v>12.67</v>
      </c>
      <c r="O1617">
        <v>2.75</v>
      </c>
      <c r="P1617" s="2" t="s">
        <v>68</v>
      </c>
      <c r="Q1617">
        <v>84.5</v>
      </c>
      <c r="R1617">
        <v>0</v>
      </c>
      <c r="S1617">
        <v>54.37</v>
      </c>
      <c r="T1617">
        <v>-54.37</v>
      </c>
      <c r="U1617">
        <f t="shared" si="25"/>
        <v>0</v>
      </c>
    </row>
    <row r="1618" spans="1:21" x14ac:dyDescent="0.25">
      <c r="A1618" s="2" t="s">
        <v>2370</v>
      </c>
      <c r="B1618" s="2" t="s">
        <v>314</v>
      </c>
      <c r="C1618" s="1">
        <v>45759</v>
      </c>
      <c r="D1618" s="2" t="s">
        <v>45</v>
      </c>
      <c r="E1618" s="2" t="s">
        <v>39</v>
      </c>
      <c r="F1618" s="2" t="s">
        <v>47</v>
      </c>
      <c r="G1618">
        <v>2</v>
      </c>
      <c r="H1618" s="2" t="s">
        <v>77</v>
      </c>
      <c r="I1618">
        <v>35.76</v>
      </c>
      <c r="J1618">
        <v>15</v>
      </c>
      <c r="K1618">
        <v>5.36</v>
      </c>
      <c r="L1618">
        <v>30.34</v>
      </c>
      <c r="M1618">
        <v>15.23</v>
      </c>
      <c r="N1618">
        <v>0</v>
      </c>
      <c r="O1618">
        <v>1.18</v>
      </c>
      <c r="P1618" s="2" t="s">
        <v>42</v>
      </c>
      <c r="Q1618">
        <v>0</v>
      </c>
      <c r="R1618">
        <v>30.4</v>
      </c>
      <c r="S1618">
        <v>46.75</v>
      </c>
      <c r="T1618">
        <v>-16.350000000000001</v>
      </c>
      <c r="U1618">
        <f t="shared" si="25"/>
        <v>0</v>
      </c>
    </row>
    <row r="1619" spans="1:21" x14ac:dyDescent="0.25">
      <c r="A1619" s="2" t="s">
        <v>2371</v>
      </c>
      <c r="B1619" s="2" t="s">
        <v>211</v>
      </c>
      <c r="C1619" s="1">
        <v>45636</v>
      </c>
      <c r="D1619" s="2" t="s">
        <v>45</v>
      </c>
      <c r="E1619" s="2" t="s">
        <v>55</v>
      </c>
      <c r="F1619" s="2" t="s">
        <v>47</v>
      </c>
      <c r="G1619">
        <v>1</v>
      </c>
      <c r="H1619" s="2" t="s">
        <v>64</v>
      </c>
      <c r="I1619">
        <v>40.98</v>
      </c>
      <c r="J1619">
        <v>5</v>
      </c>
      <c r="K1619">
        <v>2.0499999999999998</v>
      </c>
      <c r="L1619">
        <v>31.86</v>
      </c>
      <c r="M1619">
        <v>14.07</v>
      </c>
      <c r="N1619">
        <v>0</v>
      </c>
      <c r="O1619">
        <v>1.43</v>
      </c>
      <c r="P1619" s="2" t="s">
        <v>42</v>
      </c>
      <c r="Q1619">
        <v>0</v>
      </c>
      <c r="R1619">
        <v>38.93</v>
      </c>
      <c r="S1619">
        <v>47.36</v>
      </c>
      <c r="T1619">
        <v>-8.43</v>
      </c>
      <c r="U1619">
        <f t="shared" si="25"/>
        <v>1</v>
      </c>
    </row>
    <row r="1620" spans="1:21" x14ac:dyDescent="0.25">
      <c r="A1620" s="2" t="s">
        <v>2372</v>
      </c>
      <c r="B1620" s="2" t="s">
        <v>1425</v>
      </c>
      <c r="C1620" s="1">
        <v>45360</v>
      </c>
      <c r="D1620" s="2" t="s">
        <v>45</v>
      </c>
      <c r="E1620" s="2" t="s">
        <v>71</v>
      </c>
      <c r="F1620" s="2" t="s">
        <v>47</v>
      </c>
      <c r="G1620">
        <v>1</v>
      </c>
      <c r="H1620" s="2" t="s">
        <v>52</v>
      </c>
      <c r="I1620">
        <v>69.12</v>
      </c>
      <c r="J1620">
        <v>10</v>
      </c>
      <c r="K1620">
        <v>6.91</v>
      </c>
      <c r="L1620">
        <v>9.1</v>
      </c>
      <c r="M1620">
        <v>20.88</v>
      </c>
      <c r="N1620">
        <v>0</v>
      </c>
      <c r="O1620">
        <v>2.1</v>
      </c>
      <c r="P1620" s="2" t="s">
        <v>42</v>
      </c>
      <c r="Q1620">
        <v>0</v>
      </c>
      <c r="R1620">
        <v>62.21</v>
      </c>
      <c r="S1620">
        <v>32.08</v>
      </c>
      <c r="T1620">
        <v>30.13</v>
      </c>
      <c r="U1620">
        <f t="shared" si="25"/>
        <v>0</v>
      </c>
    </row>
    <row r="1621" spans="1:21" x14ac:dyDescent="0.25">
      <c r="A1621" s="2" t="s">
        <v>2373</v>
      </c>
      <c r="B1621" s="2" t="s">
        <v>1165</v>
      </c>
      <c r="C1621" s="1">
        <v>45906</v>
      </c>
      <c r="D1621" s="2" t="s">
        <v>45</v>
      </c>
      <c r="E1621" s="2" t="s">
        <v>71</v>
      </c>
      <c r="F1621" s="2" t="s">
        <v>47</v>
      </c>
      <c r="G1621">
        <v>2</v>
      </c>
      <c r="H1621" s="2" t="s">
        <v>74</v>
      </c>
      <c r="I1621">
        <v>91.72</v>
      </c>
      <c r="J1621">
        <v>5</v>
      </c>
      <c r="K1621">
        <v>4.59</v>
      </c>
      <c r="L1621">
        <v>34.659999999999997</v>
      </c>
      <c r="M1621">
        <v>35.409999999999997</v>
      </c>
      <c r="N1621">
        <v>0</v>
      </c>
      <c r="O1621">
        <v>2.83</v>
      </c>
      <c r="P1621" s="2" t="s">
        <v>42</v>
      </c>
      <c r="Q1621">
        <v>0</v>
      </c>
      <c r="R1621">
        <v>87.13</v>
      </c>
      <c r="S1621">
        <v>72.900000000000006</v>
      </c>
      <c r="T1621">
        <v>14.23</v>
      </c>
      <c r="U1621">
        <f t="shared" si="25"/>
        <v>0</v>
      </c>
    </row>
    <row r="1622" spans="1:21" x14ac:dyDescent="0.25">
      <c r="A1622" s="2" t="s">
        <v>2374</v>
      </c>
      <c r="B1622" s="2" t="s">
        <v>532</v>
      </c>
      <c r="C1622" s="1">
        <v>45662</v>
      </c>
      <c r="D1622" s="2" t="s">
        <v>45</v>
      </c>
      <c r="E1622" s="2" t="s">
        <v>67</v>
      </c>
      <c r="F1622" s="2" t="s">
        <v>94</v>
      </c>
      <c r="G1622">
        <v>2</v>
      </c>
      <c r="H1622" s="2" t="s">
        <v>77</v>
      </c>
      <c r="I1622">
        <v>189.88</v>
      </c>
      <c r="J1622">
        <v>5</v>
      </c>
      <c r="K1622">
        <v>9.49</v>
      </c>
      <c r="L1622">
        <v>37.200000000000003</v>
      </c>
      <c r="M1622">
        <v>79.36</v>
      </c>
      <c r="N1622">
        <v>0</v>
      </c>
      <c r="O1622">
        <v>5.53</v>
      </c>
      <c r="P1622" s="2" t="s">
        <v>42</v>
      </c>
      <c r="Q1622">
        <v>0</v>
      </c>
      <c r="R1622">
        <v>180.39</v>
      </c>
      <c r="S1622">
        <v>122.09</v>
      </c>
      <c r="T1622">
        <v>58.3</v>
      </c>
      <c r="U1622">
        <f t="shared" si="25"/>
        <v>0</v>
      </c>
    </row>
    <row r="1623" spans="1:21" x14ac:dyDescent="0.25">
      <c r="A1623" s="2" t="s">
        <v>2375</v>
      </c>
      <c r="B1623" s="2" t="s">
        <v>397</v>
      </c>
      <c r="C1623" s="1">
        <v>45889</v>
      </c>
      <c r="D1623" s="2" t="s">
        <v>59</v>
      </c>
      <c r="E1623" s="2" t="s">
        <v>46</v>
      </c>
      <c r="F1623" s="2" t="s">
        <v>47</v>
      </c>
      <c r="G1623">
        <v>1</v>
      </c>
      <c r="H1623" s="2" t="s">
        <v>56</v>
      </c>
      <c r="I1623">
        <v>35.19</v>
      </c>
      <c r="J1623">
        <v>0</v>
      </c>
      <c r="K1623">
        <v>0</v>
      </c>
      <c r="L1623">
        <v>5.0199999999999996</v>
      </c>
      <c r="M1623">
        <v>11.71</v>
      </c>
      <c r="N1623">
        <v>5.28</v>
      </c>
      <c r="O1623">
        <v>1.32</v>
      </c>
      <c r="P1623" s="2" t="s">
        <v>42</v>
      </c>
      <c r="Q1623">
        <v>0</v>
      </c>
      <c r="R1623">
        <v>35.19</v>
      </c>
      <c r="S1623">
        <v>23.33</v>
      </c>
      <c r="T1623">
        <v>11.86</v>
      </c>
      <c r="U1623">
        <f t="shared" si="25"/>
        <v>0</v>
      </c>
    </row>
    <row r="1624" spans="1:21" x14ac:dyDescent="0.25">
      <c r="A1624" s="2" t="s">
        <v>2376</v>
      </c>
      <c r="B1624" s="2" t="s">
        <v>543</v>
      </c>
      <c r="C1624" s="1">
        <v>45619</v>
      </c>
      <c r="D1624" s="2" t="s">
        <v>45</v>
      </c>
      <c r="E1624" s="2" t="s">
        <v>55</v>
      </c>
      <c r="F1624" s="2" t="s">
        <v>85</v>
      </c>
      <c r="G1624">
        <v>1</v>
      </c>
      <c r="H1624" s="2" t="s">
        <v>56</v>
      </c>
      <c r="I1624">
        <v>188.82</v>
      </c>
      <c r="J1624">
        <v>20</v>
      </c>
      <c r="K1624">
        <v>37.76</v>
      </c>
      <c r="L1624">
        <v>19.86</v>
      </c>
      <c r="M1624">
        <v>79.44</v>
      </c>
      <c r="N1624">
        <v>0</v>
      </c>
      <c r="O1624">
        <v>4.68</v>
      </c>
      <c r="P1624" s="2" t="s">
        <v>42</v>
      </c>
      <c r="Q1624">
        <v>0</v>
      </c>
      <c r="R1624">
        <v>151.06</v>
      </c>
      <c r="S1624">
        <v>103.98</v>
      </c>
      <c r="T1624">
        <v>47.08</v>
      </c>
      <c r="U1624">
        <f t="shared" si="25"/>
        <v>0</v>
      </c>
    </row>
    <row r="1625" spans="1:21" x14ac:dyDescent="0.25">
      <c r="A1625" s="2" t="s">
        <v>2377</v>
      </c>
      <c r="B1625" s="2" t="s">
        <v>856</v>
      </c>
      <c r="C1625" s="1">
        <v>45640</v>
      </c>
      <c r="D1625" s="2" t="s">
        <v>38</v>
      </c>
      <c r="E1625" s="2" t="s">
        <v>46</v>
      </c>
      <c r="F1625" s="2" t="s">
        <v>85</v>
      </c>
      <c r="G1625">
        <v>2</v>
      </c>
      <c r="H1625" s="2" t="s">
        <v>111</v>
      </c>
      <c r="I1625">
        <v>43.65</v>
      </c>
      <c r="J1625">
        <v>20</v>
      </c>
      <c r="K1625">
        <v>8.73</v>
      </c>
      <c r="L1625">
        <v>19.48</v>
      </c>
      <c r="M1625">
        <v>18.010000000000002</v>
      </c>
      <c r="N1625">
        <v>0</v>
      </c>
      <c r="O1625">
        <v>1.31</v>
      </c>
      <c r="P1625" s="2" t="s">
        <v>42</v>
      </c>
      <c r="Q1625">
        <v>0</v>
      </c>
      <c r="R1625">
        <v>34.92</v>
      </c>
      <c r="S1625">
        <v>38.799999999999997</v>
      </c>
      <c r="T1625">
        <v>-3.88</v>
      </c>
      <c r="U1625">
        <f t="shared" si="25"/>
        <v>0</v>
      </c>
    </row>
    <row r="1626" spans="1:21" x14ac:dyDescent="0.25">
      <c r="A1626" s="2" t="s">
        <v>2378</v>
      </c>
      <c r="B1626" s="2" t="s">
        <v>782</v>
      </c>
      <c r="C1626" s="1">
        <v>45534</v>
      </c>
      <c r="D1626" s="2" t="s">
        <v>45</v>
      </c>
      <c r="E1626" s="2" t="s">
        <v>71</v>
      </c>
      <c r="F1626" s="2" t="s">
        <v>51</v>
      </c>
      <c r="G1626">
        <v>3</v>
      </c>
      <c r="H1626" s="2" t="s">
        <v>74</v>
      </c>
      <c r="I1626">
        <v>492.51</v>
      </c>
      <c r="J1626">
        <v>15</v>
      </c>
      <c r="K1626">
        <v>73.88</v>
      </c>
      <c r="L1626">
        <v>27.92</v>
      </c>
      <c r="M1626">
        <v>151.04</v>
      </c>
      <c r="N1626">
        <v>0</v>
      </c>
      <c r="O1626">
        <v>12.44</v>
      </c>
      <c r="P1626" s="2" t="s">
        <v>42</v>
      </c>
      <c r="Q1626">
        <v>0</v>
      </c>
      <c r="R1626">
        <v>418.63</v>
      </c>
      <c r="S1626">
        <v>191.4</v>
      </c>
      <c r="T1626">
        <v>227.23</v>
      </c>
      <c r="U1626">
        <f t="shared" si="25"/>
        <v>0</v>
      </c>
    </row>
    <row r="1627" spans="1:21" x14ac:dyDescent="0.25">
      <c r="A1627" s="2" t="s">
        <v>2379</v>
      </c>
      <c r="B1627" s="2" t="s">
        <v>481</v>
      </c>
      <c r="C1627" s="1">
        <v>45704</v>
      </c>
      <c r="D1627" s="2" t="s">
        <v>45</v>
      </c>
      <c r="E1627" s="2" t="s">
        <v>46</v>
      </c>
      <c r="F1627" s="2" t="s">
        <v>85</v>
      </c>
      <c r="G1627">
        <v>2</v>
      </c>
      <c r="H1627" s="2" t="s">
        <v>48</v>
      </c>
      <c r="I1627">
        <v>77.099999999999994</v>
      </c>
      <c r="J1627">
        <v>15</v>
      </c>
      <c r="K1627">
        <v>11.56</v>
      </c>
      <c r="L1627">
        <v>54.96</v>
      </c>
      <c r="M1627">
        <v>28.35</v>
      </c>
      <c r="N1627">
        <v>0</v>
      </c>
      <c r="O1627">
        <v>2.2000000000000002</v>
      </c>
      <c r="P1627" s="2" t="s">
        <v>42</v>
      </c>
      <c r="Q1627">
        <v>0</v>
      </c>
      <c r="R1627">
        <v>65.540000000000006</v>
      </c>
      <c r="S1627">
        <v>85.51</v>
      </c>
      <c r="T1627">
        <v>-19.97</v>
      </c>
      <c r="U1627">
        <f t="shared" si="25"/>
        <v>0</v>
      </c>
    </row>
    <row r="1628" spans="1:21" x14ac:dyDescent="0.25">
      <c r="A1628" s="2" t="s">
        <v>2380</v>
      </c>
      <c r="B1628" s="2" t="s">
        <v>1449</v>
      </c>
      <c r="C1628" s="1">
        <v>45735</v>
      </c>
      <c r="D1628" s="2" t="s">
        <v>59</v>
      </c>
      <c r="E1628" s="2" t="s">
        <v>46</v>
      </c>
      <c r="F1628" s="2" t="s">
        <v>51</v>
      </c>
      <c r="G1628">
        <v>2</v>
      </c>
      <c r="H1628" s="2" t="s">
        <v>52</v>
      </c>
      <c r="I1628">
        <v>212.8</v>
      </c>
      <c r="J1628">
        <v>5</v>
      </c>
      <c r="K1628">
        <v>10.64</v>
      </c>
      <c r="L1628">
        <v>38.18</v>
      </c>
      <c r="M1628">
        <v>83.62</v>
      </c>
      <c r="N1628">
        <v>30.32</v>
      </c>
      <c r="O1628">
        <v>6.16</v>
      </c>
      <c r="P1628" s="2" t="s">
        <v>42</v>
      </c>
      <c r="Q1628">
        <v>0</v>
      </c>
      <c r="R1628">
        <v>202.16</v>
      </c>
      <c r="S1628">
        <v>158.28</v>
      </c>
      <c r="T1628">
        <v>43.88</v>
      </c>
      <c r="U1628">
        <f t="shared" si="25"/>
        <v>0</v>
      </c>
    </row>
    <row r="1629" spans="1:21" x14ac:dyDescent="0.25">
      <c r="A1629" s="2" t="s">
        <v>2381</v>
      </c>
      <c r="B1629" s="2" t="s">
        <v>823</v>
      </c>
      <c r="C1629" s="1">
        <v>45878</v>
      </c>
      <c r="D1629" s="2" t="s">
        <v>45</v>
      </c>
      <c r="E1629" s="2" t="s">
        <v>46</v>
      </c>
      <c r="F1629" s="2" t="s">
        <v>47</v>
      </c>
      <c r="G1629">
        <v>2</v>
      </c>
      <c r="H1629" s="2" t="s">
        <v>111</v>
      </c>
      <c r="I1629">
        <v>194.23</v>
      </c>
      <c r="J1629">
        <v>20</v>
      </c>
      <c r="K1629">
        <v>38.85</v>
      </c>
      <c r="L1629">
        <v>45.2</v>
      </c>
      <c r="M1629">
        <v>83.61</v>
      </c>
      <c r="N1629">
        <v>0</v>
      </c>
      <c r="O1629">
        <v>4.8099999999999996</v>
      </c>
      <c r="P1629" s="2" t="s">
        <v>42</v>
      </c>
      <c r="Q1629">
        <v>0</v>
      </c>
      <c r="R1629">
        <v>155.38</v>
      </c>
      <c r="S1629">
        <v>133.62</v>
      </c>
      <c r="T1629">
        <v>21.76</v>
      </c>
      <c r="U1629">
        <f t="shared" si="25"/>
        <v>0</v>
      </c>
    </row>
    <row r="1630" spans="1:21" x14ac:dyDescent="0.25">
      <c r="A1630" s="2" t="s">
        <v>2382</v>
      </c>
      <c r="B1630" s="2" t="s">
        <v>1930</v>
      </c>
      <c r="C1630" s="1">
        <v>45922</v>
      </c>
      <c r="D1630" s="2" t="s">
        <v>45</v>
      </c>
      <c r="E1630" s="2" t="s">
        <v>39</v>
      </c>
      <c r="F1630" s="2" t="s">
        <v>40</v>
      </c>
      <c r="G1630">
        <v>3</v>
      </c>
      <c r="H1630" s="2" t="s">
        <v>41</v>
      </c>
      <c r="I1630">
        <v>612.37</v>
      </c>
      <c r="J1630">
        <v>0</v>
      </c>
      <c r="K1630">
        <v>0</v>
      </c>
      <c r="L1630">
        <v>48.4</v>
      </c>
      <c r="M1630">
        <v>216.56</v>
      </c>
      <c r="N1630">
        <v>0</v>
      </c>
      <c r="O1630">
        <v>18.059999999999999</v>
      </c>
      <c r="P1630" s="2" t="s">
        <v>42</v>
      </c>
      <c r="Q1630">
        <v>0</v>
      </c>
      <c r="R1630">
        <v>612.37</v>
      </c>
      <c r="S1630">
        <v>283.02</v>
      </c>
      <c r="T1630">
        <v>329.35</v>
      </c>
      <c r="U1630">
        <f t="shared" si="25"/>
        <v>0</v>
      </c>
    </row>
    <row r="1631" spans="1:21" x14ac:dyDescent="0.25">
      <c r="A1631" s="2" t="s">
        <v>2383</v>
      </c>
      <c r="B1631" s="2" t="s">
        <v>1416</v>
      </c>
      <c r="C1631" s="1">
        <v>45692</v>
      </c>
      <c r="D1631" s="2" t="s">
        <v>59</v>
      </c>
      <c r="E1631" s="2" t="s">
        <v>46</v>
      </c>
      <c r="F1631" s="2" t="s">
        <v>40</v>
      </c>
      <c r="G1631">
        <v>2</v>
      </c>
      <c r="H1631" s="2" t="s">
        <v>41</v>
      </c>
      <c r="I1631">
        <v>187.37</v>
      </c>
      <c r="J1631">
        <v>0</v>
      </c>
      <c r="K1631">
        <v>0</v>
      </c>
      <c r="L1631">
        <v>30.98</v>
      </c>
      <c r="M1631">
        <v>94.57</v>
      </c>
      <c r="N1631">
        <v>28.11</v>
      </c>
      <c r="O1631">
        <v>5.73</v>
      </c>
      <c r="P1631" s="2" t="s">
        <v>42</v>
      </c>
      <c r="Q1631">
        <v>0</v>
      </c>
      <c r="R1631">
        <v>187.37</v>
      </c>
      <c r="S1631">
        <v>159.38999999999999</v>
      </c>
      <c r="T1631">
        <v>27.98</v>
      </c>
      <c r="U1631">
        <f t="shared" si="25"/>
        <v>0</v>
      </c>
    </row>
    <row r="1632" spans="1:21" x14ac:dyDescent="0.25">
      <c r="A1632" s="2" t="s">
        <v>2384</v>
      </c>
      <c r="B1632" s="2" t="s">
        <v>1167</v>
      </c>
      <c r="C1632" s="1">
        <v>45623</v>
      </c>
      <c r="D1632" s="2" t="s">
        <v>38</v>
      </c>
      <c r="E1632" s="2" t="s">
        <v>46</v>
      </c>
      <c r="F1632" s="2" t="s">
        <v>40</v>
      </c>
      <c r="G1632">
        <v>2</v>
      </c>
      <c r="H1632" s="2" t="s">
        <v>56</v>
      </c>
      <c r="I1632">
        <v>140.91999999999999</v>
      </c>
      <c r="J1632">
        <v>0</v>
      </c>
      <c r="K1632">
        <v>0</v>
      </c>
      <c r="L1632">
        <v>23.88</v>
      </c>
      <c r="M1632">
        <v>53.69</v>
      </c>
      <c r="N1632">
        <v>0</v>
      </c>
      <c r="O1632">
        <v>4.3899999999999997</v>
      </c>
      <c r="P1632" s="2" t="s">
        <v>42</v>
      </c>
      <c r="Q1632">
        <v>0</v>
      </c>
      <c r="R1632">
        <v>140.91999999999999</v>
      </c>
      <c r="S1632">
        <v>81.96</v>
      </c>
      <c r="T1632">
        <v>58.96</v>
      </c>
      <c r="U1632">
        <f t="shared" si="25"/>
        <v>0</v>
      </c>
    </row>
    <row r="1633" spans="1:21" x14ac:dyDescent="0.25">
      <c r="A1633" s="2" t="s">
        <v>2385</v>
      </c>
      <c r="B1633" s="2" t="s">
        <v>1152</v>
      </c>
      <c r="C1633" s="1">
        <v>45416</v>
      </c>
      <c r="D1633" s="2" t="s">
        <v>38</v>
      </c>
      <c r="E1633" s="2" t="s">
        <v>67</v>
      </c>
      <c r="F1633" s="2" t="s">
        <v>85</v>
      </c>
      <c r="G1633">
        <v>1</v>
      </c>
      <c r="H1633" s="2" t="s">
        <v>56</v>
      </c>
      <c r="I1633">
        <v>29.69</v>
      </c>
      <c r="J1633">
        <v>10</v>
      </c>
      <c r="K1633">
        <v>2.97</v>
      </c>
      <c r="L1633">
        <v>6.06</v>
      </c>
      <c r="M1633">
        <v>18.66</v>
      </c>
      <c r="N1633">
        <v>0</v>
      </c>
      <c r="O1633">
        <v>1.07</v>
      </c>
      <c r="P1633" s="2" t="s">
        <v>42</v>
      </c>
      <c r="Q1633">
        <v>0</v>
      </c>
      <c r="R1633">
        <v>26.72</v>
      </c>
      <c r="S1633">
        <v>25.79</v>
      </c>
      <c r="T1633">
        <v>0.93</v>
      </c>
      <c r="U1633">
        <f t="shared" si="25"/>
        <v>0</v>
      </c>
    </row>
    <row r="1634" spans="1:21" x14ac:dyDescent="0.25">
      <c r="A1634" s="2" t="s">
        <v>2386</v>
      </c>
      <c r="B1634" s="2" t="s">
        <v>979</v>
      </c>
      <c r="C1634" s="1">
        <v>45837</v>
      </c>
      <c r="D1634" s="2" t="s">
        <v>45</v>
      </c>
      <c r="E1634" s="2" t="s">
        <v>67</v>
      </c>
      <c r="F1634" s="2" t="s">
        <v>85</v>
      </c>
      <c r="G1634">
        <v>1</v>
      </c>
      <c r="H1634" s="2" t="s">
        <v>111</v>
      </c>
      <c r="I1634">
        <v>85.29</v>
      </c>
      <c r="J1634">
        <v>15</v>
      </c>
      <c r="K1634">
        <v>12.79</v>
      </c>
      <c r="L1634">
        <v>11.22</v>
      </c>
      <c r="M1634">
        <v>48.36</v>
      </c>
      <c r="N1634">
        <v>0</v>
      </c>
      <c r="O1634">
        <v>2.4</v>
      </c>
      <c r="P1634" s="2" t="s">
        <v>42</v>
      </c>
      <c r="Q1634">
        <v>0</v>
      </c>
      <c r="R1634">
        <v>72.5</v>
      </c>
      <c r="S1634">
        <v>61.98</v>
      </c>
      <c r="T1634">
        <v>10.52</v>
      </c>
      <c r="U1634">
        <f t="shared" si="25"/>
        <v>0</v>
      </c>
    </row>
    <row r="1635" spans="1:21" x14ac:dyDescent="0.25">
      <c r="A1635" s="2" t="s">
        <v>2387</v>
      </c>
      <c r="B1635" s="2" t="s">
        <v>129</v>
      </c>
      <c r="C1635" s="1">
        <v>45892</v>
      </c>
      <c r="D1635" s="2" t="s">
        <v>38</v>
      </c>
      <c r="E1635" s="2" t="s">
        <v>46</v>
      </c>
      <c r="F1635" s="2" t="s">
        <v>51</v>
      </c>
      <c r="G1635">
        <v>2</v>
      </c>
      <c r="H1635" s="2" t="s">
        <v>41</v>
      </c>
      <c r="I1635">
        <v>398.66</v>
      </c>
      <c r="J1635">
        <v>10</v>
      </c>
      <c r="K1635">
        <v>39.869999999999997</v>
      </c>
      <c r="L1635">
        <v>21.46</v>
      </c>
      <c r="M1635">
        <v>127.29</v>
      </c>
      <c r="N1635">
        <v>0</v>
      </c>
      <c r="O1635">
        <v>10.7</v>
      </c>
      <c r="P1635" s="2" t="s">
        <v>42</v>
      </c>
      <c r="Q1635">
        <v>0</v>
      </c>
      <c r="R1635">
        <v>358.79</v>
      </c>
      <c r="S1635">
        <v>159.44999999999999</v>
      </c>
      <c r="T1635">
        <v>199.34</v>
      </c>
      <c r="U1635">
        <f t="shared" si="25"/>
        <v>0</v>
      </c>
    </row>
    <row r="1636" spans="1:21" x14ac:dyDescent="0.25">
      <c r="A1636" s="2" t="s">
        <v>2388</v>
      </c>
      <c r="B1636" s="2" t="s">
        <v>814</v>
      </c>
      <c r="C1636" s="1">
        <v>45836</v>
      </c>
      <c r="D1636" s="2" t="s">
        <v>38</v>
      </c>
      <c r="E1636" s="2" t="s">
        <v>46</v>
      </c>
      <c r="F1636" s="2" t="s">
        <v>94</v>
      </c>
      <c r="G1636">
        <v>1</v>
      </c>
      <c r="H1636" s="2" t="s">
        <v>74</v>
      </c>
      <c r="I1636">
        <v>54.32</v>
      </c>
      <c r="J1636">
        <v>0</v>
      </c>
      <c r="K1636">
        <v>0</v>
      </c>
      <c r="L1636">
        <v>22.68</v>
      </c>
      <c r="M1636">
        <v>27.28</v>
      </c>
      <c r="N1636">
        <v>0</v>
      </c>
      <c r="O1636">
        <v>1.88</v>
      </c>
      <c r="P1636" s="2" t="s">
        <v>42</v>
      </c>
      <c r="Q1636">
        <v>0</v>
      </c>
      <c r="R1636">
        <v>54.32</v>
      </c>
      <c r="S1636">
        <v>51.84</v>
      </c>
      <c r="T1636">
        <v>2.48</v>
      </c>
      <c r="U1636">
        <f t="shared" si="25"/>
        <v>0</v>
      </c>
    </row>
    <row r="1637" spans="1:21" x14ac:dyDescent="0.25">
      <c r="A1637" s="2" t="s">
        <v>2389</v>
      </c>
      <c r="B1637" s="2" t="s">
        <v>241</v>
      </c>
      <c r="C1637" s="1">
        <v>45900</v>
      </c>
      <c r="D1637" s="2" t="s">
        <v>38</v>
      </c>
      <c r="E1637" s="2" t="s">
        <v>71</v>
      </c>
      <c r="F1637" s="2" t="s">
        <v>47</v>
      </c>
      <c r="G1637">
        <v>2</v>
      </c>
      <c r="H1637" s="2" t="s">
        <v>41</v>
      </c>
      <c r="I1637">
        <v>141.56</v>
      </c>
      <c r="J1637">
        <v>0</v>
      </c>
      <c r="K1637">
        <v>0</v>
      </c>
      <c r="L1637">
        <v>33.06</v>
      </c>
      <c r="M1637">
        <v>70.290000000000006</v>
      </c>
      <c r="N1637">
        <v>0</v>
      </c>
      <c r="O1637">
        <v>4.41</v>
      </c>
      <c r="P1637" s="2" t="s">
        <v>42</v>
      </c>
      <c r="Q1637">
        <v>0</v>
      </c>
      <c r="R1637">
        <v>141.56</v>
      </c>
      <c r="S1637">
        <v>107.76</v>
      </c>
      <c r="T1637">
        <v>33.799999999999997</v>
      </c>
      <c r="U1637">
        <f t="shared" si="25"/>
        <v>0</v>
      </c>
    </row>
    <row r="1638" spans="1:21" x14ac:dyDescent="0.25">
      <c r="A1638" s="2" t="s">
        <v>2390</v>
      </c>
      <c r="B1638" s="2" t="s">
        <v>2228</v>
      </c>
      <c r="C1638" s="1">
        <v>45639</v>
      </c>
      <c r="D1638" s="2" t="s">
        <v>45</v>
      </c>
      <c r="E1638" s="2" t="s">
        <v>71</v>
      </c>
      <c r="F1638" s="2" t="s">
        <v>40</v>
      </c>
      <c r="G1638">
        <v>1</v>
      </c>
      <c r="H1638" s="2" t="s">
        <v>56</v>
      </c>
      <c r="I1638">
        <v>49.35</v>
      </c>
      <c r="J1638">
        <v>5</v>
      </c>
      <c r="K1638">
        <v>2.4700000000000002</v>
      </c>
      <c r="L1638">
        <v>8.3800000000000008</v>
      </c>
      <c r="M1638">
        <v>26.77</v>
      </c>
      <c r="N1638">
        <v>0</v>
      </c>
      <c r="O1638">
        <v>1.66</v>
      </c>
      <c r="P1638" s="2" t="s">
        <v>42</v>
      </c>
      <c r="Q1638">
        <v>0</v>
      </c>
      <c r="R1638">
        <v>46.88</v>
      </c>
      <c r="S1638">
        <v>36.81</v>
      </c>
      <c r="T1638">
        <v>10.07</v>
      </c>
      <c r="U1638">
        <f t="shared" si="25"/>
        <v>0</v>
      </c>
    </row>
    <row r="1639" spans="1:21" x14ac:dyDescent="0.25">
      <c r="A1639" s="2" t="s">
        <v>2391</v>
      </c>
      <c r="B1639" s="2" t="s">
        <v>934</v>
      </c>
      <c r="C1639" s="1">
        <v>45956</v>
      </c>
      <c r="D1639" s="2" t="s">
        <v>80</v>
      </c>
      <c r="E1639" s="2" t="s">
        <v>71</v>
      </c>
      <c r="F1639" s="2" t="s">
        <v>51</v>
      </c>
      <c r="G1639">
        <v>2</v>
      </c>
      <c r="H1639" s="2" t="s">
        <v>64</v>
      </c>
      <c r="I1639">
        <v>47.26</v>
      </c>
      <c r="J1639">
        <v>0</v>
      </c>
      <c r="K1639">
        <v>0</v>
      </c>
      <c r="L1639">
        <v>18.899999999999999</v>
      </c>
      <c r="M1639">
        <v>21.19</v>
      </c>
      <c r="N1639">
        <v>3.78</v>
      </c>
      <c r="O1639">
        <v>1.67</v>
      </c>
      <c r="P1639" s="2" t="s">
        <v>42</v>
      </c>
      <c r="Q1639">
        <v>0</v>
      </c>
      <c r="R1639">
        <v>47.26</v>
      </c>
      <c r="S1639">
        <v>45.54</v>
      </c>
      <c r="T1639">
        <v>1.72</v>
      </c>
      <c r="U1639">
        <f t="shared" si="25"/>
        <v>0</v>
      </c>
    </row>
    <row r="1640" spans="1:21" x14ac:dyDescent="0.25">
      <c r="A1640" s="2" t="s">
        <v>2392</v>
      </c>
      <c r="B1640" s="2" t="s">
        <v>1384</v>
      </c>
      <c r="C1640" s="1">
        <v>45730</v>
      </c>
      <c r="D1640" s="2" t="s">
        <v>45</v>
      </c>
      <c r="E1640" s="2" t="s">
        <v>46</v>
      </c>
      <c r="F1640" s="2" t="s">
        <v>47</v>
      </c>
      <c r="G1640">
        <v>3</v>
      </c>
      <c r="H1640" s="2" t="s">
        <v>64</v>
      </c>
      <c r="I1640">
        <v>280.95999999999998</v>
      </c>
      <c r="J1640">
        <v>20</v>
      </c>
      <c r="K1640">
        <v>56.19</v>
      </c>
      <c r="L1640">
        <v>59.1</v>
      </c>
      <c r="M1640">
        <v>97.29</v>
      </c>
      <c r="N1640">
        <v>0</v>
      </c>
      <c r="O1640">
        <v>6.82</v>
      </c>
      <c r="P1640" s="2" t="s">
        <v>42</v>
      </c>
      <c r="Q1640">
        <v>0</v>
      </c>
      <c r="R1640">
        <v>224.77</v>
      </c>
      <c r="S1640">
        <v>163.21</v>
      </c>
      <c r="T1640">
        <v>61.56</v>
      </c>
      <c r="U1640">
        <f t="shared" si="25"/>
        <v>0</v>
      </c>
    </row>
    <row r="1641" spans="1:21" x14ac:dyDescent="0.25">
      <c r="A1641" s="2" t="s">
        <v>2393</v>
      </c>
      <c r="B1641" s="2" t="s">
        <v>517</v>
      </c>
      <c r="C1641" s="1">
        <v>45819</v>
      </c>
      <c r="D1641" s="2" t="s">
        <v>45</v>
      </c>
      <c r="E1641" s="2" t="s">
        <v>46</v>
      </c>
      <c r="F1641" s="2" t="s">
        <v>85</v>
      </c>
      <c r="G1641">
        <v>3</v>
      </c>
      <c r="H1641" s="2" t="s">
        <v>52</v>
      </c>
      <c r="I1641">
        <v>167.61</v>
      </c>
      <c r="J1641">
        <v>10</v>
      </c>
      <c r="K1641">
        <v>16.760000000000002</v>
      </c>
      <c r="L1641">
        <v>44.32</v>
      </c>
      <c r="M1641">
        <v>70.38</v>
      </c>
      <c r="N1641">
        <v>0</v>
      </c>
      <c r="O1641">
        <v>4.67</v>
      </c>
      <c r="P1641" s="2" t="s">
        <v>42</v>
      </c>
      <c r="Q1641">
        <v>0</v>
      </c>
      <c r="R1641">
        <v>150.85</v>
      </c>
      <c r="S1641">
        <v>119.37</v>
      </c>
      <c r="T1641">
        <v>31.48</v>
      </c>
      <c r="U1641">
        <f t="shared" si="25"/>
        <v>0</v>
      </c>
    </row>
    <row r="1642" spans="1:21" x14ac:dyDescent="0.25">
      <c r="A1642" s="2" t="s">
        <v>2394</v>
      </c>
      <c r="B1642" s="2" t="s">
        <v>920</v>
      </c>
      <c r="C1642" s="1">
        <v>45695</v>
      </c>
      <c r="D1642" s="2" t="s">
        <v>38</v>
      </c>
      <c r="E1642" s="2" t="s">
        <v>39</v>
      </c>
      <c r="F1642" s="2" t="s">
        <v>47</v>
      </c>
      <c r="G1642">
        <v>1</v>
      </c>
      <c r="H1642" s="2" t="s">
        <v>52</v>
      </c>
      <c r="I1642">
        <v>45.27</v>
      </c>
      <c r="J1642">
        <v>25</v>
      </c>
      <c r="K1642">
        <v>11.32</v>
      </c>
      <c r="L1642">
        <v>12.78</v>
      </c>
      <c r="M1642">
        <v>23.99</v>
      </c>
      <c r="N1642">
        <v>0</v>
      </c>
      <c r="O1642">
        <v>1.28</v>
      </c>
      <c r="P1642" s="2" t="s">
        <v>42</v>
      </c>
      <c r="Q1642">
        <v>0</v>
      </c>
      <c r="R1642">
        <v>33.950000000000003</v>
      </c>
      <c r="S1642">
        <v>38.049999999999997</v>
      </c>
      <c r="T1642">
        <v>-4.0999999999999996</v>
      </c>
      <c r="U1642">
        <f t="shared" si="25"/>
        <v>0</v>
      </c>
    </row>
    <row r="1643" spans="1:21" x14ac:dyDescent="0.25">
      <c r="A1643" s="2" t="s">
        <v>2395</v>
      </c>
      <c r="B1643" s="2" t="s">
        <v>1759</v>
      </c>
      <c r="C1643" s="1">
        <v>45669</v>
      </c>
      <c r="D1643" s="2" t="s">
        <v>80</v>
      </c>
      <c r="E1643" s="2" t="s">
        <v>46</v>
      </c>
      <c r="F1643" s="2" t="s">
        <v>40</v>
      </c>
      <c r="G1643">
        <v>1</v>
      </c>
      <c r="H1643" s="2" t="s">
        <v>48</v>
      </c>
      <c r="I1643">
        <v>20.45</v>
      </c>
      <c r="J1643">
        <v>10</v>
      </c>
      <c r="K1643">
        <v>2.04</v>
      </c>
      <c r="L1643">
        <v>10.220000000000001</v>
      </c>
      <c r="M1643">
        <v>7.45</v>
      </c>
      <c r="N1643">
        <v>1.47</v>
      </c>
      <c r="O1643">
        <v>0.83</v>
      </c>
      <c r="P1643" s="2" t="s">
        <v>42</v>
      </c>
      <c r="Q1643">
        <v>0</v>
      </c>
      <c r="R1643">
        <v>18.41</v>
      </c>
      <c r="S1643">
        <v>19.97</v>
      </c>
      <c r="T1643">
        <v>-1.56</v>
      </c>
      <c r="U1643">
        <f t="shared" si="25"/>
        <v>0</v>
      </c>
    </row>
    <row r="1644" spans="1:21" x14ac:dyDescent="0.25">
      <c r="A1644" s="2" t="s">
        <v>2396</v>
      </c>
      <c r="B1644" s="2" t="s">
        <v>125</v>
      </c>
      <c r="C1644" s="1">
        <v>45645</v>
      </c>
      <c r="D1644" s="2" t="s">
        <v>38</v>
      </c>
      <c r="E1644" s="2" t="s">
        <v>71</v>
      </c>
      <c r="F1644" s="2" t="s">
        <v>40</v>
      </c>
      <c r="G1644">
        <v>1</v>
      </c>
      <c r="H1644" s="2" t="s">
        <v>77</v>
      </c>
      <c r="I1644">
        <v>46.4</v>
      </c>
      <c r="J1644">
        <v>5</v>
      </c>
      <c r="K1644">
        <v>2.3199999999999998</v>
      </c>
      <c r="L1644">
        <v>15.96</v>
      </c>
      <c r="M1644">
        <v>13.54</v>
      </c>
      <c r="N1644">
        <v>0</v>
      </c>
      <c r="O1644">
        <v>1.58</v>
      </c>
      <c r="P1644" s="2" t="s">
        <v>42</v>
      </c>
      <c r="Q1644">
        <v>0</v>
      </c>
      <c r="R1644">
        <v>44.08</v>
      </c>
      <c r="S1644">
        <v>31.08</v>
      </c>
      <c r="T1644">
        <v>13</v>
      </c>
      <c r="U1644">
        <f t="shared" si="25"/>
        <v>0</v>
      </c>
    </row>
    <row r="1645" spans="1:21" x14ac:dyDescent="0.25">
      <c r="A1645" s="2" t="s">
        <v>2397</v>
      </c>
      <c r="B1645" s="2" t="s">
        <v>726</v>
      </c>
      <c r="C1645" s="1">
        <v>45912</v>
      </c>
      <c r="D1645" s="2" t="s">
        <v>38</v>
      </c>
      <c r="E1645" s="2" t="s">
        <v>67</v>
      </c>
      <c r="F1645" s="2" t="s">
        <v>40</v>
      </c>
      <c r="G1645">
        <v>3</v>
      </c>
      <c r="H1645" s="2" t="s">
        <v>56</v>
      </c>
      <c r="I1645">
        <v>208.14</v>
      </c>
      <c r="J1645">
        <v>25</v>
      </c>
      <c r="K1645">
        <v>52.03</v>
      </c>
      <c r="L1645">
        <v>39.340000000000003</v>
      </c>
      <c r="M1645">
        <v>91.41</v>
      </c>
      <c r="N1645">
        <v>0</v>
      </c>
      <c r="O1645">
        <v>4.83</v>
      </c>
      <c r="P1645" s="2" t="s">
        <v>42</v>
      </c>
      <c r="Q1645">
        <v>0</v>
      </c>
      <c r="R1645">
        <v>156.11000000000001</v>
      </c>
      <c r="S1645">
        <v>135.58000000000001</v>
      </c>
      <c r="T1645">
        <v>20.53</v>
      </c>
      <c r="U1645">
        <f t="shared" si="25"/>
        <v>0</v>
      </c>
    </row>
    <row r="1646" spans="1:21" x14ac:dyDescent="0.25">
      <c r="A1646" s="2" t="s">
        <v>2398</v>
      </c>
      <c r="B1646" s="2" t="s">
        <v>2399</v>
      </c>
      <c r="C1646" s="1">
        <v>45931</v>
      </c>
      <c r="D1646" s="2" t="s">
        <v>38</v>
      </c>
      <c r="E1646" s="2" t="s">
        <v>46</v>
      </c>
      <c r="F1646" s="2" t="s">
        <v>51</v>
      </c>
      <c r="G1646">
        <v>1</v>
      </c>
      <c r="H1646" s="2" t="s">
        <v>74</v>
      </c>
      <c r="I1646">
        <v>334.32</v>
      </c>
      <c r="J1646">
        <v>20</v>
      </c>
      <c r="K1646">
        <v>66.86</v>
      </c>
      <c r="L1646">
        <v>27.06</v>
      </c>
      <c r="M1646">
        <v>109.02</v>
      </c>
      <c r="N1646">
        <v>0</v>
      </c>
      <c r="O1646">
        <v>8.06</v>
      </c>
      <c r="P1646" s="2" t="s">
        <v>42</v>
      </c>
      <c r="Q1646">
        <v>0</v>
      </c>
      <c r="R1646">
        <v>267.45999999999998</v>
      </c>
      <c r="S1646">
        <v>144.13999999999999</v>
      </c>
      <c r="T1646">
        <v>123.32</v>
      </c>
      <c r="U1646">
        <f t="shared" si="25"/>
        <v>0</v>
      </c>
    </row>
    <row r="1647" spans="1:21" x14ac:dyDescent="0.25">
      <c r="A1647" s="2" t="s">
        <v>2400</v>
      </c>
      <c r="B1647" s="2" t="s">
        <v>698</v>
      </c>
      <c r="C1647" s="1">
        <v>45888</v>
      </c>
      <c r="D1647" s="2" t="s">
        <v>59</v>
      </c>
      <c r="E1647" s="2" t="s">
        <v>71</v>
      </c>
      <c r="F1647" s="2" t="s">
        <v>51</v>
      </c>
      <c r="G1647">
        <v>2</v>
      </c>
      <c r="H1647" s="2" t="s">
        <v>74</v>
      </c>
      <c r="I1647">
        <v>110.64</v>
      </c>
      <c r="J1647">
        <v>10</v>
      </c>
      <c r="K1647">
        <v>11.06</v>
      </c>
      <c r="L1647">
        <v>11.56</v>
      </c>
      <c r="M1647">
        <v>48.54</v>
      </c>
      <c r="N1647">
        <v>14.94</v>
      </c>
      <c r="O1647">
        <v>3.19</v>
      </c>
      <c r="P1647" s="2" t="s">
        <v>42</v>
      </c>
      <c r="Q1647">
        <v>0</v>
      </c>
      <c r="R1647">
        <v>99.58</v>
      </c>
      <c r="S1647">
        <v>78.23</v>
      </c>
      <c r="T1647">
        <v>21.35</v>
      </c>
      <c r="U1647">
        <f t="shared" si="25"/>
        <v>0</v>
      </c>
    </row>
    <row r="1648" spans="1:21" x14ac:dyDescent="0.25">
      <c r="A1648" s="2" t="s">
        <v>2401</v>
      </c>
      <c r="B1648" s="2" t="s">
        <v>397</v>
      </c>
      <c r="C1648" s="1">
        <v>45915</v>
      </c>
      <c r="D1648" s="2" t="s">
        <v>45</v>
      </c>
      <c r="E1648" s="2" t="s">
        <v>55</v>
      </c>
      <c r="F1648" s="2" t="s">
        <v>47</v>
      </c>
      <c r="G1648">
        <v>1</v>
      </c>
      <c r="H1648" s="2" t="s">
        <v>48</v>
      </c>
      <c r="I1648">
        <v>117.33</v>
      </c>
      <c r="J1648">
        <v>5</v>
      </c>
      <c r="K1648">
        <v>5.87</v>
      </c>
      <c r="L1648">
        <v>29.46</v>
      </c>
      <c r="M1648">
        <v>47.7</v>
      </c>
      <c r="N1648">
        <v>0</v>
      </c>
      <c r="O1648">
        <v>3.53</v>
      </c>
      <c r="P1648" s="2" t="s">
        <v>42</v>
      </c>
      <c r="Q1648">
        <v>0</v>
      </c>
      <c r="R1648">
        <v>111.46</v>
      </c>
      <c r="S1648">
        <v>80.69</v>
      </c>
      <c r="T1648">
        <v>30.77</v>
      </c>
      <c r="U1648">
        <f t="shared" si="25"/>
        <v>0</v>
      </c>
    </row>
    <row r="1649" spans="1:21" x14ac:dyDescent="0.25">
      <c r="A1649" s="2" t="s">
        <v>2402</v>
      </c>
      <c r="B1649" s="2" t="s">
        <v>1190</v>
      </c>
      <c r="C1649" s="1">
        <v>45720</v>
      </c>
      <c r="D1649" s="2" t="s">
        <v>59</v>
      </c>
      <c r="E1649" s="2" t="s">
        <v>46</v>
      </c>
      <c r="F1649" s="2" t="s">
        <v>94</v>
      </c>
      <c r="G1649">
        <v>1</v>
      </c>
      <c r="H1649" s="2" t="s">
        <v>77</v>
      </c>
      <c r="I1649">
        <v>57.93</v>
      </c>
      <c r="J1649">
        <v>0</v>
      </c>
      <c r="K1649">
        <v>0</v>
      </c>
      <c r="L1649">
        <v>17.7</v>
      </c>
      <c r="M1649">
        <v>18.690000000000001</v>
      </c>
      <c r="N1649">
        <v>8.69</v>
      </c>
      <c r="O1649">
        <v>1.98</v>
      </c>
      <c r="P1649" s="2" t="s">
        <v>42</v>
      </c>
      <c r="Q1649">
        <v>0</v>
      </c>
      <c r="R1649">
        <v>57.93</v>
      </c>
      <c r="S1649">
        <v>47.06</v>
      </c>
      <c r="T1649">
        <v>10.87</v>
      </c>
      <c r="U1649">
        <f t="shared" si="25"/>
        <v>0</v>
      </c>
    </row>
    <row r="1650" spans="1:21" x14ac:dyDescent="0.25">
      <c r="A1650" s="2" t="s">
        <v>2403</v>
      </c>
      <c r="B1650" s="2" t="s">
        <v>1564</v>
      </c>
      <c r="C1650" s="1">
        <v>45869</v>
      </c>
      <c r="D1650" s="2" t="s">
        <v>38</v>
      </c>
      <c r="E1650" s="2" t="s">
        <v>46</v>
      </c>
      <c r="F1650" s="2" t="s">
        <v>47</v>
      </c>
      <c r="G1650">
        <v>2</v>
      </c>
      <c r="H1650" s="2" t="s">
        <v>52</v>
      </c>
      <c r="I1650">
        <v>95.67</v>
      </c>
      <c r="J1650">
        <v>10</v>
      </c>
      <c r="K1650">
        <v>9.57</v>
      </c>
      <c r="L1650">
        <v>22.6</v>
      </c>
      <c r="M1650">
        <v>51.75</v>
      </c>
      <c r="N1650">
        <v>0</v>
      </c>
      <c r="O1650">
        <v>2.8</v>
      </c>
      <c r="P1650" s="2" t="s">
        <v>42</v>
      </c>
      <c r="Q1650">
        <v>0</v>
      </c>
      <c r="R1650">
        <v>86.1</v>
      </c>
      <c r="S1650">
        <v>77.150000000000006</v>
      </c>
      <c r="T1650">
        <v>8.9499999999999993</v>
      </c>
      <c r="U1650">
        <f t="shared" si="25"/>
        <v>0</v>
      </c>
    </row>
    <row r="1651" spans="1:21" x14ac:dyDescent="0.25">
      <c r="A1651" s="2" t="s">
        <v>2404</v>
      </c>
      <c r="B1651" s="2" t="s">
        <v>496</v>
      </c>
      <c r="C1651" s="1">
        <v>45765</v>
      </c>
      <c r="D1651" s="2" t="s">
        <v>59</v>
      </c>
      <c r="E1651" s="2" t="s">
        <v>46</v>
      </c>
      <c r="F1651" s="2" t="s">
        <v>51</v>
      </c>
      <c r="G1651">
        <v>1</v>
      </c>
      <c r="H1651" s="2" t="s">
        <v>64</v>
      </c>
      <c r="I1651">
        <v>20.57</v>
      </c>
      <c r="J1651">
        <v>0</v>
      </c>
      <c r="K1651">
        <v>0</v>
      </c>
      <c r="L1651">
        <v>7.02</v>
      </c>
      <c r="M1651">
        <v>7.36</v>
      </c>
      <c r="N1651">
        <v>3.09</v>
      </c>
      <c r="O1651">
        <v>0.9</v>
      </c>
      <c r="P1651" s="2" t="s">
        <v>42</v>
      </c>
      <c r="Q1651">
        <v>0</v>
      </c>
      <c r="R1651">
        <v>20.57</v>
      </c>
      <c r="S1651">
        <v>18.37</v>
      </c>
      <c r="T1651">
        <v>2.2000000000000002</v>
      </c>
      <c r="U1651">
        <f t="shared" si="25"/>
        <v>0</v>
      </c>
    </row>
    <row r="1652" spans="1:21" x14ac:dyDescent="0.25">
      <c r="A1652" s="2" t="s">
        <v>2405</v>
      </c>
      <c r="B1652" s="2" t="s">
        <v>1787</v>
      </c>
      <c r="C1652" s="1">
        <v>45731</v>
      </c>
      <c r="D1652" s="2" t="s">
        <v>59</v>
      </c>
      <c r="E1652" s="2" t="s">
        <v>46</v>
      </c>
      <c r="F1652" s="2" t="s">
        <v>51</v>
      </c>
      <c r="G1652">
        <v>3</v>
      </c>
      <c r="H1652" s="2" t="s">
        <v>52</v>
      </c>
      <c r="I1652">
        <v>155.52000000000001</v>
      </c>
      <c r="J1652">
        <v>0</v>
      </c>
      <c r="K1652">
        <v>0</v>
      </c>
      <c r="L1652">
        <v>35.54</v>
      </c>
      <c r="M1652">
        <v>61.52</v>
      </c>
      <c r="N1652">
        <v>23.33</v>
      </c>
      <c r="O1652">
        <v>4.8099999999999996</v>
      </c>
      <c r="P1652" s="2" t="s">
        <v>42</v>
      </c>
      <c r="Q1652">
        <v>0</v>
      </c>
      <c r="R1652">
        <v>155.52000000000001</v>
      </c>
      <c r="S1652">
        <v>125.2</v>
      </c>
      <c r="T1652">
        <v>30.32</v>
      </c>
      <c r="U1652">
        <f t="shared" si="25"/>
        <v>0</v>
      </c>
    </row>
    <row r="1653" spans="1:21" x14ac:dyDescent="0.25">
      <c r="A1653" s="2" t="s">
        <v>2406</v>
      </c>
      <c r="B1653" s="2" t="s">
        <v>1388</v>
      </c>
      <c r="C1653" s="1">
        <v>45921</v>
      </c>
      <c r="D1653" s="2" t="s">
        <v>45</v>
      </c>
      <c r="E1653" s="2" t="s">
        <v>67</v>
      </c>
      <c r="F1653" s="2" t="s">
        <v>51</v>
      </c>
      <c r="G1653">
        <v>1</v>
      </c>
      <c r="H1653" s="2" t="s">
        <v>48</v>
      </c>
      <c r="I1653">
        <v>58.23</v>
      </c>
      <c r="J1653">
        <v>5</v>
      </c>
      <c r="K1653">
        <v>2.91</v>
      </c>
      <c r="L1653">
        <v>13.42</v>
      </c>
      <c r="M1653">
        <v>22.42</v>
      </c>
      <c r="N1653">
        <v>0</v>
      </c>
      <c r="O1653">
        <v>1.9</v>
      </c>
      <c r="P1653" s="2" t="s">
        <v>42</v>
      </c>
      <c r="Q1653">
        <v>0</v>
      </c>
      <c r="R1653">
        <v>55.32</v>
      </c>
      <c r="S1653">
        <v>37.74</v>
      </c>
      <c r="T1653">
        <v>17.579999999999998</v>
      </c>
      <c r="U1653">
        <f t="shared" si="25"/>
        <v>0</v>
      </c>
    </row>
    <row r="1654" spans="1:21" x14ac:dyDescent="0.25">
      <c r="A1654" s="2" t="s">
        <v>2407</v>
      </c>
      <c r="B1654" s="2" t="s">
        <v>420</v>
      </c>
      <c r="C1654" s="1">
        <v>45818</v>
      </c>
      <c r="D1654" s="2" t="s">
        <v>38</v>
      </c>
      <c r="E1654" s="2" t="s">
        <v>55</v>
      </c>
      <c r="F1654" s="2" t="s">
        <v>51</v>
      </c>
      <c r="G1654">
        <v>3</v>
      </c>
      <c r="H1654" s="2" t="s">
        <v>77</v>
      </c>
      <c r="I1654">
        <v>75.38</v>
      </c>
      <c r="J1654">
        <v>0</v>
      </c>
      <c r="K1654">
        <v>0</v>
      </c>
      <c r="L1654">
        <v>41.3</v>
      </c>
      <c r="M1654">
        <v>34.799999999999997</v>
      </c>
      <c r="N1654">
        <v>0</v>
      </c>
      <c r="O1654">
        <v>2.4900000000000002</v>
      </c>
      <c r="P1654" s="2" t="s">
        <v>42</v>
      </c>
      <c r="Q1654">
        <v>0</v>
      </c>
      <c r="R1654">
        <v>75.38</v>
      </c>
      <c r="S1654">
        <v>78.59</v>
      </c>
      <c r="T1654">
        <v>-3.21</v>
      </c>
      <c r="U1654">
        <f t="shared" si="25"/>
        <v>0</v>
      </c>
    </row>
    <row r="1655" spans="1:21" x14ac:dyDescent="0.25">
      <c r="A1655" s="2" t="s">
        <v>2408</v>
      </c>
      <c r="B1655" s="2" t="s">
        <v>257</v>
      </c>
      <c r="C1655" s="1">
        <v>45516</v>
      </c>
      <c r="D1655" s="2" t="s">
        <v>38</v>
      </c>
      <c r="E1655" s="2" t="s">
        <v>46</v>
      </c>
      <c r="F1655" s="2" t="s">
        <v>47</v>
      </c>
      <c r="G1655">
        <v>1</v>
      </c>
      <c r="H1655" s="2" t="s">
        <v>41</v>
      </c>
      <c r="I1655">
        <v>215.16</v>
      </c>
      <c r="J1655">
        <v>5</v>
      </c>
      <c r="K1655">
        <v>10.76</v>
      </c>
      <c r="L1655">
        <v>10.46</v>
      </c>
      <c r="M1655">
        <v>62.72</v>
      </c>
      <c r="N1655">
        <v>0</v>
      </c>
      <c r="O1655">
        <v>6.23</v>
      </c>
      <c r="P1655" s="2" t="s">
        <v>42</v>
      </c>
      <c r="Q1655">
        <v>0</v>
      </c>
      <c r="R1655">
        <v>204.4</v>
      </c>
      <c r="S1655">
        <v>79.41</v>
      </c>
      <c r="T1655">
        <v>124.99</v>
      </c>
      <c r="U1655">
        <f t="shared" si="25"/>
        <v>0</v>
      </c>
    </row>
    <row r="1656" spans="1:21" x14ac:dyDescent="0.25">
      <c r="A1656" s="2" t="s">
        <v>2409</v>
      </c>
      <c r="B1656" s="2" t="s">
        <v>332</v>
      </c>
      <c r="C1656" s="1">
        <v>45938</v>
      </c>
      <c r="D1656" s="2" t="s">
        <v>38</v>
      </c>
      <c r="E1656" s="2" t="s">
        <v>55</v>
      </c>
      <c r="F1656" s="2" t="s">
        <v>85</v>
      </c>
      <c r="G1656">
        <v>1</v>
      </c>
      <c r="H1656" s="2" t="s">
        <v>74</v>
      </c>
      <c r="I1656">
        <v>9.48</v>
      </c>
      <c r="J1656">
        <v>15</v>
      </c>
      <c r="K1656">
        <v>1.42</v>
      </c>
      <c r="L1656">
        <v>13.1</v>
      </c>
      <c r="M1656">
        <v>3.49</v>
      </c>
      <c r="N1656">
        <v>0</v>
      </c>
      <c r="O1656">
        <v>0.53</v>
      </c>
      <c r="P1656" s="2" t="s">
        <v>42</v>
      </c>
      <c r="Q1656">
        <v>0</v>
      </c>
      <c r="R1656">
        <v>8.06</v>
      </c>
      <c r="S1656">
        <v>17.12</v>
      </c>
      <c r="T1656">
        <v>-9.06</v>
      </c>
      <c r="U1656">
        <f t="shared" si="25"/>
        <v>0</v>
      </c>
    </row>
    <row r="1657" spans="1:21" x14ac:dyDescent="0.25">
      <c r="A1657" s="2" t="s">
        <v>2410</v>
      </c>
      <c r="B1657" s="2" t="s">
        <v>143</v>
      </c>
      <c r="C1657" s="1">
        <v>45557</v>
      </c>
      <c r="D1657" s="2" t="s">
        <v>45</v>
      </c>
      <c r="E1657" s="2" t="s">
        <v>55</v>
      </c>
      <c r="F1657" s="2" t="s">
        <v>94</v>
      </c>
      <c r="G1657">
        <v>5</v>
      </c>
      <c r="H1657" s="2" t="s">
        <v>41</v>
      </c>
      <c r="I1657">
        <v>329.22</v>
      </c>
      <c r="J1657">
        <v>20</v>
      </c>
      <c r="K1657">
        <v>65.84</v>
      </c>
      <c r="L1657">
        <v>58.9</v>
      </c>
      <c r="M1657">
        <v>124.94</v>
      </c>
      <c r="N1657">
        <v>0</v>
      </c>
      <c r="O1657">
        <v>7.94</v>
      </c>
      <c r="P1657" s="2" t="s">
        <v>42</v>
      </c>
      <c r="Q1657">
        <v>0</v>
      </c>
      <c r="R1657">
        <v>263.38</v>
      </c>
      <c r="S1657">
        <v>191.78</v>
      </c>
      <c r="T1657">
        <v>71.599999999999994</v>
      </c>
      <c r="U1657">
        <f t="shared" si="25"/>
        <v>0</v>
      </c>
    </row>
    <row r="1658" spans="1:21" x14ac:dyDescent="0.25">
      <c r="A1658" s="2" t="s">
        <v>2411</v>
      </c>
      <c r="B1658" s="2" t="s">
        <v>223</v>
      </c>
      <c r="C1658" s="1">
        <v>45452</v>
      </c>
      <c r="D1658" s="2" t="s">
        <v>45</v>
      </c>
      <c r="E1658" s="2" t="s">
        <v>67</v>
      </c>
      <c r="F1658" s="2" t="s">
        <v>47</v>
      </c>
      <c r="G1658">
        <v>2</v>
      </c>
      <c r="H1658" s="2" t="s">
        <v>41</v>
      </c>
      <c r="I1658">
        <v>84.93</v>
      </c>
      <c r="J1658">
        <v>10</v>
      </c>
      <c r="K1658">
        <v>8.49</v>
      </c>
      <c r="L1658">
        <v>20.36</v>
      </c>
      <c r="M1658">
        <v>32.79</v>
      </c>
      <c r="N1658">
        <v>0</v>
      </c>
      <c r="O1658">
        <v>2.52</v>
      </c>
      <c r="P1658" s="2" t="s">
        <v>42</v>
      </c>
      <c r="Q1658">
        <v>0</v>
      </c>
      <c r="R1658">
        <v>76.44</v>
      </c>
      <c r="S1658">
        <v>55.67</v>
      </c>
      <c r="T1658">
        <v>20.77</v>
      </c>
      <c r="U1658">
        <f t="shared" si="25"/>
        <v>0</v>
      </c>
    </row>
    <row r="1659" spans="1:21" x14ac:dyDescent="0.25">
      <c r="A1659" s="2" t="s">
        <v>2412</v>
      </c>
      <c r="B1659" s="2" t="s">
        <v>186</v>
      </c>
      <c r="C1659" s="1">
        <v>45673</v>
      </c>
      <c r="D1659" s="2" t="s">
        <v>45</v>
      </c>
      <c r="E1659" s="2" t="s">
        <v>39</v>
      </c>
      <c r="F1659" s="2" t="s">
        <v>40</v>
      </c>
      <c r="G1659">
        <v>2</v>
      </c>
      <c r="H1659" s="2" t="s">
        <v>56</v>
      </c>
      <c r="I1659">
        <v>252.06</v>
      </c>
      <c r="J1659">
        <v>20</v>
      </c>
      <c r="K1659">
        <v>50.41</v>
      </c>
      <c r="L1659">
        <v>15.7</v>
      </c>
      <c r="M1659">
        <v>78.87</v>
      </c>
      <c r="N1659">
        <v>0</v>
      </c>
      <c r="O1659">
        <v>6.15</v>
      </c>
      <c r="P1659" s="2" t="s">
        <v>42</v>
      </c>
      <c r="Q1659">
        <v>0</v>
      </c>
      <c r="R1659">
        <v>201.65</v>
      </c>
      <c r="S1659">
        <v>100.72</v>
      </c>
      <c r="T1659">
        <v>100.93</v>
      </c>
      <c r="U1659">
        <f t="shared" si="25"/>
        <v>0</v>
      </c>
    </row>
    <row r="1660" spans="1:21" x14ac:dyDescent="0.25">
      <c r="A1660" s="2" t="s">
        <v>2413</v>
      </c>
      <c r="B1660" s="2" t="s">
        <v>1546</v>
      </c>
      <c r="C1660" s="1">
        <v>45808</v>
      </c>
      <c r="D1660" s="2" t="s">
        <v>59</v>
      </c>
      <c r="E1660" s="2" t="s">
        <v>67</v>
      </c>
      <c r="F1660" s="2" t="s">
        <v>85</v>
      </c>
      <c r="G1660">
        <v>2</v>
      </c>
      <c r="H1660" s="2" t="s">
        <v>56</v>
      </c>
      <c r="I1660">
        <v>295.8</v>
      </c>
      <c r="J1660">
        <v>0</v>
      </c>
      <c r="K1660">
        <v>0</v>
      </c>
      <c r="L1660">
        <v>16.82</v>
      </c>
      <c r="M1660">
        <v>94.45</v>
      </c>
      <c r="N1660">
        <v>44.37</v>
      </c>
      <c r="O1660">
        <v>8.8800000000000008</v>
      </c>
      <c r="P1660" s="2" t="s">
        <v>42</v>
      </c>
      <c r="Q1660">
        <v>0</v>
      </c>
      <c r="R1660">
        <v>295.8</v>
      </c>
      <c r="S1660">
        <v>164.52</v>
      </c>
      <c r="T1660">
        <v>131.28</v>
      </c>
      <c r="U1660">
        <f t="shared" si="25"/>
        <v>0</v>
      </c>
    </row>
    <row r="1661" spans="1:21" x14ac:dyDescent="0.25">
      <c r="A1661" s="2" t="s">
        <v>2414</v>
      </c>
      <c r="B1661" s="2" t="s">
        <v>934</v>
      </c>
      <c r="C1661" s="1">
        <v>45633</v>
      </c>
      <c r="D1661" s="2" t="s">
        <v>45</v>
      </c>
      <c r="E1661" s="2" t="s">
        <v>55</v>
      </c>
      <c r="F1661" s="2" t="s">
        <v>94</v>
      </c>
      <c r="G1661">
        <v>1</v>
      </c>
      <c r="H1661" s="2" t="s">
        <v>74</v>
      </c>
      <c r="I1661">
        <v>85.06</v>
      </c>
      <c r="J1661">
        <v>10</v>
      </c>
      <c r="K1661">
        <v>8.51</v>
      </c>
      <c r="L1661">
        <v>11.82</v>
      </c>
      <c r="M1661">
        <v>36.72</v>
      </c>
      <c r="N1661">
        <v>0</v>
      </c>
      <c r="O1661">
        <v>2.52</v>
      </c>
      <c r="P1661" s="2" t="s">
        <v>42</v>
      </c>
      <c r="Q1661">
        <v>0</v>
      </c>
      <c r="R1661">
        <v>76.55</v>
      </c>
      <c r="S1661">
        <v>51.06</v>
      </c>
      <c r="T1661">
        <v>25.49</v>
      </c>
      <c r="U1661">
        <f t="shared" si="25"/>
        <v>0</v>
      </c>
    </row>
    <row r="1662" spans="1:21" x14ac:dyDescent="0.25">
      <c r="A1662" s="2" t="s">
        <v>2415</v>
      </c>
      <c r="B1662" s="2" t="s">
        <v>2008</v>
      </c>
      <c r="C1662" s="1">
        <v>45886</v>
      </c>
      <c r="D1662" s="2" t="s">
        <v>38</v>
      </c>
      <c r="E1662" s="2" t="s">
        <v>71</v>
      </c>
      <c r="F1662" s="2" t="s">
        <v>85</v>
      </c>
      <c r="G1662">
        <v>2</v>
      </c>
      <c r="H1662" s="2" t="s">
        <v>41</v>
      </c>
      <c r="I1662">
        <v>194.84</v>
      </c>
      <c r="J1662">
        <v>0</v>
      </c>
      <c r="K1662">
        <v>0</v>
      </c>
      <c r="L1662">
        <v>13.96</v>
      </c>
      <c r="M1662">
        <v>63.39</v>
      </c>
      <c r="N1662">
        <v>0</v>
      </c>
      <c r="O1662">
        <v>5.95</v>
      </c>
      <c r="P1662" s="2" t="s">
        <v>42</v>
      </c>
      <c r="Q1662">
        <v>0</v>
      </c>
      <c r="R1662">
        <v>194.84</v>
      </c>
      <c r="S1662">
        <v>83.3</v>
      </c>
      <c r="T1662">
        <v>111.54</v>
      </c>
      <c r="U1662">
        <f t="shared" si="25"/>
        <v>0</v>
      </c>
    </row>
    <row r="1663" spans="1:21" x14ac:dyDescent="0.25">
      <c r="A1663" s="2" t="s">
        <v>2416</v>
      </c>
      <c r="B1663" s="2" t="s">
        <v>1445</v>
      </c>
      <c r="C1663" s="1">
        <v>45421</v>
      </c>
      <c r="D1663" s="2" t="s">
        <v>59</v>
      </c>
      <c r="E1663" s="2" t="s">
        <v>46</v>
      </c>
      <c r="F1663" s="2" t="s">
        <v>94</v>
      </c>
      <c r="G1663">
        <v>3</v>
      </c>
      <c r="H1663" s="2" t="s">
        <v>52</v>
      </c>
      <c r="I1663">
        <v>101.81</v>
      </c>
      <c r="J1663">
        <v>25</v>
      </c>
      <c r="K1663">
        <v>25.45</v>
      </c>
      <c r="L1663">
        <v>40.4</v>
      </c>
      <c r="M1663">
        <v>51.51</v>
      </c>
      <c r="N1663">
        <v>11.45</v>
      </c>
      <c r="O1663">
        <v>2.5099999999999998</v>
      </c>
      <c r="P1663" s="2" t="s">
        <v>42</v>
      </c>
      <c r="Q1663">
        <v>0</v>
      </c>
      <c r="R1663">
        <v>76.36</v>
      </c>
      <c r="S1663">
        <v>105.87</v>
      </c>
      <c r="T1663">
        <v>-29.51</v>
      </c>
      <c r="U1663">
        <f t="shared" si="25"/>
        <v>0</v>
      </c>
    </row>
    <row r="1664" spans="1:21" x14ac:dyDescent="0.25">
      <c r="A1664" s="2" t="s">
        <v>2417</v>
      </c>
      <c r="B1664" s="2" t="s">
        <v>1468</v>
      </c>
      <c r="C1664" s="1">
        <v>45892</v>
      </c>
      <c r="D1664" s="2" t="s">
        <v>45</v>
      </c>
      <c r="E1664" s="2" t="s">
        <v>46</v>
      </c>
      <c r="F1664" s="2" t="s">
        <v>51</v>
      </c>
      <c r="G1664">
        <v>1</v>
      </c>
      <c r="H1664" s="2" t="s">
        <v>64</v>
      </c>
      <c r="I1664">
        <v>86.75</v>
      </c>
      <c r="J1664">
        <v>5</v>
      </c>
      <c r="K1664">
        <v>4.34</v>
      </c>
      <c r="L1664">
        <v>12.94</v>
      </c>
      <c r="M1664">
        <v>26.86</v>
      </c>
      <c r="N1664">
        <v>0</v>
      </c>
      <c r="O1664">
        <v>2.69</v>
      </c>
      <c r="P1664" s="2" t="s">
        <v>68</v>
      </c>
      <c r="Q1664">
        <v>82.41</v>
      </c>
      <c r="R1664">
        <v>0</v>
      </c>
      <c r="S1664">
        <v>42.49</v>
      </c>
      <c r="T1664">
        <v>-42.49</v>
      </c>
      <c r="U1664">
        <f t="shared" si="25"/>
        <v>0</v>
      </c>
    </row>
    <row r="1665" spans="1:21" x14ac:dyDescent="0.25">
      <c r="A1665" s="2" t="s">
        <v>2418</v>
      </c>
      <c r="B1665" s="2" t="s">
        <v>293</v>
      </c>
      <c r="C1665" s="1">
        <v>45673</v>
      </c>
      <c r="D1665" s="2" t="s">
        <v>59</v>
      </c>
      <c r="E1665" s="2" t="s">
        <v>46</v>
      </c>
      <c r="F1665" s="2" t="s">
        <v>85</v>
      </c>
      <c r="G1665">
        <v>5</v>
      </c>
      <c r="H1665" s="2" t="s">
        <v>41</v>
      </c>
      <c r="I1665">
        <v>460.11</v>
      </c>
      <c r="J1665">
        <v>0</v>
      </c>
      <c r="K1665">
        <v>0</v>
      </c>
      <c r="L1665">
        <v>73.92</v>
      </c>
      <c r="M1665">
        <v>158.44</v>
      </c>
      <c r="N1665">
        <v>69.02</v>
      </c>
      <c r="O1665">
        <v>13.64</v>
      </c>
      <c r="P1665" s="2" t="s">
        <v>42</v>
      </c>
      <c r="Q1665">
        <v>0</v>
      </c>
      <c r="R1665">
        <v>460.11</v>
      </c>
      <c r="S1665">
        <v>315.02</v>
      </c>
      <c r="T1665">
        <v>145.09</v>
      </c>
      <c r="U1665">
        <f t="shared" si="25"/>
        <v>0</v>
      </c>
    </row>
    <row r="1666" spans="1:21" x14ac:dyDescent="0.25">
      <c r="A1666" s="2" t="s">
        <v>2419</v>
      </c>
      <c r="B1666" s="2" t="s">
        <v>526</v>
      </c>
      <c r="C1666" s="1">
        <v>45553</v>
      </c>
      <c r="D1666" s="2" t="s">
        <v>38</v>
      </c>
      <c r="E1666" s="2" t="s">
        <v>46</v>
      </c>
      <c r="F1666" s="2" t="s">
        <v>94</v>
      </c>
      <c r="G1666">
        <v>1</v>
      </c>
      <c r="H1666" s="2" t="s">
        <v>52</v>
      </c>
      <c r="I1666">
        <v>63.63</v>
      </c>
      <c r="J1666">
        <v>15</v>
      </c>
      <c r="K1666">
        <v>9.5399999999999991</v>
      </c>
      <c r="L1666">
        <v>8.3800000000000008</v>
      </c>
      <c r="M1666">
        <v>31.76</v>
      </c>
      <c r="N1666">
        <v>0</v>
      </c>
      <c r="O1666">
        <v>1.87</v>
      </c>
      <c r="P1666" s="2" t="s">
        <v>42</v>
      </c>
      <c r="Q1666">
        <v>0</v>
      </c>
      <c r="R1666">
        <v>54.09</v>
      </c>
      <c r="S1666">
        <v>42.01</v>
      </c>
      <c r="T1666">
        <v>12.08</v>
      </c>
      <c r="U1666">
        <f t="shared" si="25"/>
        <v>1</v>
      </c>
    </row>
    <row r="1667" spans="1:21" x14ac:dyDescent="0.25">
      <c r="A1667" s="2" t="s">
        <v>2420</v>
      </c>
      <c r="B1667" s="2" t="s">
        <v>1395</v>
      </c>
      <c r="C1667" s="1">
        <v>45872</v>
      </c>
      <c r="D1667" s="2" t="s">
        <v>38</v>
      </c>
      <c r="E1667" s="2" t="s">
        <v>71</v>
      </c>
      <c r="F1667" s="2" t="s">
        <v>40</v>
      </c>
      <c r="G1667">
        <v>1</v>
      </c>
      <c r="H1667" s="2" t="s">
        <v>56</v>
      </c>
      <c r="I1667">
        <v>27.71</v>
      </c>
      <c r="J1667">
        <v>10</v>
      </c>
      <c r="K1667">
        <v>2.77</v>
      </c>
      <c r="L1667">
        <v>12.94</v>
      </c>
      <c r="M1667">
        <v>11.44</v>
      </c>
      <c r="N1667">
        <v>0</v>
      </c>
      <c r="O1667">
        <v>1.02</v>
      </c>
      <c r="P1667" s="2" t="s">
        <v>42</v>
      </c>
      <c r="Q1667">
        <v>0</v>
      </c>
      <c r="R1667">
        <v>24.94</v>
      </c>
      <c r="S1667">
        <v>25.4</v>
      </c>
      <c r="T1667">
        <v>-0.46</v>
      </c>
      <c r="U1667">
        <f t="shared" si="25"/>
        <v>0</v>
      </c>
    </row>
    <row r="1668" spans="1:21" x14ac:dyDescent="0.25">
      <c r="A1668" s="2" t="s">
        <v>2421</v>
      </c>
      <c r="B1668" s="2" t="s">
        <v>1473</v>
      </c>
      <c r="C1668" s="1">
        <v>45422</v>
      </c>
      <c r="D1668" s="2" t="s">
        <v>45</v>
      </c>
      <c r="E1668" s="2" t="s">
        <v>55</v>
      </c>
      <c r="F1668" s="2" t="s">
        <v>47</v>
      </c>
      <c r="G1668">
        <v>2</v>
      </c>
      <c r="H1668" s="2" t="s">
        <v>64</v>
      </c>
      <c r="I1668">
        <v>218.96</v>
      </c>
      <c r="J1668">
        <v>15</v>
      </c>
      <c r="K1668">
        <v>32.840000000000003</v>
      </c>
      <c r="L1668">
        <v>42.96</v>
      </c>
      <c r="M1668">
        <v>97.82</v>
      </c>
      <c r="N1668">
        <v>0</v>
      </c>
      <c r="O1668">
        <v>5.7</v>
      </c>
      <c r="P1668" s="2" t="s">
        <v>42</v>
      </c>
      <c r="Q1668">
        <v>0</v>
      </c>
      <c r="R1668">
        <v>186.12</v>
      </c>
      <c r="S1668">
        <v>146.47999999999999</v>
      </c>
      <c r="T1668">
        <v>39.64</v>
      </c>
      <c r="U1668">
        <f t="shared" si="25"/>
        <v>0</v>
      </c>
    </row>
    <row r="1669" spans="1:21" x14ac:dyDescent="0.25">
      <c r="A1669" s="2" t="s">
        <v>2422</v>
      </c>
      <c r="B1669" s="2" t="s">
        <v>50</v>
      </c>
      <c r="C1669" s="1">
        <v>45731</v>
      </c>
      <c r="D1669" s="2" t="s">
        <v>45</v>
      </c>
      <c r="E1669" s="2" t="s">
        <v>67</v>
      </c>
      <c r="F1669" s="2" t="s">
        <v>94</v>
      </c>
      <c r="G1669">
        <v>5</v>
      </c>
      <c r="H1669" s="2" t="s">
        <v>41</v>
      </c>
      <c r="I1669">
        <v>337.11</v>
      </c>
      <c r="J1669">
        <v>10</v>
      </c>
      <c r="K1669">
        <v>33.71</v>
      </c>
      <c r="L1669">
        <v>61.72</v>
      </c>
      <c r="M1669">
        <v>152.63999999999999</v>
      </c>
      <c r="N1669">
        <v>0</v>
      </c>
      <c r="O1669">
        <v>9.1</v>
      </c>
      <c r="P1669" s="2" t="s">
        <v>42</v>
      </c>
      <c r="Q1669">
        <v>0</v>
      </c>
      <c r="R1669">
        <v>303.39999999999998</v>
      </c>
      <c r="S1669">
        <v>223.46</v>
      </c>
      <c r="T1669">
        <v>79.94</v>
      </c>
      <c r="U1669">
        <f t="shared" ref="U1669:U1732" si="26">IF(P1667="Yes", 1, 0)</f>
        <v>0</v>
      </c>
    </row>
    <row r="1670" spans="1:21" x14ac:dyDescent="0.25">
      <c r="A1670" s="2" t="s">
        <v>2423</v>
      </c>
      <c r="B1670" s="2" t="s">
        <v>2324</v>
      </c>
      <c r="C1670" s="1">
        <v>45358</v>
      </c>
      <c r="D1670" s="2" t="s">
        <v>59</v>
      </c>
      <c r="E1670" s="2" t="s">
        <v>71</v>
      </c>
      <c r="F1670" s="2" t="s">
        <v>94</v>
      </c>
      <c r="G1670">
        <v>1</v>
      </c>
      <c r="H1670" s="2" t="s">
        <v>56</v>
      </c>
      <c r="I1670">
        <v>19.260000000000002</v>
      </c>
      <c r="J1670">
        <v>5</v>
      </c>
      <c r="K1670">
        <v>0.96</v>
      </c>
      <c r="L1670">
        <v>5.26</v>
      </c>
      <c r="M1670">
        <v>7.33</v>
      </c>
      <c r="N1670">
        <v>2.75</v>
      </c>
      <c r="O1670">
        <v>0.83</v>
      </c>
      <c r="P1670" s="2" t="s">
        <v>42</v>
      </c>
      <c r="Q1670">
        <v>0</v>
      </c>
      <c r="R1670">
        <v>18.3</v>
      </c>
      <c r="S1670">
        <v>16.170000000000002</v>
      </c>
      <c r="T1670">
        <v>2.13</v>
      </c>
      <c r="U1670">
        <f t="shared" si="26"/>
        <v>0</v>
      </c>
    </row>
    <row r="1671" spans="1:21" x14ac:dyDescent="0.25">
      <c r="A1671" s="2" t="s">
        <v>2424</v>
      </c>
      <c r="B1671" s="2" t="s">
        <v>359</v>
      </c>
      <c r="C1671" s="1">
        <v>45587</v>
      </c>
      <c r="D1671" s="2" t="s">
        <v>45</v>
      </c>
      <c r="E1671" s="2" t="s">
        <v>46</v>
      </c>
      <c r="F1671" s="2" t="s">
        <v>40</v>
      </c>
      <c r="G1671">
        <v>2</v>
      </c>
      <c r="H1671" s="2" t="s">
        <v>77</v>
      </c>
      <c r="I1671">
        <v>53.2</v>
      </c>
      <c r="J1671">
        <v>15</v>
      </c>
      <c r="K1671">
        <v>7.98</v>
      </c>
      <c r="L1671">
        <v>12.92</v>
      </c>
      <c r="M1671">
        <v>19.73</v>
      </c>
      <c r="N1671">
        <v>0</v>
      </c>
      <c r="O1671">
        <v>1.61</v>
      </c>
      <c r="P1671" s="2" t="s">
        <v>42</v>
      </c>
      <c r="Q1671">
        <v>0</v>
      </c>
      <c r="R1671">
        <v>45.22</v>
      </c>
      <c r="S1671">
        <v>34.26</v>
      </c>
      <c r="T1671">
        <v>10.96</v>
      </c>
      <c r="U1671">
        <f t="shared" si="26"/>
        <v>0</v>
      </c>
    </row>
    <row r="1672" spans="1:21" x14ac:dyDescent="0.25">
      <c r="A1672" s="2" t="s">
        <v>2425</v>
      </c>
      <c r="B1672" s="2" t="s">
        <v>425</v>
      </c>
      <c r="C1672" s="1">
        <v>45703</v>
      </c>
      <c r="D1672" s="2" t="s">
        <v>59</v>
      </c>
      <c r="E1672" s="2" t="s">
        <v>46</v>
      </c>
      <c r="F1672" s="2" t="s">
        <v>51</v>
      </c>
      <c r="G1672">
        <v>2</v>
      </c>
      <c r="H1672" s="2" t="s">
        <v>52</v>
      </c>
      <c r="I1672">
        <v>260.83</v>
      </c>
      <c r="J1672">
        <v>0</v>
      </c>
      <c r="K1672">
        <v>0</v>
      </c>
      <c r="L1672">
        <v>44.24</v>
      </c>
      <c r="M1672">
        <v>120.01</v>
      </c>
      <c r="N1672">
        <v>39.119999999999997</v>
      </c>
      <c r="O1672">
        <v>7.86</v>
      </c>
      <c r="P1672" s="2" t="s">
        <v>42</v>
      </c>
      <c r="Q1672">
        <v>0</v>
      </c>
      <c r="R1672">
        <v>260.83</v>
      </c>
      <c r="S1672">
        <v>211.23</v>
      </c>
      <c r="T1672">
        <v>49.6</v>
      </c>
      <c r="U1672">
        <f t="shared" si="26"/>
        <v>0</v>
      </c>
    </row>
    <row r="1673" spans="1:21" x14ac:dyDescent="0.25">
      <c r="A1673" s="2" t="s">
        <v>2426</v>
      </c>
      <c r="B1673" s="2" t="s">
        <v>1288</v>
      </c>
      <c r="C1673" s="1">
        <v>45537</v>
      </c>
      <c r="D1673" s="2" t="s">
        <v>59</v>
      </c>
      <c r="E1673" s="2" t="s">
        <v>71</v>
      </c>
      <c r="F1673" s="2" t="s">
        <v>47</v>
      </c>
      <c r="G1673">
        <v>1</v>
      </c>
      <c r="H1673" s="2" t="s">
        <v>56</v>
      </c>
      <c r="I1673">
        <v>19.260000000000002</v>
      </c>
      <c r="J1673">
        <v>15</v>
      </c>
      <c r="K1673">
        <v>2.89</v>
      </c>
      <c r="L1673">
        <v>5.26</v>
      </c>
      <c r="M1673">
        <v>7.33</v>
      </c>
      <c r="N1673">
        <v>2.46</v>
      </c>
      <c r="O1673">
        <v>0.77</v>
      </c>
      <c r="P1673" s="2" t="s">
        <v>42</v>
      </c>
      <c r="Q1673">
        <v>0</v>
      </c>
      <c r="R1673">
        <v>16.37</v>
      </c>
      <c r="S1673">
        <v>15.82</v>
      </c>
      <c r="T1673">
        <v>0.55000000000000004</v>
      </c>
      <c r="U1673">
        <f t="shared" si="26"/>
        <v>0</v>
      </c>
    </row>
    <row r="1674" spans="1:21" x14ac:dyDescent="0.25">
      <c r="A1674" s="2" t="s">
        <v>2427</v>
      </c>
      <c r="B1674" s="2" t="s">
        <v>203</v>
      </c>
      <c r="C1674" s="1">
        <v>45867</v>
      </c>
      <c r="D1674" s="2" t="s">
        <v>59</v>
      </c>
      <c r="E1674" s="2" t="s">
        <v>46</v>
      </c>
      <c r="F1674" s="2" t="s">
        <v>40</v>
      </c>
      <c r="G1674">
        <v>2</v>
      </c>
      <c r="H1674" s="2" t="s">
        <v>56</v>
      </c>
      <c r="I1674">
        <v>74.41</v>
      </c>
      <c r="J1674">
        <v>10</v>
      </c>
      <c r="K1674">
        <v>7.44</v>
      </c>
      <c r="L1674">
        <v>15.48</v>
      </c>
      <c r="M1674">
        <v>49.75</v>
      </c>
      <c r="N1674">
        <v>10.050000000000001</v>
      </c>
      <c r="O1674">
        <v>2.2400000000000002</v>
      </c>
      <c r="P1674" s="2" t="s">
        <v>42</v>
      </c>
      <c r="Q1674">
        <v>0</v>
      </c>
      <c r="R1674">
        <v>66.97</v>
      </c>
      <c r="S1674">
        <v>77.52</v>
      </c>
      <c r="T1674">
        <v>-10.55</v>
      </c>
      <c r="U1674">
        <f t="shared" si="26"/>
        <v>0</v>
      </c>
    </row>
    <row r="1675" spans="1:21" x14ac:dyDescent="0.25">
      <c r="A1675" s="2" t="s">
        <v>2428</v>
      </c>
      <c r="B1675" s="2" t="s">
        <v>437</v>
      </c>
      <c r="C1675" s="1">
        <v>45571</v>
      </c>
      <c r="D1675" s="2" t="s">
        <v>38</v>
      </c>
      <c r="E1675" s="2" t="s">
        <v>71</v>
      </c>
      <c r="F1675" s="2" t="s">
        <v>47</v>
      </c>
      <c r="G1675">
        <v>2</v>
      </c>
      <c r="H1675" s="2" t="s">
        <v>41</v>
      </c>
      <c r="I1675">
        <v>95.12</v>
      </c>
      <c r="J1675">
        <v>5</v>
      </c>
      <c r="K1675">
        <v>4.76</v>
      </c>
      <c r="L1675">
        <v>36.340000000000003</v>
      </c>
      <c r="M1675">
        <v>51.28</v>
      </c>
      <c r="N1675">
        <v>0</v>
      </c>
      <c r="O1675">
        <v>2.92</v>
      </c>
      <c r="P1675" s="2" t="s">
        <v>42</v>
      </c>
      <c r="Q1675">
        <v>0</v>
      </c>
      <c r="R1675">
        <v>90.36</v>
      </c>
      <c r="S1675">
        <v>90.54</v>
      </c>
      <c r="T1675">
        <v>-0.18</v>
      </c>
      <c r="U1675">
        <f t="shared" si="26"/>
        <v>0</v>
      </c>
    </row>
    <row r="1676" spans="1:21" x14ac:dyDescent="0.25">
      <c r="A1676" s="2" t="s">
        <v>2429</v>
      </c>
      <c r="B1676" s="2" t="s">
        <v>2430</v>
      </c>
      <c r="C1676" s="1">
        <v>45927</v>
      </c>
      <c r="D1676" s="2" t="s">
        <v>45</v>
      </c>
      <c r="E1676" s="2" t="s">
        <v>67</v>
      </c>
      <c r="F1676" s="2" t="s">
        <v>47</v>
      </c>
      <c r="G1676">
        <v>1</v>
      </c>
      <c r="H1676" s="2" t="s">
        <v>52</v>
      </c>
      <c r="I1676">
        <v>72.56</v>
      </c>
      <c r="J1676">
        <v>10</v>
      </c>
      <c r="K1676">
        <v>7.26</v>
      </c>
      <c r="L1676">
        <v>8.6999999999999993</v>
      </c>
      <c r="M1676">
        <v>35.81</v>
      </c>
      <c r="N1676">
        <v>0</v>
      </c>
      <c r="O1676">
        <v>2.19</v>
      </c>
      <c r="P1676" s="2" t="s">
        <v>42</v>
      </c>
      <c r="Q1676">
        <v>0</v>
      </c>
      <c r="R1676">
        <v>65.3</v>
      </c>
      <c r="S1676">
        <v>46.7</v>
      </c>
      <c r="T1676">
        <v>18.600000000000001</v>
      </c>
      <c r="U1676">
        <f t="shared" si="26"/>
        <v>0</v>
      </c>
    </row>
    <row r="1677" spans="1:21" x14ac:dyDescent="0.25">
      <c r="A1677" s="2" t="s">
        <v>2431</v>
      </c>
      <c r="B1677" s="2" t="s">
        <v>2432</v>
      </c>
      <c r="C1677" s="1">
        <v>45826</v>
      </c>
      <c r="D1677" s="2" t="s">
        <v>45</v>
      </c>
      <c r="E1677" s="2" t="s">
        <v>55</v>
      </c>
      <c r="F1677" s="2" t="s">
        <v>40</v>
      </c>
      <c r="G1677">
        <v>1</v>
      </c>
      <c r="H1677" s="2" t="s">
        <v>111</v>
      </c>
      <c r="I1677">
        <v>57.08</v>
      </c>
      <c r="J1677">
        <v>15</v>
      </c>
      <c r="K1677">
        <v>8.56</v>
      </c>
      <c r="L1677">
        <v>11.26</v>
      </c>
      <c r="M1677">
        <v>26.65</v>
      </c>
      <c r="N1677">
        <v>0</v>
      </c>
      <c r="O1677">
        <v>1.71</v>
      </c>
      <c r="P1677" s="2" t="s">
        <v>42</v>
      </c>
      <c r="Q1677">
        <v>0</v>
      </c>
      <c r="R1677">
        <v>48.52</v>
      </c>
      <c r="S1677">
        <v>39.619999999999997</v>
      </c>
      <c r="T1677">
        <v>8.9</v>
      </c>
      <c r="U1677">
        <f t="shared" si="26"/>
        <v>0</v>
      </c>
    </row>
    <row r="1678" spans="1:21" x14ac:dyDescent="0.25">
      <c r="A1678" s="2" t="s">
        <v>2433</v>
      </c>
      <c r="B1678" s="2" t="s">
        <v>2434</v>
      </c>
      <c r="C1678" s="1">
        <v>45703</v>
      </c>
      <c r="D1678" s="2" t="s">
        <v>38</v>
      </c>
      <c r="E1678" s="2" t="s">
        <v>46</v>
      </c>
      <c r="F1678" s="2" t="s">
        <v>40</v>
      </c>
      <c r="G1678">
        <v>2</v>
      </c>
      <c r="H1678" s="2" t="s">
        <v>74</v>
      </c>
      <c r="I1678">
        <v>121.56</v>
      </c>
      <c r="J1678">
        <v>10</v>
      </c>
      <c r="K1678">
        <v>12.16</v>
      </c>
      <c r="L1678">
        <v>33.22</v>
      </c>
      <c r="M1678">
        <v>64.819999999999993</v>
      </c>
      <c r="N1678">
        <v>0</v>
      </c>
      <c r="O1678">
        <v>3.47</v>
      </c>
      <c r="P1678" s="2" t="s">
        <v>42</v>
      </c>
      <c r="Q1678">
        <v>0</v>
      </c>
      <c r="R1678">
        <v>109.4</v>
      </c>
      <c r="S1678">
        <v>101.51</v>
      </c>
      <c r="T1678">
        <v>7.89</v>
      </c>
      <c r="U1678">
        <f t="shared" si="26"/>
        <v>0</v>
      </c>
    </row>
    <row r="1679" spans="1:21" x14ac:dyDescent="0.25">
      <c r="A1679" s="2" t="s">
        <v>2435</v>
      </c>
      <c r="B1679" s="2" t="s">
        <v>172</v>
      </c>
      <c r="C1679" s="1">
        <v>45691</v>
      </c>
      <c r="D1679" s="2" t="s">
        <v>59</v>
      </c>
      <c r="E1679" s="2" t="s">
        <v>71</v>
      </c>
      <c r="F1679" s="2" t="s">
        <v>40</v>
      </c>
      <c r="G1679">
        <v>4</v>
      </c>
      <c r="H1679" s="2" t="s">
        <v>64</v>
      </c>
      <c r="I1679">
        <v>137.29</v>
      </c>
      <c r="J1679">
        <v>0</v>
      </c>
      <c r="K1679">
        <v>0</v>
      </c>
      <c r="L1679">
        <v>77.78</v>
      </c>
      <c r="M1679">
        <v>56.8</v>
      </c>
      <c r="N1679">
        <v>20.59</v>
      </c>
      <c r="O1679">
        <v>4.28</v>
      </c>
      <c r="P1679" s="2" t="s">
        <v>42</v>
      </c>
      <c r="Q1679">
        <v>0</v>
      </c>
      <c r="R1679">
        <v>137.29</v>
      </c>
      <c r="S1679">
        <v>159.44999999999999</v>
      </c>
      <c r="T1679">
        <v>-22.16</v>
      </c>
      <c r="U1679">
        <f t="shared" si="26"/>
        <v>0</v>
      </c>
    </row>
    <row r="1680" spans="1:21" x14ac:dyDescent="0.25">
      <c r="A1680" s="2" t="s">
        <v>2436</v>
      </c>
      <c r="B1680" s="2" t="s">
        <v>1674</v>
      </c>
      <c r="C1680" s="1">
        <v>45789</v>
      </c>
      <c r="D1680" s="2" t="s">
        <v>38</v>
      </c>
      <c r="E1680" s="2" t="s">
        <v>39</v>
      </c>
      <c r="F1680" s="2" t="s">
        <v>85</v>
      </c>
      <c r="G1680">
        <v>1</v>
      </c>
      <c r="H1680" s="2" t="s">
        <v>74</v>
      </c>
      <c r="I1680">
        <v>129.80000000000001</v>
      </c>
      <c r="J1680">
        <v>5</v>
      </c>
      <c r="K1680">
        <v>6.49</v>
      </c>
      <c r="L1680">
        <v>3.82</v>
      </c>
      <c r="M1680">
        <v>38.64</v>
      </c>
      <c r="N1680">
        <v>0</v>
      </c>
      <c r="O1680">
        <v>3.88</v>
      </c>
      <c r="P1680" s="2" t="s">
        <v>42</v>
      </c>
      <c r="Q1680">
        <v>0</v>
      </c>
      <c r="R1680">
        <v>123.31</v>
      </c>
      <c r="S1680">
        <v>46.34</v>
      </c>
      <c r="T1680">
        <v>76.97</v>
      </c>
      <c r="U1680">
        <f t="shared" si="26"/>
        <v>0</v>
      </c>
    </row>
    <row r="1681" spans="1:21" x14ac:dyDescent="0.25">
      <c r="A1681" s="2" t="s">
        <v>2437</v>
      </c>
      <c r="B1681" s="2" t="s">
        <v>1560</v>
      </c>
      <c r="C1681" s="1">
        <v>45854</v>
      </c>
      <c r="D1681" s="2" t="s">
        <v>38</v>
      </c>
      <c r="E1681" s="2" t="s">
        <v>39</v>
      </c>
      <c r="F1681" s="2" t="s">
        <v>94</v>
      </c>
      <c r="G1681">
        <v>2</v>
      </c>
      <c r="H1681" s="2" t="s">
        <v>56</v>
      </c>
      <c r="I1681">
        <v>66.290000000000006</v>
      </c>
      <c r="J1681">
        <v>0</v>
      </c>
      <c r="K1681">
        <v>0</v>
      </c>
      <c r="L1681">
        <v>16.68</v>
      </c>
      <c r="M1681">
        <v>33.299999999999997</v>
      </c>
      <c r="N1681">
        <v>0</v>
      </c>
      <c r="O1681">
        <v>2.2200000000000002</v>
      </c>
      <c r="P1681" s="2" t="s">
        <v>42</v>
      </c>
      <c r="Q1681">
        <v>0</v>
      </c>
      <c r="R1681">
        <v>66.290000000000006</v>
      </c>
      <c r="S1681">
        <v>52.2</v>
      </c>
      <c r="T1681">
        <v>14.09</v>
      </c>
      <c r="U1681">
        <f t="shared" si="26"/>
        <v>0</v>
      </c>
    </row>
    <row r="1682" spans="1:21" x14ac:dyDescent="0.25">
      <c r="A1682" s="2" t="s">
        <v>2438</v>
      </c>
      <c r="B1682" s="2" t="s">
        <v>431</v>
      </c>
      <c r="C1682" s="1">
        <v>45777</v>
      </c>
      <c r="D1682" s="2" t="s">
        <v>59</v>
      </c>
      <c r="E1682" s="2" t="s">
        <v>46</v>
      </c>
      <c r="F1682" s="2" t="s">
        <v>40</v>
      </c>
      <c r="G1682">
        <v>3</v>
      </c>
      <c r="H1682" s="2" t="s">
        <v>77</v>
      </c>
      <c r="I1682">
        <v>217.33</v>
      </c>
      <c r="J1682">
        <v>0</v>
      </c>
      <c r="K1682">
        <v>0</v>
      </c>
      <c r="L1682">
        <v>31.22</v>
      </c>
      <c r="M1682">
        <v>70.03</v>
      </c>
      <c r="N1682">
        <v>32.6</v>
      </c>
      <c r="O1682">
        <v>6.6</v>
      </c>
      <c r="P1682" s="2" t="s">
        <v>42</v>
      </c>
      <c r="Q1682">
        <v>0</v>
      </c>
      <c r="R1682">
        <v>217.33</v>
      </c>
      <c r="S1682">
        <v>140.44999999999999</v>
      </c>
      <c r="T1682">
        <v>76.88</v>
      </c>
      <c r="U1682">
        <f t="shared" si="26"/>
        <v>0</v>
      </c>
    </row>
    <row r="1683" spans="1:21" x14ac:dyDescent="0.25">
      <c r="A1683" s="2" t="s">
        <v>2439</v>
      </c>
      <c r="B1683" s="2" t="s">
        <v>1982</v>
      </c>
      <c r="C1683" s="1">
        <v>46018</v>
      </c>
      <c r="D1683" s="2" t="s">
        <v>38</v>
      </c>
      <c r="E1683" s="2" t="s">
        <v>71</v>
      </c>
      <c r="F1683" s="2" t="s">
        <v>47</v>
      </c>
      <c r="G1683">
        <v>1</v>
      </c>
      <c r="H1683" s="2" t="s">
        <v>64</v>
      </c>
      <c r="I1683">
        <v>13.66</v>
      </c>
      <c r="J1683">
        <v>0</v>
      </c>
      <c r="K1683">
        <v>0</v>
      </c>
      <c r="L1683">
        <v>10.62</v>
      </c>
      <c r="M1683">
        <v>4.6900000000000004</v>
      </c>
      <c r="N1683">
        <v>0</v>
      </c>
      <c r="O1683">
        <v>0.7</v>
      </c>
      <c r="P1683" s="2" t="s">
        <v>42</v>
      </c>
      <c r="Q1683">
        <v>0</v>
      </c>
      <c r="R1683">
        <v>13.66</v>
      </c>
      <c r="S1683">
        <v>16.010000000000002</v>
      </c>
      <c r="T1683">
        <v>-2.35</v>
      </c>
      <c r="U1683">
        <f t="shared" si="26"/>
        <v>0</v>
      </c>
    </row>
    <row r="1684" spans="1:21" x14ac:dyDescent="0.25">
      <c r="A1684" s="2" t="s">
        <v>2440</v>
      </c>
      <c r="B1684" s="2" t="s">
        <v>1884</v>
      </c>
      <c r="C1684" s="1">
        <v>45948</v>
      </c>
      <c r="D1684" s="2" t="s">
        <v>45</v>
      </c>
      <c r="E1684" s="2" t="s">
        <v>71</v>
      </c>
      <c r="F1684" s="2" t="s">
        <v>47</v>
      </c>
      <c r="G1684">
        <v>3</v>
      </c>
      <c r="H1684" s="2" t="s">
        <v>64</v>
      </c>
      <c r="I1684">
        <v>154.01</v>
      </c>
      <c r="J1684">
        <v>0</v>
      </c>
      <c r="K1684">
        <v>0</v>
      </c>
      <c r="L1684">
        <v>27.94</v>
      </c>
      <c r="M1684">
        <v>80.78</v>
      </c>
      <c r="N1684">
        <v>0</v>
      </c>
      <c r="O1684">
        <v>4.7699999999999996</v>
      </c>
      <c r="P1684" s="2" t="s">
        <v>42</v>
      </c>
      <c r="Q1684">
        <v>0</v>
      </c>
      <c r="R1684">
        <v>154.01</v>
      </c>
      <c r="S1684">
        <v>113.49</v>
      </c>
      <c r="T1684">
        <v>40.520000000000003</v>
      </c>
      <c r="U1684">
        <f t="shared" si="26"/>
        <v>0</v>
      </c>
    </row>
    <row r="1685" spans="1:21" x14ac:dyDescent="0.25">
      <c r="A1685" s="2" t="s">
        <v>2441</v>
      </c>
      <c r="B1685" s="2" t="s">
        <v>954</v>
      </c>
      <c r="C1685" s="1">
        <v>46007</v>
      </c>
      <c r="D1685" s="2" t="s">
        <v>38</v>
      </c>
      <c r="E1685" s="2" t="s">
        <v>46</v>
      </c>
      <c r="F1685" s="2" t="s">
        <v>85</v>
      </c>
      <c r="G1685">
        <v>1</v>
      </c>
      <c r="H1685" s="2" t="s">
        <v>111</v>
      </c>
      <c r="I1685">
        <v>215.49</v>
      </c>
      <c r="J1685">
        <v>0</v>
      </c>
      <c r="K1685">
        <v>0</v>
      </c>
      <c r="L1685">
        <v>30.42</v>
      </c>
      <c r="M1685">
        <v>142.68</v>
      </c>
      <c r="N1685">
        <v>0</v>
      </c>
      <c r="O1685">
        <v>6.55</v>
      </c>
      <c r="P1685" s="2" t="s">
        <v>42</v>
      </c>
      <c r="Q1685">
        <v>0</v>
      </c>
      <c r="R1685">
        <v>215.49</v>
      </c>
      <c r="S1685">
        <v>179.65</v>
      </c>
      <c r="T1685">
        <v>35.840000000000003</v>
      </c>
      <c r="U1685">
        <f t="shared" si="26"/>
        <v>0</v>
      </c>
    </row>
    <row r="1686" spans="1:21" x14ac:dyDescent="0.25">
      <c r="A1686" s="2" t="s">
        <v>2442</v>
      </c>
      <c r="B1686" s="2" t="s">
        <v>2443</v>
      </c>
      <c r="C1686" s="1">
        <v>45866</v>
      </c>
      <c r="D1686" s="2" t="s">
        <v>38</v>
      </c>
      <c r="E1686" s="2" t="s">
        <v>55</v>
      </c>
      <c r="F1686" s="2" t="s">
        <v>40</v>
      </c>
      <c r="G1686">
        <v>1</v>
      </c>
      <c r="H1686" s="2" t="s">
        <v>41</v>
      </c>
      <c r="I1686">
        <v>29.99</v>
      </c>
      <c r="J1686">
        <v>5</v>
      </c>
      <c r="K1686">
        <v>1.5</v>
      </c>
      <c r="L1686">
        <v>9.26</v>
      </c>
      <c r="M1686">
        <v>13.51</v>
      </c>
      <c r="N1686">
        <v>0</v>
      </c>
      <c r="O1686">
        <v>1.1299999999999999</v>
      </c>
      <c r="P1686" s="2" t="s">
        <v>42</v>
      </c>
      <c r="Q1686">
        <v>0</v>
      </c>
      <c r="R1686">
        <v>28.49</v>
      </c>
      <c r="S1686">
        <v>23.9</v>
      </c>
      <c r="T1686">
        <v>4.59</v>
      </c>
      <c r="U1686">
        <f t="shared" si="26"/>
        <v>0</v>
      </c>
    </row>
    <row r="1687" spans="1:21" x14ac:dyDescent="0.25">
      <c r="A1687" s="2" t="s">
        <v>2444</v>
      </c>
      <c r="B1687" s="2" t="s">
        <v>850</v>
      </c>
      <c r="C1687" s="1">
        <v>45741</v>
      </c>
      <c r="D1687" s="2" t="s">
        <v>45</v>
      </c>
      <c r="E1687" s="2" t="s">
        <v>71</v>
      </c>
      <c r="F1687" s="2" t="s">
        <v>85</v>
      </c>
      <c r="G1687">
        <v>2</v>
      </c>
      <c r="H1687" s="2" t="s">
        <v>52</v>
      </c>
      <c r="I1687">
        <v>136.58000000000001</v>
      </c>
      <c r="J1687">
        <v>5</v>
      </c>
      <c r="K1687">
        <v>6.83</v>
      </c>
      <c r="L1687">
        <v>10.039999999999999</v>
      </c>
      <c r="M1687">
        <v>56.55</v>
      </c>
      <c r="N1687">
        <v>0</v>
      </c>
      <c r="O1687">
        <v>4.0599999999999996</v>
      </c>
      <c r="P1687" s="2" t="s">
        <v>42</v>
      </c>
      <c r="Q1687">
        <v>0</v>
      </c>
      <c r="R1687">
        <v>129.75</v>
      </c>
      <c r="S1687">
        <v>70.650000000000006</v>
      </c>
      <c r="T1687">
        <v>59.1</v>
      </c>
      <c r="U1687">
        <f t="shared" si="26"/>
        <v>0</v>
      </c>
    </row>
    <row r="1688" spans="1:21" x14ac:dyDescent="0.25">
      <c r="A1688" s="2" t="s">
        <v>2445</v>
      </c>
      <c r="B1688" s="2" t="s">
        <v>2446</v>
      </c>
      <c r="C1688" s="1">
        <v>45564</v>
      </c>
      <c r="D1688" s="2" t="s">
        <v>45</v>
      </c>
      <c r="E1688" s="2" t="s">
        <v>46</v>
      </c>
      <c r="F1688" s="2" t="s">
        <v>40</v>
      </c>
      <c r="G1688">
        <v>1</v>
      </c>
      <c r="H1688" s="2" t="s">
        <v>74</v>
      </c>
      <c r="I1688">
        <v>85.06</v>
      </c>
      <c r="J1688">
        <v>5</v>
      </c>
      <c r="K1688">
        <v>4.25</v>
      </c>
      <c r="L1688">
        <v>11.82</v>
      </c>
      <c r="M1688">
        <v>36.72</v>
      </c>
      <c r="N1688">
        <v>0</v>
      </c>
      <c r="O1688">
        <v>2.64</v>
      </c>
      <c r="P1688" s="2" t="s">
        <v>42</v>
      </c>
      <c r="Q1688">
        <v>0</v>
      </c>
      <c r="R1688">
        <v>80.81</v>
      </c>
      <c r="S1688">
        <v>51.18</v>
      </c>
      <c r="T1688">
        <v>29.63</v>
      </c>
      <c r="U1688">
        <f t="shared" si="26"/>
        <v>0</v>
      </c>
    </row>
    <row r="1689" spans="1:21" x14ac:dyDescent="0.25">
      <c r="A1689" s="2" t="s">
        <v>2447</v>
      </c>
      <c r="B1689" s="2" t="s">
        <v>852</v>
      </c>
      <c r="C1689" s="1">
        <v>45874</v>
      </c>
      <c r="D1689" s="2" t="s">
        <v>38</v>
      </c>
      <c r="E1689" s="2" t="s">
        <v>46</v>
      </c>
      <c r="F1689" s="2" t="s">
        <v>40</v>
      </c>
      <c r="G1689">
        <v>3</v>
      </c>
      <c r="H1689" s="2" t="s">
        <v>41</v>
      </c>
      <c r="I1689">
        <v>572.61</v>
      </c>
      <c r="J1689">
        <v>5</v>
      </c>
      <c r="K1689">
        <v>28.63</v>
      </c>
      <c r="L1689">
        <v>24.16</v>
      </c>
      <c r="M1689">
        <v>196.39</v>
      </c>
      <c r="N1689">
        <v>0</v>
      </c>
      <c r="O1689">
        <v>16.079999999999998</v>
      </c>
      <c r="P1689" s="2" t="s">
        <v>42</v>
      </c>
      <c r="Q1689">
        <v>0</v>
      </c>
      <c r="R1689">
        <v>543.98</v>
      </c>
      <c r="S1689">
        <v>236.63</v>
      </c>
      <c r="T1689">
        <v>307.35000000000002</v>
      </c>
      <c r="U1689">
        <f t="shared" si="26"/>
        <v>0</v>
      </c>
    </row>
    <row r="1690" spans="1:21" x14ac:dyDescent="0.25">
      <c r="A1690" s="2" t="s">
        <v>2448</v>
      </c>
      <c r="B1690" s="2" t="s">
        <v>812</v>
      </c>
      <c r="C1690" s="1">
        <v>45972</v>
      </c>
      <c r="D1690" s="2" t="s">
        <v>38</v>
      </c>
      <c r="E1690" s="2" t="s">
        <v>46</v>
      </c>
      <c r="F1690" s="2" t="s">
        <v>85</v>
      </c>
      <c r="G1690">
        <v>2</v>
      </c>
      <c r="H1690" s="2" t="s">
        <v>77</v>
      </c>
      <c r="I1690">
        <v>27.3</v>
      </c>
      <c r="J1690">
        <v>5</v>
      </c>
      <c r="K1690">
        <v>1.36</v>
      </c>
      <c r="L1690">
        <v>23.24</v>
      </c>
      <c r="M1690">
        <v>17.82</v>
      </c>
      <c r="N1690">
        <v>0</v>
      </c>
      <c r="O1690">
        <v>1.05</v>
      </c>
      <c r="P1690" s="2" t="s">
        <v>42</v>
      </c>
      <c r="Q1690">
        <v>0</v>
      </c>
      <c r="R1690">
        <v>25.94</v>
      </c>
      <c r="S1690">
        <v>42.11</v>
      </c>
      <c r="T1690">
        <v>-16.170000000000002</v>
      </c>
      <c r="U1690">
        <f t="shared" si="26"/>
        <v>0</v>
      </c>
    </row>
    <row r="1691" spans="1:21" x14ac:dyDescent="0.25">
      <c r="A1691" s="2" t="s">
        <v>2449</v>
      </c>
      <c r="B1691" s="2" t="s">
        <v>1053</v>
      </c>
      <c r="C1691" s="1">
        <v>45869</v>
      </c>
      <c r="D1691" s="2" t="s">
        <v>38</v>
      </c>
      <c r="E1691" s="2" t="s">
        <v>71</v>
      </c>
      <c r="F1691" s="2" t="s">
        <v>40</v>
      </c>
      <c r="G1691">
        <v>3</v>
      </c>
      <c r="H1691" s="2" t="s">
        <v>74</v>
      </c>
      <c r="I1691">
        <v>458.95</v>
      </c>
      <c r="J1691">
        <v>20</v>
      </c>
      <c r="K1691">
        <v>91.79</v>
      </c>
      <c r="L1691">
        <v>46.8</v>
      </c>
      <c r="M1691">
        <v>159.37</v>
      </c>
      <c r="N1691">
        <v>0</v>
      </c>
      <c r="O1691">
        <v>10.95</v>
      </c>
      <c r="P1691" s="2" t="s">
        <v>42</v>
      </c>
      <c r="Q1691">
        <v>0</v>
      </c>
      <c r="R1691">
        <v>367.16</v>
      </c>
      <c r="S1691">
        <v>217.12</v>
      </c>
      <c r="T1691">
        <v>150.04</v>
      </c>
      <c r="U1691">
        <f t="shared" si="26"/>
        <v>0</v>
      </c>
    </row>
    <row r="1692" spans="1:21" x14ac:dyDescent="0.25">
      <c r="A1692" s="2" t="s">
        <v>2450</v>
      </c>
      <c r="B1692" s="2" t="s">
        <v>729</v>
      </c>
      <c r="C1692" s="1">
        <v>45541</v>
      </c>
      <c r="D1692" s="2" t="s">
        <v>59</v>
      </c>
      <c r="E1692" s="2" t="s">
        <v>39</v>
      </c>
      <c r="F1692" s="2" t="s">
        <v>40</v>
      </c>
      <c r="G1692">
        <v>2</v>
      </c>
      <c r="H1692" s="2" t="s">
        <v>74</v>
      </c>
      <c r="I1692">
        <v>112.12</v>
      </c>
      <c r="J1692">
        <v>20</v>
      </c>
      <c r="K1692">
        <v>22.42</v>
      </c>
      <c r="L1692">
        <v>36.4</v>
      </c>
      <c r="M1692">
        <v>61.48</v>
      </c>
      <c r="N1692">
        <v>13.46</v>
      </c>
      <c r="O1692">
        <v>2.9</v>
      </c>
      <c r="P1692" s="2" t="s">
        <v>42</v>
      </c>
      <c r="Q1692">
        <v>0</v>
      </c>
      <c r="R1692">
        <v>89.7</v>
      </c>
      <c r="S1692">
        <v>114.24</v>
      </c>
      <c r="T1692">
        <v>-24.54</v>
      </c>
      <c r="U1692">
        <f t="shared" si="26"/>
        <v>0</v>
      </c>
    </row>
    <row r="1693" spans="1:21" x14ac:dyDescent="0.25">
      <c r="A1693" s="2" t="s">
        <v>2451</v>
      </c>
      <c r="B1693" s="2" t="s">
        <v>1003</v>
      </c>
      <c r="C1693" s="1">
        <v>45842</v>
      </c>
      <c r="D1693" s="2" t="s">
        <v>59</v>
      </c>
      <c r="E1693" s="2" t="s">
        <v>46</v>
      </c>
      <c r="F1693" s="2" t="s">
        <v>85</v>
      </c>
      <c r="G1693">
        <v>3</v>
      </c>
      <c r="H1693" s="2" t="s">
        <v>77</v>
      </c>
      <c r="I1693">
        <v>112.79</v>
      </c>
      <c r="J1693">
        <v>20</v>
      </c>
      <c r="K1693">
        <v>22.56</v>
      </c>
      <c r="L1693">
        <v>52.94</v>
      </c>
      <c r="M1693">
        <v>38.17</v>
      </c>
      <c r="N1693">
        <v>13.53</v>
      </c>
      <c r="O1693">
        <v>2.92</v>
      </c>
      <c r="P1693" s="2" t="s">
        <v>42</v>
      </c>
      <c r="Q1693">
        <v>0</v>
      </c>
      <c r="R1693">
        <v>90.23</v>
      </c>
      <c r="S1693">
        <v>107.56</v>
      </c>
      <c r="T1693">
        <v>-17.329999999999998</v>
      </c>
      <c r="U1693">
        <f t="shared" si="26"/>
        <v>0</v>
      </c>
    </row>
    <row r="1694" spans="1:21" x14ac:dyDescent="0.25">
      <c r="A1694" s="2" t="s">
        <v>2452</v>
      </c>
      <c r="B1694" s="2" t="s">
        <v>896</v>
      </c>
      <c r="C1694" s="1">
        <v>45910</v>
      </c>
      <c r="D1694" s="2" t="s">
        <v>38</v>
      </c>
      <c r="E1694" s="2" t="s">
        <v>71</v>
      </c>
      <c r="F1694" s="2" t="s">
        <v>51</v>
      </c>
      <c r="G1694">
        <v>1</v>
      </c>
      <c r="H1694" s="2" t="s">
        <v>41</v>
      </c>
      <c r="I1694">
        <v>182.6</v>
      </c>
      <c r="J1694">
        <v>0</v>
      </c>
      <c r="K1694">
        <v>0</v>
      </c>
      <c r="L1694">
        <v>8.7799999999999994</v>
      </c>
      <c r="M1694">
        <v>60.94</v>
      </c>
      <c r="N1694">
        <v>0</v>
      </c>
      <c r="O1694">
        <v>5.6</v>
      </c>
      <c r="P1694" s="2" t="s">
        <v>42</v>
      </c>
      <c r="Q1694">
        <v>0</v>
      </c>
      <c r="R1694">
        <v>182.6</v>
      </c>
      <c r="S1694">
        <v>75.319999999999993</v>
      </c>
      <c r="T1694">
        <v>107.28</v>
      </c>
      <c r="U1694">
        <f t="shared" si="26"/>
        <v>0</v>
      </c>
    </row>
    <row r="1695" spans="1:21" x14ac:dyDescent="0.25">
      <c r="A1695" s="2" t="s">
        <v>2453</v>
      </c>
      <c r="B1695" s="2" t="s">
        <v>195</v>
      </c>
      <c r="C1695" s="1">
        <v>45656</v>
      </c>
      <c r="D1695" s="2" t="s">
        <v>59</v>
      </c>
      <c r="E1695" s="2" t="s">
        <v>46</v>
      </c>
      <c r="F1695" s="2" t="s">
        <v>85</v>
      </c>
      <c r="G1695">
        <v>2</v>
      </c>
      <c r="H1695" s="2" t="s">
        <v>111</v>
      </c>
      <c r="I1695">
        <v>275.56</v>
      </c>
      <c r="J1695">
        <v>0</v>
      </c>
      <c r="K1695">
        <v>0</v>
      </c>
      <c r="L1695">
        <v>32.9</v>
      </c>
      <c r="M1695">
        <v>80.02</v>
      </c>
      <c r="N1695">
        <v>41.33</v>
      </c>
      <c r="O1695">
        <v>8.2899999999999991</v>
      </c>
      <c r="P1695" s="2" t="s">
        <v>42</v>
      </c>
      <c r="Q1695">
        <v>0</v>
      </c>
      <c r="R1695">
        <v>275.56</v>
      </c>
      <c r="S1695">
        <v>162.54</v>
      </c>
      <c r="T1695">
        <v>113.02</v>
      </c>
      <c r="U1695">
        <f t="shared" si="26"/>
        <v>0</v>
      </c>
    </row>
    <row r="1696" spans="1:21" x14ac:dyDescent="0.25">
      <c r="A1696" s="2" t="s">
        <v>2454</v>
      </c>
      <c r="B1696" s="2" t="s">
        <v>412</v>
      </c>
      <c r="C1696" s="1">
        <v>45672</v>
      </c>
      <c r="D1696" s="2" t="s">
        <v>59</v>
      </c>
      <c r="E1696" s="2" t="s">
        <v>71</v>
      </c>
      <c r="F1696" s="2" t="s">
        <v>47</v>
      </c>
      <c r="G1696">
        <v>2</v>
      </c>
      <c r="H1696" s="2" t="s">
        <v>48</v>
      </c>
      <c r="I1696">
        <v>94.12</v>
      </c>
      <c r="J1696">
        <v>0</v>
      </c>
      <c r="K1696">
        <v>0</v>
      </c>
      <c r="L1696">
        <v>19</v>
      </c>
      <c r="M1696">
        <v>40.15</v>
      </c>
      <c r="N1696">
        <v>14.12</v>
      </c>
      <c r="O1696">
        <v>3.03</v>
      </c>
      <c r="P1696" s="2" t="s">
        <v>42</v>
      </c>
      <c r="Q1696">
        <v>0</v>
      </c>
      <c r="R1696">
        <v>94.12</v>
      </c>
      <c r="S1696">
        <v>76.3</v>
      </c>
      <c r="T1696">
        <v>17.82</v>
      </c>
      <c r="U1696">
        <f t="shared" si="26"/>
        <v>0</v>
      </c>
    </row>
    <row r="1697" spans="1:21" x14ac:dyDescent="0.25">
      <c r="A1697" s="2" t="s">
        <v>2455</v>
      </c>
      <c r="B1697" s="2" t="s">
        <v>856</v>
      </c>
      <c r="C1697" s="1">
        <v>45901</v>
      </c>
      <c r="D1697" s="2" t="s">
        <v>80</v>
      </c>
      <c r="E1697" s="2" t="s">
        <v>71</v>
      </c>
      <c r="F1697" s="2" t="s">
        <v>85</v>
      </c>
      <c r="G1697">
        <v>2</v>
      </c>
      <c r="H1697" s="2" t="s">
        <v>48</v>
      </c>
      <c r="I1697">
        <v>97.7</v>
      </c>
      <c r="J1697">
        <v>15</v>
      </c>
      <c r="K1697">
        <v>14.65</v>
      </c>
      <c r="L1697">
        <v>12.84</v>
      </c>
      <c r="M1697">
        <v>33.159999999999997</v>
      </c>
      <c r="N1697">
        <v>6.64</v>
      </c>
      <c r="O1697">
        <v>2.71</v>
      </c>
      <c r="P1697" s="2" t="s">
        <v>42</v>
      </c>
      <c r="Q1697">
        <v>0</v>
      </c>
      <c r="R1697">
        <v>83.05</v>
      </c>
      <c r="S1697">
        <v>55.35</v>
      </c>
      <c r="T1697">
        <v>27.7</v>
      </c>
      <c r="U1697">
        <f t="shared" si="26"/>
        <v>0</v>
      </c>
    </row>
    <row r="1698" spans="1:21" x14ac:dyDescent="0.25">
      <c r="A1698" s="2" t="s">
        <v>2456</v>
      </c>
      <c r="B1698" s="2" t="s">
        <v>625</v>
      </c>
      <c r="C1698" s="1">
        <v>45846</v>
      </c>
      <c r="D1698" s="2" t="s">
        <v>80</v>
      </c>
      <c r="E1698" s="2" t="s">
        <v>39</v>
      </c>
      <c r="F1698" s="2" t="s">
        <v>40</v>
      </c>
      <c r="G1698">
        <v>1</v>
      </c>
      <c r="H1698" s="2" t="s">
        <v>74</v>
      </c>
      <c r="I1698">
        <v>129.80000000000001</v>
      </c>
      <c r="J1698">
        <v>5</v>
      </c>
      <c r="K1698">
        <v>6.49</v>
      </c>
      <c r="L1698">
        <v>3.82</v>
      </c>
      <c r="M1698">
        <v>38.64</v>
      </c>
      <c r="N1698">
        <v>9.86</v>
      </c>
      <c r="O1698">
        <v>3.88</v>
      </c>
      <c r="P1698" s="2" t="s">
        <v>68</v>
      </c>
      <c r="Q1698">
        <v>123.31</v>
      </c>
      <c r="R1698">
        <v>0</v>
      </c>
      <c r="S1698">
        <v>56.2</v>
      </c>
      <c r="T1698">
        <v>-56.2</v>
      </c>
      <c r="U1698">
        <f t="shared" si="26"/>
        <v>0</v>
      </c>
    </row>
    <row r="1699" spans="1:21" x14ac:dyDescent="0.25">
      <c r="A1699" s="2" t="s">
        <v>2457</v>
      </c>
      <c r="B1699" s="2" t="s">
        <v>683</v>
      </c>
      <c r="C1699" s="1">
        <v>45824</v>
      </c>
      <c r="D1699" s="2" t="s">
        <v>59</v>
      </c>
      <c r="E1699" s="2" t="s">
        <v>71</v>
      </c>
      <c r="F1699" s="2" t="s">
        <v>94</v>
      </c>
      <c r="G1699">
        <v>1</v>
      </c>
      <c r="H1699" s="2" t="s">
        <v>48</v>
      </c>
      <c r="I1699">
        <v>11.82</v>
      </c>
      <c r="J1699">
        <v>15</v>
      </c>
      <c r="K1699">
        <v>1.77</v>
      </c>
      <c r="L1699">
        <v>11.9</v>
      </c>
      <c r="M1699">
        <v>5.81</v>
      </c>
      <c r="N1699">
        <v>1.51</v>
      </c>
      <c r="O1699">
        <v>0.59</v>
      </c>
      <c r="P1699" s="2" t="s">
        <v>42</v>
      </c>
      <c r="Q1699">
        <v>0</v>
      </c>
      <c r="R1699">
        <v>10.050000000000001</v>
      </c>
      <c r="S1699">
        <v>19.809999999999999</v>
      </c>
      <c r="T1699">
        <v>-9.76</v>
      </c>
      <c r="U1699">
        <f t="shared" si="26"/>
        <v>0</v>
      </c>
    </row>
    <row r="1700" spans="1:21" x14ac:dyDescent="0.25">
      <c r="A1700" s="2" t="s">
        <v>2458</v>
      </c>
      <c r="B1700" s="2" t="s">
        <v>2459</v>
      </c>
      <c r="C1700" s="1">
        <v>45398</v>
      </c>
      <c r="D1700" s="2" t="s">
        <v>45</v>
      </c>
      <c r="E1700" s="2" t="s">
        <v>67</v>
      </c>
      <c r="F1700" s="2" t="s">
        <v>51</v>
      </c>
      <c r="G1700">
        <v>2</v>
      </c>
      <c r="H1700" s="2" t="s">
        <v>74</v>
      </c>
      <c r="I1700">
        <v>178.36</v>
      </c>
      <c r="J1700">
        <v>0</v>
      </c>
      <c r="K1700">
        <v>0</v>
      </c>
      <c r="L1700">
        <v>36.4</v>
      </c>
      <c r="M1700">
        <v>76.680000000000007</v>
      </c>
      <c r="N1700">
        <v>0</v>
      </c>
      <c r="O1700">
        <v>5.47</v>
      </c>
      <c r="P1700" s="2" t="s">
        <v>42</v>
      </c>
      <c r="Q1700">
        <v>0</v>
      </c>
      <c r="R1700">
        <v>178.36</v>
      </c>
      <c r="S1700">
        <v>118.55</v>
      </c>
      <c r="T1700">
        <v>59.81</v>
      </c>
      <c r="U1700">
        <f t="shared" si="26"/>
        <v>1</v>
      </c>
    </row>
    <row r="1701" spans="1:21" x14ac:dyDescent="0.25">
      <c r="A1701" s="2" t="s">
        <v>2460</v>
      </c>
      <c r="B1701" s="2" t="s">
        <v>2461</v>
      </c>
      <c r="C1701" s="1">
        <v>45639</v>
      </c>
      <c r="D1701" s="2" t="s">
        <v>59</v>
      </c>
      <c r="E1701" s="2" t="s">
        <v>71</v>
      </c>
      <c r="F1701" s="2" t="s">
        <v>47</v>
      </c>
      <c r="G1701">
        <v>3</v>
      </c>
      <c r="H1701" s="2" t="s">
        <v>74</v>
      </c>
      <c r="I1701">
        <v>452.96</v>
      </c>
      <c r="J1701">
        <v>0</v>
      </c>
      <c r="K1701">
        <v>0</v>
      </c>
      <c r="L1701">
        <v>34.96</v>
      </c>
      <c r="M1701">
        <v>145.16999999999999</v>
      </c>
      <c r="N1701">
        <v>67.94</v>
      </c>
      <c r="O1701">
        <v>13.44</v>
      </c>
      <c r="P1701" s="2" t="s">
        <v>42</v>
      </c>
      <c r="Q1701">
        <v>0</v>
      </c>
      <c r="R1701">
        <v>452.96</v>
      </c>
      <c r="S1701">
        <v>261.51</v>
      </c>
      <c r="T1701">
        <v>191.45</v>
      </c>
      <c r="U1701">
        <f t="shared" si="26"/>
        <v>0</v>
      </c>
    </row>
    <row r="1702" spans="1:21" x14ac:dyDescent="0.25">
      <c r="A1702" s="2" t="s">
        <v>2462</v>
      </c>
      <c r="B1702" s="2" t="s">
        <v>110</v>
      </c>
      <c r="C1702" s="1">
        <v>45527</v>
      </c>
      <c r="D1702" s="2" t="s">
        <v>59</v>
      </c>
      <c r="E1702" s="2" t="s">
        <v>71</v>
      </c>
      <c r="F1702" s="2" t="s">
        <v>47</v>
      </c>
      <c r="G1702">
        <v>4</v>
      </c>
      <c r="H1702" s="2" t="s">
        <v>111</v>
      </c>
      <c r="I1702">
        <v>472.27</v>
      </c>
      <c r="J1702">
        <v>10</v>
      </c>
      <c r="K1702">
        <v>47.23</v>
      </c>
      <c r="L1702">
        <v>70.900000000000006</v>
      </c>
      <c r="M1702">
        <v>205.09</v>
      </c>
      <c r="N1702">
        <v>63.76</v>
      </c>
      <c r="O1702">
        <v>12.63</v>
      </c>
      <c r="P1702" s="2" t="s">
        <v>68</v>
      </c>
      <c r="Q1702">
        <v>425.04</v>
      </c>
      <c r="R1702">
        <v>0</v>
      </c>
      <c r="S1702">
        <v>352.38</v>
      </c>
      <c r="T1702">
        <v>-352.38</v>
      </c>
      <c r="U1702">
        <f t="shared" si="26"/>
        <v>0</v>
      </c>
    </row>
    <row r="1703" spans="1:21" x14ac:dyDescent="0.25">
      <c r="A1703" s="2" t="s">
        <v>2463</v>
      </c>
      <c r="B1703" s="2" t="s">
        <v>176</v>
      </c>
      <c r="C1703" s="1">
        <v>45814</v>
      </c>
      <c r="D1703" s="2" t="s">
        <v>38</v>
      </c>
      <c r="E1703" s="2" t="s">
        <v>46</v>
      </c>
      <c r="F1703" s="2" t="s">
        <v>85</v>
      </c>
      <c r="G1703">
        <v>1</v>
      </c>
      <c r="H1703" s="2" t="s">
        <v>64</v>
      </c>
      <c r="I1703">
        <v>49.76</v>
      </c>
      <c r="J1703">
        <v>10</v>
      </c>
      <c r="K1703">
        <v>4.9800000000000004</v>
      </c>
      <c r="L1703">
        <v>14.04</v>
      </c>
      <c r="M1703">
        <v>27.54</v>
      </c>
      <c r="N1703">
        <v>0</v>
      </c>
      <c r="O1703">
        <v>1.6</v>
      </c>
      <c r="P1703" s="2" t="s">
        <v>42</v>
      </c>
      <c r="Q1703">
        <v>0</v>
      </c>
      <c r="R1703">
        <v>44.78</v>
      </c>
      <c r="S1703">
        <v>43.18</v>
      </c>
      <c r="T1703">
        <v>1.6</v>
      </c>
      <c r="U1703">
        <f t="shared" si="26"/>
        <v>0</v>
      </c>
    </row>
    <row r="1704" spans="1:21" x14ac:dyDescent="0.25">
      <c r="A1704" s="2" t="s">
        <v>2464</v>
      </c>
      <c r="B1704" s="2" t="s">
        <v>303</v>
      </c>
      <c r="C1704" s="1">
        <v>45851</v>
      </c>
      <c r="D1704" s="2" t="s">
        <v>38</v>
      </c>
      <c r="E1704" s="2" t="s">
        <v>46</v>
      </c>
      <c r="F1704" s="2" t="s">
        <v>51</v>
      </c>
      <c r="G1704">
        <v>2</v>
      </c>
      <c r="H1704" s="2" t="s">
        <v>56</v>
      </c>
      <c r="I1704">
        <v>173.57</v>
      </c>
      <c r="J1704">
        <v>0</v>
      </c>
      <c r="K1704">
        <v>0</v>
      </c>
      <c r="L1704">
        <v>28.5</v>
      </c>
      <c r="M1704">
        <v>69.23</v>
      </c>
      <c r="N1704">
        <v>0</v>
      </c>
      <c r="O1704">
        <v>5.33</v>
      </c>
      <c r="P1704" s="2" t="s">
        <v>42</v>
      </c>
      <c r="Q1704">
        <v>0</v>
      </c>
      <c r="R1704">
        <v>173.57</v>
      </c>
      <c r="S1704">
        <v>103.06</v>
      </c>
      <c r="T1704">
        <v>70.510000000000005</v>
      </c>
      <c r="U1704">
        <f t="shared" si="26"/>
        <v>1</v>
      </c>
    </row>
    <row r="1705" spans="1:21" x14ac:dyDescent="0.25">
      <c r="A1705" s="2" t="s">
        <v>2465</v>
      </c>
      <c r="B1705" s="2" t="s">
        <v>718</v>
      </c>
      <c r="C1705" s="1">
        <v>45853</v>
      </c>
      <c r="D1705" s="2" t="s">
        <v>45</v>
      </c>
      <c r="E1705" s="2" t="s">
        <v>46</v>
      </c>
      <c r="F1705" s="2" t="s">
        <v>47</v>
      </c>
      <c r="G1705">
        <v>1</v>
      </c>
      <c r="H1705" s="2" t="s">
        <v>48</v>
      </c>
      <c r="I1705">
        <v>23.64</v>
      </c>
      <c r="J1705">
        <v>10</v>
      </c>
      <c r="K1705">
        <v>2.36</v>
      </c>
      <c r="L1705">
        <v>23.8</v>
      </c>
      <c r="M1705">
        <v>11.62</v>
      </c>
      <c r="N1705">
        <v>0</v>
      </c>
      <c r="O1705">
        <v>0.92</v>
      </c>
      <c r="P1705" s="2" t="s">
        <v>42</v>
      </c>
      <c r="Q1705">
        <v>0</v>
      </c>
      <c r="R1705">
        <v>21.28</v>
      </c>
      <c r="S1705">
        <v>36.340000000000003</v>
      </c>
      <c r="T1705">
        <v>-15.06</v>
      </c>
      <c r="U1705">
        <f t="shared" si="26"/>
        <v>0</v>
      </c>
    </row>
    <row r="1706" spans="1:21" x14ac:dyDescent="0.25">
      <c r="A1706" s="2" t="s">
        <v>2466</v>
      </c>
      <c r="B1706" s="2" t="s">
        <v>276</v>
      </c>
      <c r="C1706" s="1">
        <v>45820</v>
      </c>
      <c r="D1706" s="2" t="s">
        <v>45</v>
      </c>
      <c r="E1706" s="2" t="s">
        <v>55</v>
      </c>
      <c r="F1706" s="2" t="s">
        <v>40</v>
      </c>
      <c r="G1706">
        <v>1</v>
      </c>
      <c r="H1706" s="2" t="s">
        <v>41</v>
      </c>
      <c r="I1706">
        <v>68.98</v>
      </c>
      <c r="J1706">
        <v>10</v>
      </c>
      <c r="K1706">
        <v>6.9</v>
      </c>
      <c r="L1706">
        <v>14.54</v>
      </c>
      <c r="M1706">
        <v>25.39</v>
      </c>
      <c r="N1706">
        <v>0</v>
      </c>
      <c r="O1706">
        <v>2.1</v>
      </c>
      <c r="P1706" s="2" t="s">
        <v>42</v>
      </c>
      <c r="Q1706">
        <v>0</v>
      </c>
      <c r="R1706">
        <v>62.08</v>
      </c>
      <c r="S1706">
        <v>42.03</v>
      </c>
      <c r="T1706">
        <v>20.05</v>
      </c>
      <c r="U1706">
        <f t="shared" si="26"/>
        <v>0</v>
      </c>
    </row>
    <row r="1707" spans="1:21" x14ac:dyDescent="0.25">
      <c r="A1707" s="2" t="s">
        <v>2467</v>
      </c>
      <c r="B1707" s="2" t="s">
        <v>566</v>
      </c>
      <c r="C1707" s="1">
        <v>45800</v>
      </c>
      <c r="D1707" s="2" t="s">
        <v>38</v>
      </c>
      <c r="E1707" s="2" t="s">
        <v>46</v>
      </c>
      <c r="F1707" s="2" t="s">
        <v>47</v>
      </c>
      <c r="G1707">
        <v>1</v>
      </c>
      <c r="H1707" s="2" t="s">
        <v>48</v>
      </c>
      <c r="I1707">
        <v>36.6</v>
      </c>
      <c r="J1707">
        <v>10</v>
      </c>
      <c r="K1707">
        <v>3.66</v>
      </c>
      <c r="L1707">
        <v>10.62</v>
      </c>
      <c r="M1707">
        <v>14.64</v>
      </c>
      <c r="N1707">
        <v>0</v>
      </c>
      <c r="O1707">
        <v>1.26</v>
      </c>
      <c r="P1707" s="2" t="s">
        <v>42</v>
      </c>
      <c r="Q1707">
        <v>0</v>
      </c>
      <c r="R1707">
        <v>32.94</v>
      </c>
      <c r="S1707">
        <v>26.52</v>
      </c>
      <c r="T1707">
        <v>6.42</v>
      </c>
      <c r="U1707">
        <f t="shared" si="26"/>
        <v>0</v>
      </c>
    </row>
    <row r="1708" spans="1:21" x14ac:dyDescent="0.25">
      <c r="A1708" s="2" t="s">
        <v>2468</v>
      </c>
      <c r="B1708" s="2" t="s">
        <v>264</v>
      </c>
      <c r="C1708" s="1">
        <v>45828</v>
      </c>
      <c r="D1708" s="2" t="s">
        <v>59</v>
      </c>
      <c r="E1708" s="2" t="s">
        <v>46</v>
      </c>
      <c r="F1708" s="2" t="s">
        <v>94</v>
      </c>
      <c r="G1708">
        <v>3</v>
      </c>
      <c r="H1708" s="2" t="s">
        <v>64</v>
      </c>
      <c r="I1708">
        <v>165.32</v>
      </c>
      <c r="J1708">
        <v>10</v>
      </c>
      <c r="K1708">
        <v>16.53</v>
      </c>
      <c r="L1708">
        <v>42.06</v>
      </c>
      <c r="M1708">
        <v>101.71</v>
      </c>
      <c r="N1708">
        <v>22.32</v>
      </c>
      <c r="O1708">
        <v>4.6100000000000003</v>
      </c>
      <c r="P1708" s="2" t="s">
        <v>42</v>
      </c>
      <c r="Q1708">
        <v>0</v>
      </c>
      <c r="R1708">
        <v>148.79</v>
      </c>
      <c r="S1708">
        <v>170.7</v>
      </c>
      <c r="T1708">
        <v>-21.91</v>
      </c>
      <c r="U1708">
        <f t="shared" si="26"/>
        <v>0</v>
      </c>
    </row>
    <row r="1709" spans="1:21" x14ac:dyDescent="0.25">
      <c r="A1709" s="2" t="s">
        <v>2469</v>
      </c>
      <c r="B1709" s="2" t="s">
        <v>625</v>
      </c>
      <c r="C1709" s="1">
        <v>45877</v>
      </c>
      <c r="D1709" s="2" t="s">
        <v>45</v>
      </c>
      <c r="E1709" s="2" t="s">
        <v>71</v>
      </c>
      <c r="F1709" s="2" t="s">
        <v>47</v>
      </c>
      <c r="G1709">
        <v>1</v>
      </c>
      <c r="H1709" s="2" t="s">
        <v>77</v>
      </c>
      <c r="I1709">
        <v>19.309999999999999</v>
      </c>
      <c r="J1709">
        <v>10</v>
      </c>
      <c r="K1709">
        <v>1.93</v>
      </c>
      <c r="L1709">
        <v>5.9</v>
      </c>
      <c r="M1709">
        <v>6.23</v>
      </c>
      <c r="N1709">
        <v>0</v>
      </c>
      <c r="O1709">
        <v>0.8</v>
      </c>
      <c r="P1709" s="2" t="s">
        <v>68</v>
      </c>
      <c r="Q1709">
        <v>17.38</v>
      </c>
      <c r="R1709">
        <v>0</v>
      </c>
      <c r="S1709">
        <v>12.93</v>
      </c>
      <c r="T1709">
        <v>-12.93</v>
      </c>
      <c r="U1709">
        <f t="shared" si="26"/>
        <v>0</v>
      </c>
    </row>
    <row r="1710" spans="1:21" x14ac:dyDescent="0.25">
      <c r="A1710" s="2" t="s">
        <v>2470</v>
      </c>
      <c r="B1710" s="2" t="s">
        <v>1868</v>
      </c>
      <c r="C1710" s="1">
        <v>45785</v>
      </c>
      <c r="D1710" s="2" t="s">
        <v>59</v>
      </c>
      <c r="E1710" s="2" t="s">
        <v>46</v>
      </c>
      <c r="F1710" s="2" t="s">
        <v>94</v>
      </c>
      <c r="G1710">
        <v>5</v>
      </c>
      <c r="H1710" s="2" t="s">
        <v>64</v>
      </c>
      <c r="I1710">
        <v>235.23</v>
      </c>
      <c r="J1710">
        <v>10</v>
      </c>
      <c r="K1710">
        <v>23.52</v>
      </c>
      <c r="L1710">
        <v>81.94</v>
      </c>
      <c r="M1710">
        <v>117.98</v>
      </c>
      <c r="N1710">
        <v>31.76</v>
      </c>
      <c r="O1710">
        <v>6.44</v>
      </c>
      <c r="P1710" s="2" t="s">
        <v>42</v>
      </c>
      <c r="Q1710">
        <v>0</v>
      </c>
      <c r="R1710">
        <v>211.71</v>
      </c>
      <c r="S1710">
        <v>238.12</v>
      </c>
      <c r="T1710">
        <v>-26.41</v>
      </c>
      <c r="U1710">
        <f t="shared" si="26"/>
        <v>0</v>
      </c>
    </row>
    <row r="1711" spans="1:21" x14ac:dyDescent="0.25">
      <c r="A1711" s="2" t="s">
        <v>2471</v>
      </c>
      <c r="B1711" s="2" t="s">
        <v>1787</v>
      </c>
      <c r="C1711" s="1">
        <v>45837</v>
      </c>
      <c r="D1711" s="2" t="s">
        <v>59</v>
      </c>
      <c r="E1711" s="2" t="s">
        <v>71</v>
      </c>
      <c r="F1711" s="2" t="s">
        <v>47</v>
      </c>
      <c r="G1711">
        <v>2</v>
      </c>
      <c r="H1711" s="2" t="s">
        <v>41</v>
      </c>
      <c r="I1711">
        <v>139.16999999999999</v>
      </c>
      <c r="J1711">
        <v>0</v>
      </c>
      <c r="K1711">
        <v>0</v>
      </c>
      <c r="L1711">
        <v>23.72</v>
      </c>
      <c r="M1711">
        <v>78.23</v>
      </c>
      <c r="N1711">
        <v>20.88</v>
      </c>
      <c r="O1711">
        <v>4.34</v>
      </c>
      <c r="P1711" s="2" t="s">
        <v>42</v>
      </c>
      <c r="Q1711">
        <v>0</v>
      </c>
      <c r="R1711">
        <v>139.16999999999999</v>
      </c>
      <c r="S1711">
        <v>127.17</v>
      </c>
      <c r="T1711">
        <v>12</v>
      </c>
      <c r="U1711">
        <f t="shared" si="26"/>
        <v>1</v>
      </c>
    </row>
    <row r="1712" spans="1:21" x14ac:dyDescent="0.25">
      <c r="A1712" s="2" t="s">
        <v>2472</v>
      </c>
      <c r="B1712" s="2" t="s">
        <v>1437</v>
      </c>
      <c r="C1712" s="1">
        <v>45652</v>
      </c>
      <c r="D1712" s="2" t="s">
        <v>38</v>
      </c>
      <c r="E1712" s="2" t="s">
        <v>55</v>
      </c>
      <c r="F1712" s="2" t="s">
        <v>47</v>
      </c>
      <c r="G1712">
        <v>1</v>
      </c>
      <c r="H1712" s="2" t="s">
        <v>77</v>
      </c>
      <c r="I1712">
        <v>26.5</v>
      </c>
      <c r="J1712">
        <v>0</v>
      </c>
      <c r="K1712">
        <v>0</v>
      </c>
      <c r="L1712">
        <v>5.5</v>
      </c>
      <c r="M1712">
        <v>8.06</v>
      </c>
      <c r="N1712">
        <v>0</v>
      </c>
      <c r="O1712">
        <v>1.07</v>
      </c>
      <c r="P1712" s="2" t="s">
        <v>42</v>
      </c>
      <c r="Q1712">
        <v>0</v>
      </c>
      <c r="R1712">
        <v>26.5</v>
      </c>
      <c r="S1712">
        <v>14.63</v>
      </c>
      <c r="T1712">
        <v>11.87</v>
      </c>
      <c r="U1712">
        <f t="shared" si="26"/>
        <v>0</v>
      </c>
    </row>
    <row r="1713" spans="1:21" x14ac:dyDescent="0.25">
      <c r="A1713" s="2" t="s">
        <v>2473</v>
      </c>
      <c r="B1713" s="2" t="s">
        <v>2474</v>
      </c>
      <c r="C1713" s="1">
        <v>45754</v>
      </c>
      <c r="D1713" s="2" t="s">
        <v>38</v>
      </c>
      <c r="E1713" s="2" t="s">
        <v>39</v>
      </c>
      <c r="F1713" s="2" t="s">
        <v>51</v>
      </c>
      <c r="G1713">
        <v>2</v>
      </c>
      <c r="H1713" s="2" t="s">
        <v>56</v>
      </c>
      <c r="I1713">
        <v>281.41000000000003</v>
      </c>
      <c r="J1713">
        <v>5</v>
      </c>
      <c r="K1713">
        <v>14.07</v>
      </c>
      <c r="L1713">
        <v>44.06</v>
      </c>
      <c r="M1713">
        <v>139.19999999999999</v>
      </c>
      <c r="N1713">
        <v>0</v>
      </c>
      <c r="O1713">
        <v>8.0500000000000007</v>
      </c>
      <c r="P1713" s="2" t="s">
        <v>42</v>
      </c>
      <c r="Q1713">
        <v>0</v>
      </c>
      <c r="R1713">
        <v>267.33999999999997</v>
      </c>
      <c r="S1713">
        <v>191.31</v>
      </c>
      <c r="T1713">
        <v>76.03</v>
      </c>
      <c r="U1713">
        <f t="shared" si="26"/>
        <v>0</v>
      </c>
    </row>
    <row r="1714" spans="1:21" x14ac:dyDescent="0.25">
      <c r="A1714" s="2" t="s">
        <v>2475</v>
      </c>
      <c r="B1714" s="2" t="s">
        <v>929</v>
      </c>
      <c r="C1714" s="1">
        <v>45909</v>
      </c>
      <c r="D1714" s="2" t="s">
        <v>38</v>
      </c>
      <c r="E1714" s="2" t="s">
        <v>71</v>
      </c>
      <c r="F1714" s="2" t="s">
        <v>85</v>
      </c>
      <c r="G1714">
        <v>2</v>
      </c>
      <c r="H1714" s="2" t="s">
        <v>64</v>
      </c>
      <c r="I1714">
        <v>165.34</v>
      </c>
      <c r="J1714">
        <v>25</v>
      </c>
      <c r="K1714">
        <v>41.34</v>
      </c>
      <c r="L1714">
        <v>35.22</v>
      </c>
      <c r="M1714">
        <v>73.650000000000006</v>
      </c>
      <c r="N1714">
        <v>0</v>
      </c>
      <c r="O1714">
        <v>3.9</v>
      </c>
      <c r="P1714" s="2" t="s">
        <v>42</v>
      </c>
      <c r="Q1714">
        <v>0</v>
      </c>
      <c r="R1714">
        <v>124</v>
      </c>
      <c r="S1714">
        <v>112.77</v>
      </c>
      <c r="T1714">
        <v>11.23</v>
      </c>
      <c r="U1714">
        <f t="shared" si="26"/>
        <v>0</v>
      </c>
    </row>
    <row r="1715" spans="1:21" x14ac:dyDescent="0.25">
      <c r="A1715" s="2" t="s">
        <v>2476</v>
      </c>
      <c r="B1715" s="2" t="s">
        <v>1220</v>
      </c>
      <c r="C1715" s="1">
        <v>45891</v>
      </c>
      <c r="D1715" s="2" t="s">
        <v>45</v>
      </c>
      <c r="E1715" s="2" t="s">
        <v>46</v>
      </c>
      <c r="F1715" s="2" t="s">
        <v>85</v>
      </c>
      <c r="G1715">
        <v>1</v>
      </c>
      <c r="H1715" s="2" t="s">
        <v>52</v>
      </c>
      <c r="I1715">
        <v>113.43</v>
      </c>
      <c r="J1715">
        <v>0</v>
      </c>
      <c r="K1715">
        <v>0</v>
      </c>
      <c r="L1715">
        <v>17.22</v>
      </c>
      <c r="M1715">
        <v>34.65</v>
      </c>
      <c r="N1715">
        <v>0</v>
      </c>
      <c r="O1715">
        <v>3.59</v>
      </c>
      <c r="P1715" s="2" t="s">
        <v>42</v>
      </c>
      <c r="Q1715">
        <v>0</v>
      </c>
      <c r="R1715">
        <v>113.43</v>
      </c>
      <c r="S1715">
        <v>55.46</v>
      </c>
      <c r="T1715">
        <v>57.97</v>
      </c>
      <c r="U1715">
        <f t="shared" si="26"/>
        <v>0</v>
      </c>
    </row>
    <row r="1716" spans="1:21" x14ac:dyDescent="0.25">
      <c r="A1716" s="2" t="s">
        <v>2477</v>
      </c>
      <c r="B1716" s="2" t="s">
        <v>1083</v>
      </c>
      <c r="C1716" s="1">
        <v>45519</v>
      </c>
      <c r="D1716" s="2" t="s">
        <v>45</v>
      </c>
      <c r="E1716" s="2" t="s">
        <v>46</v>
      </c>
      <c r="F1716" s="2" t="s">
        <v>51</v>
      </c>
      <c r="G1716">
        <v>1</v>
      </c>
      <c r="H1716" s="2" t="s">
        <v>48</v>
      </c>
      <c r="I1716">
        <v>94.64</v>
      </c>
      <c r="J1716">
        <v>0</v>
      </c>
      <c r="K1716">
        <v>0</v>
      </c>
      <c r="L1716">
        <v>18.2</v>
      </c>
      <c r="M1716">
        <v>41.88</v>
      </c>
      <c r="N1716">
        <v>0</v>
      </c>
      <c r="O1716">
        <v>3.04</v>
      </c>
      <c r="P1716" s="2" t="s">
        <v>42</v>
      </c>
      <c r="Q1716">
        <v>0</v>
      </c>
      <c r="R1716">
        <v>94.64</v>
      </c>
      <c r="S1716">
        <v>63.12</v>
      </c>
      <c r="T1716">
        <v>31.52</v>
      </c>
      <c r="U1716">
        <f t="shared" si="26"/>
        <v>0</v>
      </c>
    </row>
    <row r="1717" spans="1:21" x14ac:dyDescent="0.25">
      <c r="A1717" s="2" t="s">
        <v>2478</v>
      </c>
      <c r="B1717" s="2" t="s">
        <v>580</v>
      </c>
      <c r="C1717" s="1">
        <v>45923</v>
      </c>
      <c r="D1717" s="2" t="s">
        <v>59</v>
      </c>
      <c r="E1717" s="2" t="s">
        <v>55</v>
      </c>
      <c r="F1717" s="2" t="s">
        <v>51</v>
      </c>
      <c r="G1717">
        <v>1</v>
      </c>
      <c r="H1717" s="2" t="s">
        <v>41</v>
      </c>
      <c r="I1717">
        <v>20.67</v>
      </c>
      <c r="J1717">
        <v>15</v>
      </c>
      <c r="K1717">
        <v>3.1</v>
      </c>
      <c r="L1717">
        <v>4.3</v>
      </c>
      <c r="M1717">
        <v>5.96</v>
      </c>
      <c r="N1717">
        <v>2.64</v>
      </c>
      <c r="O1717">
        <v>0.81</v>
      </c>
      <c r="P1717" s="2" t="s">
        <v>42</v>
      </c>
      <c r="Q1717">
        <v>0</v>
      </c>
      <c r="R1717">
        <v>17.57</v>
      </c>
      <c r="S1717">
        <v>13.71</v>
      </c>
      <c r="T1717">
        <v>3.86</v>
      </c>
      <c r="U1717">
        <f t="shared" si="26"/>
        <v>0</v>
      </c>
    </row>
    <row r="1718" spans="1:21" x14ac:dyDescent="0.25">
      <c r="A1718" s="2" t="s">
        <v>2479</v>
      </c>
      <c r="B1718" s="2" t="s">
        <v>2480</v>
      </c>
      <c r="C1718" s="1">
        <v>45521</v>
      </c>
      <c r="D1718" s="2" t="s">
        <v>45</v>
      </c>
      <c r="E1718" s="2" t="s">
        <v>46</v>
      </c>
      <c r="F1718" s="2" t="s">
        <v>85</v>
      </c>
      <c r="G1718">
        <v>1</v>
      </c>
      <c r="H1718" s="2" t="s">
        <v>64</v>
      </c>
      <c r="I1718">
        <v>6.07</v>
      </c>
      <c r="J1718">
        <v>10</v>
      </c>
      <c r="K1718">
        <v>0.61</v>
      </c>
      <c r="L1718">
        <v>12.94</v>
      </c>
      <c r="M1718">
        <v>4.1399999999999997</v>
      </c>
      <c r="N1718">
        <v>0</v>
      </c>
      <c r="O1718">
        <v>0.46</v>
      </c>
      <c r="P1718" s="2" t="s">
        <v>42</v>
      </c>
      <c r="Q1718">
        <v>0</v>
      </c>
      <c r="R1718">
        <v>5.46</v>
      </c>
      <c r="S1718">
        <v>17.54</v>
      </c>
      <c r="T1718">
        <v>-12.08</v>
      </c>
      <c r="U1718">
        <f t="shared" si="26"/>
        <v>0</v>
      </c>
    </row>
    <row r="1719" spans="1:21" x14ac:dyDescent="0.25">
      <c r="A1719" s="2" t="s">
        <v>2481</v>
      </c>
      <c r="B1719" s="2" t="s">
        <v>496</v>
      </c>
      <c r="C1719" s="1">
        <v>45825</v>
      </c>
      <c r="D1719" s="2" t="s">
        <v>59</v>
      </c>
      <c r="E1719" s="2" t="s">
        <v>46</v>
      </c>
      <c r="F1719" s="2" t="s">
        <v>40</v>
      </c>
      <c r="G1719">
        <v>3</v>
      </c>
      <c r="H1719" s="2" t="s">
        <v>41</v>
      </c>
      <c r="I1719">
        <v>294.41000000000003</v>
      </c>
      <c r="J1719">
        <v>15</v>
      </c>
      <c r="K1719">
        <v>44.16</v>
      </c>
      <c r="L1719">
        <v>33.76</v>
      </c>
      <c r="M1719">
        <v>98.59</v>
      </c>
      <c r="N1719">
        <v>37.54</v>
      </c>
      <c r="O1719">
        <v>7.56</v>
      </c>
      <c r="P1719" s="2" t="s">
        <v>42</v>
      </c>
      <c r="Q1719">
        <v>0</v>
      </c>
      <c r="R1719">
        <v>250.25</v>
      </c>
      <c r="S1719">
        <v>177.45</v>
      </c>
      <c r="T1719">
        <v>72.8</v>
      </c>
      <c r="U1719">
        <f t="shared" si="26"/>
        <v>0</v>
      </c>
    </row>
    <row r="1720" spans="1:21" x14ac:dyDescent="0.25">
      <c r="A1720" s="2" t="s">
        <v>2482</v>
      </c>
      <c r="B1720" s="2" t="s">
        <v>2369</v>
      </c>
      <c r="C1720" s="1">
        <v>45715</v>
      </c>
      <c r="D1720" s="2" t="s">
        <v>59</v>
      </c>
      <c r="E1720" s="2" t="s">
        <v>71</v>
      </c>
      <c r="F1720" s="2" t="s">
        <v>47</v>
      </c>
      <c r="G1720">
        <v>1</v>
      </c>
      <c r="H1720" s="2" t="s">
        <v>64</v>
      </c>
      <c r="I1720">
        <v>20.57</v>
      </c>
      <c r="J1720">
        <v>10</v>
      </c>
      <c r="K1720">
        <v>2.06</v>
      </c>
      <c r="L1720">
        <v>7.02</v>
      </c>
      <c r="M1720">
        <v>7.36</v>
      </c>
      <c r="N1720">
        <v>2.78</v>
      </c>
      <c r="O1720">
        <v>0.84</v>
      </c>
      <c r="P1720" s="2" t="s">
        <v>42</v>
      </c>
      <c r="Q1720">
        <v>0</v>
      </c>
      <c r="R1720">
        <v>18.510000000000002</v>
      </c>
      <c r="S1720">
        <v>18</v>
      </c>
      <c r="T1720">
        <v>0.51</v>
      </c>
      <c r="U1720">
        <f t="shared" si="26"/>
        <v>0</v>
      </c>
    </row>
    <row r="1721" spans="1:21" x14ac:dyDescent="0.25">
      <c r="A1721" s="2" t="s">
        <v>2483</v>
      </c>
      <c r="B1721" s="2" t="s">
        <v>869</v>
      </c>
      <c r="C1721" s="1">
        <v>45728</v>
      </c>
      <c r="D1721" s="2" t="s">
        <v>45</v>
      </c>
      <c r="E1721" s="2" t="s">
        <v>71</v>
      </c>
      <c r="F1721" s="2" t="s">
        <v>51</v>
      </c>
      <c r="G1721">
        <v>1</v>
      </c>
      <c r="H1721" s="2" t="s">
        <v>41</v>
      </c>
      <c r="I1721">
        <v>370.06</v>
      </c>
      <c r="J1721">
        <v>10</v>
      </c>
      <c r="K1721">
        <v>37.01</v>
      </c>
      <c r="L1721">
        <v>10.84</v>
      </c>
      <c r="M1721">
        <v>133.38</v>
      </c>
      <c r="N1721">
        <v>0</v>
      </c>
      <c r="O1721">
        <v>9.9600000000000009</v>
      </c>
      <c r="P1721" s="2" t="s">
        <v>42</v>
      </c>
      <c r="Q1721">
        <v>0</v>
      </c>
      <c r="R1721">
        <v>333.05</v>
      </c>
      <c r="S1721">
        <v>154.18</v>
      </c>
      <c r="T1721">
        <v>178.87</v>
      </c>
      <c r="U1721">
        <f t="shared" si="26"/>
        <v>0</v>
      </c>
    </row>
    <row r="1722" spans="1:21" x14ac:dyDescent="0.25">
      <c r="A1722" s="2" t="s">
        <v>2484</v>
      </c>
      <c r="B1722" s="2" t="s">
        <v>145</v>
      </c>
      <c r="C1722" s="1">
        <v>45765</v>
      </c>
      <c r="D1722" s="2" t="s">
        <v>38</v>
      </c>
      <c r="E1722" s="2" t="s">
        <v>39</v>
      </c>
      <c r="F1722" s="2" t="s">
        <v>47</v>
      </c>
      <c r="G1722">
        <v>1</v>
      </c>
      <c r="H1722" s="2" t="s">
        <v>52</v>
      </c>
      <c r="I1722">
        <v>90.83</v>
      </c>
      <c r="J1722">
        <v>15</v>
      </c>
      <c r="K1722">
        <v>13.62</v>
      </c>
      <c r="L1722">
        <v>15.42</v>
      </c>
      <c r="M1722">
        <v>26.68</v>
      </c>
      <c r="N1722">
        <v>0</v>
      </c>
      <c r="O1722">
        <v>2.54</v>
      </c>
      <c r="P1722" s="2" t="s">
        <v>42</v>
      </c>
      <c r="Q1722">
        <v>0</v>
      </c>
      <c r="R1722">
        <v>77.209999999999994</v>
      </c>
      <c r="S1722">
        <v>44.64</v>
      </c>
      <c r="T1722">
        <v>32.57</v>
      </c>
      <c r="U1722">
        <f t="shared" si="26"/>
        <v>0</v>
      </c>
    </row>
    <row r="1723" spans="1:21" x14ac:dyDescent="0.25">
      <c r="A1723" s="2" t="s">
        <v>2485</v>
      </c>
      <c r="B1723" s="2" t="s">
        <v>957</v>
      </c>
      <c r="C1723" s="1">
        <v>45713</v>
      </c>
      <c r="D1723" s="2" t="s">
        <v>38</v>
      </c>
      <c r="E1723" s="2" t="s">
        <v>46</v>
      </c>
      <c r="F1723" s="2" t="s">
        <v>51</v>
      </c>
      <c r="G1723">
        <v>1</v>
      </c>
      <c r="H1723" s="2" t="s">
        <v>41</v>
      </c>
      <c r="I1723">
        <v>137.96</v>
      </c>
      <c r="J1723">
        <v>5</v>
      </c>
      <c r="K1723">
        <v>6.9</v>
      </c>
      <c r="L1723">
        <v>29.08</v>
      </c>
      <c r="M1723">
        <v>50.78</v>
      </c>
      <c r="N1723">
        <v>0</v>
      </c>
      <c r="O1723">
        <v>4.0999999999999996</v>
      </c>
      <c r="P1723" s="2" t="s">
        <v>42</v>
      </c>
      <c r="Q1723">
        <v>0</v>
      </c>
      <c r="R1723">
        <v>131.06</v>
      </c>
      <c r="S1723">
        <v>83.96</v>
      </c>
      <c r="T1723">
        <v>47.1</v>
      </c>
      <c r="U1723">
        <f t="shared" si="26"/>
        <v>0</v>
      </c>
    </row>
    <row r="1724" spans="1:21" x14ac:dyDescent="0.25">
      <c r="A1724" s="2" t="s">
        <v>2486</v>
      </c>
      <c r="B1724" s="2" t="s">
        <v>1546</v>
      </c>
      <c r="C1724" s="1">
        <v>45491</v>
      </c>
      <c r="D1724" s="2" t="s">
        <v>45</v>
      </c>
      <c r="E1724" s="2" t="s">
        <v>46</v>
      </c>
      <c r="F1724" s="2" t="s">
        <v>94</v>
      </c>
      <c r="G1724">
        <v>3</v>
      </c>
      <c r="H1724" s="2" t="s">
        <v>64</v>
      </c>
      <c r="I1724">
        <v>174.26</v>
      </c>
      <c r="J1724">
        <v>0</v>
      </c>
      <c r="K1724">
        <v>0</v>
      </c>
      <c r="L1724">
        <v>74.84</v>
      </c>
      <c r="M1724">
        <v>100.13</v>
      </c>
      <c r="N1724">
        <v>0</v>
      </c>
      <c r="O1724">
        <v>5.35</v>
      </c>
      <c r="P1724" s="2" t="s">
        <v>42</v>
      </c>
      <c r="Q1724">
        <v>0</v>
      </c>
      <c r="R1724">
        <v>174.26</v>
      </c>
      <c r="S1724">
        <v>180.32</v>
      </c>
      <c r="T1724">
        <v>-6.06</v>
      </c>
      <c r="U1724">
        <f t="shared" si="26"/>
        <v>0</v>
      </c>
    </row>
    <row r="1725" spans="1:21" x14ac:dyDescent="0.25">
      <c r="A1725" s="2" t="s">
        <v>2487</v>
      </c>
      <c r="B1725" s="2" t="s">
        <v>2488</v>
      </c>
      <c r="C1725" s="1">
        <v>45904</v>
      </c>
      <c r="D1725" s="2" t="s">
        <v>45</v>
      </c>
      <c r="E1725" s="2" t="s">
        <v>67</v>
      </c>
      <c r="F1725" s="2" t="s">
        <v>51</v>
      </c>
      <c r="G1725">
        <v>3</v>
      </c>
      <c r="H1725" s="2" t="s">
        <v>111</v>
      </c>
      <c r="I1725">
        <v>203.79</v>
      </c>
      <c r="J1725">
        <v>0</v>
      </c>
      <c r="K1725">
        <v>0</v>
      </c>
      <c r="L1725">
        <v>34.26</v>
      </c>
      <c r="M1725">
        <v>71.13</v>
      </c>
      <c r="N1725">
        <v>0</v>
      </c>
      <c r="O1725">
        <v>6.21</v>
      </c>
      <c r="P1725" s="2" t="s">
        <v>42</v>
      </c>
      <c r="Q1725">
        <v>0</v>
      </c>
      <c r="R1725">
        <v>203.79</v>
      </c>
      <c r="S1725">
        <v>111.6</v>
      </c>
      <c r="T1725">
        <v>92.19</v>
      </c>
      <c r="U1725">
        <f t="shared" si="26"/>
        <v>0</v>
      </c>
    </row>
    <row r="1726" spans="1:21" x14ac:dyDescent="0.25">
      <c r="A1726" s="2" t="s">
        <v>2489</v>
      </c>
      <c r="B1726" s="2" t="s">
        <v>1865</v>
      </c>
      <c r="C1726" s="1">
        <v>45739</v>
      </c>
      <c r="D1726" s="2" t="s">
        <v>59</v>
      </c>
      <c r="E1726" s="2" t="s">
        <v>46</v>
      </c>
      <c r="F1726" s="2" t="s">
        <v>51</v>
      </c>
      <c r="G1726">
        <v>3</v>
      </c>
      <c r="H1726" s="2" t="s">
        <v>74</v>
      </c>
      <c r="I1726">
        <v>229.15</v>
      </c>
      <c r="J1726">
        <v>0</v>
      </c>
      <c r="K1726">
        <v>0</v>
      </c>
      <c r="L1726">
        <v>46.62</v>
      </c>
      <c r="M1726">
        <v>98.65</v>
      </c>
      <c r="N1726">
        <v>34.369999999999997</v>
      </c>
      <c r="O1726">
        <v>6.95</v>
      </c>
      <c r="P1726" s="2" t="s">
        <v>42</v>
      </c>
      <c r="Q1726">
        <v>0</v>
      </c>
      <c r="R1726">
        <v>229.15</v>
      </c>
      <c r="S1726">
        <v>186.59</v>
      </c>
      <c r="T1726">
        <v>42.56</v>
      </c>
      <c r="U1726">
        <f t="shared" si="26"/>
        <v>0</v>
      </c>
    </row>
    <row r="1727" spans="1:21" x14ac:dyDescent="0.25">
      <c r="A1727" s="2" t="s">
        <v>2490</v>
      </c>
      <c r="B1727" s="2" t="s">
        <v>54</v>
      </c>
      <c r="C1727" s="1">
        <v>45780</v>
      </c>
      <c r="D1727" s="2" t="s">
        <v>38</v>
      </c>
      <c r="E1727" s="2" t="s">
        <v>55</v>
      </c>
      <c r="F1727" s="2" t="s">
        <v>51</v>
      </c>
      <c r="G1727">
        <v>1</v>
      </c>
      <c r="H1727" s="2" t="s">
        <v>41</v>
      </c>
      <c r="I1727">
        <v>547.79999999999995</v>
      </c>
      <c r="J1727">
        <v>20</v>
      </c>
      <c r="K1727">
        <v>109.56</v>
      </c>
      <c r="L1727">
        <v>26.34</v>
      </c>
      <c r="M1727">
        <v>182.82</v>
      </c>
      <c r="N1727">
        <v>0</v>
      </c>
      <c r="O1727">
        <v>13.01</v>
      </c>
      <c r="P1727" s="2" t="s">
        <v>42</v>
      </c>
      <c r="Q1727">
        <v>0</v>
      </c>
      <c r="R1727">
        <v>438.24</v>
      </c>
      <c r="S1727">
        <v>222.17</v>
      </c>
      <c r="T1727">
        <v>216.07</v>
      </c>
      <c r="U1727">
        <f t="shared" si="26"/>
        <v>0</v>
      </c>
    </row>
    <row r="1728" spans="1:21" x14ac:dyDescent="0.25">
      <c r="A1728" s="2" t="s">
        <v>2491</v>
      </c>
      <c r="B1728" s="2" t="s">
        <v>2492</v>
      </c>
      <c r="C1728" s="1">
        <v>45847</v>
      </c>
      <c r="D1728" s="2" t="s">
        <v>45</v>
      </c>
      <c r="E1728" s="2" t="s">
        <v>71</v>
      </c>
      <c r="F1728" s="2" t="s">
        <v>94</v>
      </c>
      <c r="G1728">
        <v>1</v>
      </c>
      <c r="H1728" s="2" t="s">
        <v>41</v>
      </c>
      <c r="I1728">
        <v>29.99</v>
      </c>
      <c r="J1728">
        <v>0</v>
      </c>
      <c r="K1728">
        <v>0</v>
      </c>
      <c r="L1728">
        <v>9.26</v>
      </c>
      <c r="M1728">
        <v>13.51</v>
      </c>
      <c r="N1728">
        <v>0</v>
      </c>
      <c r="O1728">
        <v>1.17</v>
      </c>
      <c r="P1728" s="2" t="s">
        <v>42</v>
      </c>
      <c r="Q1728">
        <v>0</v>
      </c>
      <c r="R1728">
        <v>29.99</v>
      </c>
      <c r="S1728">
        <v>23.94</v>
      </c>
      <c r="T1728">
        <v>6.05</v>
      </c>
      <c r="U1728">
        <f t="shared" si="26"/>
        <v>0</v>
      </c>
    </row>
    <row r="1729" spans="1:21" x14ac:dyDescent="0.25">
      <c r="A1729" s="2" t="s">
        <v>2493</v>
      </c>
      <c r="B1729" s="2" t="s">
        <v>1902</v>
      </c>
      <c r="C1729" s="1">
        <v>45716</v>
      </c>
      <c r="D1729" s="2" t="s">
        <v>38</v>
      </c>
      <c r="E1729" s="2" t="s">
        <v>46</v>
      </c>
      <c r="F1729" s="2" t="s">
        <v>94</v>
      </c>
      <c r="G1729">
        <v>1</v>
      </c>
      <c r="H1729" s="2" t="s">
        <v>64</v>
      </c>
      <c r="I1729">
        <v>56</v>
      </c>
      <c r="J1729">
        <v>15</v>
      </c>
      <c r="K1729">
        <v>8.4</v>
      </c>
      <c r="L1729">
        <v>12.86</v>
      </c>
      <c r="M1729">
        <v>19.82</v>
      </c>
      <c r="N1729">
        <v>0</v>
      </c>
      <c r="O1729">
        <v>1.68</v>
      </c>
      <c r="P1729" s="2" t="s">
        <v>42</v>
      </c>
      <c r="Q1729">
        <v>0</v>
      </c>
      <c r="R1729">
        <v>47.6</v>
      </c>
      <c r="S1729">
        <v>34.36</v>
      </c>
      <c r="T1729">
        <v>13.24</v>
      </c>
      <c r="U1729">
        <f t="shared" si="26"/>
        <v>0</v>
      </c>
    </row>
    <row r="1730" spans="1:21" x14ac:dyDescent="0.25">
      <c r="A1730" s="2" t="s">
        <v>2494</v>
      </c>
      <c r="B1730" s="2" t="s">
        <v>1562</v>
      </c>
      <c r="C1730" s="1">
        <v>45744</v>
      </c>
      <c r="D1730" s="2" t="s">
        <v>59</v>
      </c>
      <c r="E1730" s="2" t="s">
        <v>39</v>
      </c>
      <c r="F1730" s="2" t="s">
        <v>47</v>
      </c>
      <c r="G1730">
        <v>1</v>
      </c>
      <c r="H1730" s="2" t="s">
        <v>64</v>
      </c>
      <c r="I1730">
        <v>20.57</v>
      </c>
      <c r="J1730">
        <v>15</v>
      </c>
      <c r="K1730">
        <v>3.09</v>
      </c>
      <c r="L1730">
        <v>7.02</v>
      </c>
      <c r="M1730">
        <v>7.36</v>
      </c>
      <c r="N1730">
        <v>2.62</v>
      </c>
      <c r="O1730">
        <v>0.81</v>
      </c>
      <c r="P1730" s="2" t="s">
        <v>42</v>
      </c>
      <c r="Q1730">
        <v>0</v>
      </c>
      <c r="R1730">
        <v>17.48</v>
      </c>
      <c r="S1730">
        <v>17.809999999999999</v>
      </c>
      <c r="T1730">
        <v>-0.33</v>
      </c>
      <c r="U1730">
        <f t="shared" si="26"/>
        <v>0</v>
      </c>
    </row>
    <row r="1731" spans="1:21" x14ac:dyDescent="0.25">
      <c r="A1731" s="2" t="s">
        <v>2495</v>
      </c>
      <c r="B1731" s="2" t="s">
        <v>509</v>
      </c>
      <c r="C1731" s="1">
        <v>45658</v>
      </c>
      <c r="D1731" s="2" t="s">
        <v>59</v>
      </c>
      <c r="E1731" s="2" t="s">
        <v>46</v>
      </c>
      <c r="F1731" s="2" t="s">
        <v>51</v>
      </c>
      <c r="G1731">
        <v>4</v>
      </c>
      <c r="H1731" s="2" t="s">
        <v>77</v>
      </c>
      <c r="I1731">
        <v>206.41</v>
      </c>
      <c r="J1731">
        <v>0</v>
      </c>
      <c r="K1731">
        <v>0</v>
      </c>
      <c r="L1731">
        <v>36.24</v>
      </c>
      <c r="M1731">
        <v>76.53</v>
      </c>
      <c r="N1731">
        <v>30.96</v>
      </c>
      <c r="O1731">
        <v>6.29</v>
      </c>
      <c r="P1731" s="2" t="s">
        <v>42</v>
      </c>
      <c r="Q1731">
        <v>0</v>
      </c>
      <c r="R1731">
        <v>206.41</v>
      </c>
      <c r="S1731">
        <v>150.02000000000001</v>
      </c>
      <c r="T1731">
        <v>56.39</v>
      </c>
      <c r="U1731">
        <f t="shared" si="26"/>
        <v>0</v>
      </c>
    </row>
    <row r="1732" spans="1:21" x14ac:dyDescent="0.25">
      <c r="A1732" s="2" t="s">
        <v>2496</v>
      </c>
      <c r="B1732" s="2" t="s">
        <v>455</v>
      </c>
      <c r="C1732" s="1">
        <v>45973</v>
      </c>
      <c r="D1732" s="2" t="s">
        <v>59</v>
      </c>
      <c r="E1732" s="2" t="s">
        <v>46</v>
      </c>
      <c r="F1732" s="2" t="s">
        <v>51</v>
      </c>
      <c r="G1732">
        <v>3</v>
      </c>
      <c r="H1732" s="2" t="s">
        <v>64</v>
      </c>
      <c r="I1732">
        <v>278.97000000000003</v>
      </c>
      <c r="J1732">
        <v>10</v>
      </c>
      <c r="K1732">
        <v>27.9</v>
      </c>
      <c r="L1732">
        <v>39.200000000000003</v>
      </c>
      <c r="M1732">
        <v>106.97</v>
      </c>
      <c r="N1732">
        <v>37.659999999999997</v>
      </c>
      <c r="O1732">
        <v>7.58</v>
      </c>
      <c r="P1732" s="2" t="s">
        <v>42</v>
      </c>
      <c r="Q1732">
        <v>0</v>
      </c>
      <c r="R1732">
        <v>251.07</v>
      </c>
      <c r="S1732">
        <v>191.41</v>
      </c>
      <c r="T1732">
        <v>59.66</v>
      </c>
      <c r="U1732">
        <f t="shared" si="26"/>
        <v>0</v>
      </c>
    </row>
    <row r="1733" spans="1:21" x14ac:dyDescent="0.25">
      <c r="A1733" s="2" t="s">
        <v>2497</v>
      </c>
      <c r="B1733" s="2" t="s">
        <v>860</v>
      </c>
      <c r="C1733" s="1">
        <v>45659</v>
      </c>
      <c r="D1733" s="2" t="s">
        <v>59</v>
      </c>
      <c r="E1733" s="2" t="s">
        <v>67</v>
      </c>
      <c r="F1733" s="2" t="s">
        <v>40</v>
      </c>
      <c r="G1733">
        <v>2</v>
      </c>
      <c r="H1733" s="2" t="s">
        <v>52</v>
      </c>
      <c r="I1733">
        <v>119.78</v>
      </c>
      <c r="J1733">
        <v>5</v>
      </c>
      <c r="K1733">
        <v>5.99</v>
      </c>
      <c r="L1733">
        <v>14.6</v>
      </c>
      <c r="M1733">
        <v>56.71</v>
      </c>
      <c r="N1733">
        <v>17.07</v>
      </c>
      <c r="O1733">
        <v>3.6</v>
      </c>
      <c r="P1733" s="2" t="s">
        <v>42</v>
      </c>
      <c r="Q1733">
        <v>0</v>
      </c>
      <c r="R1733">
        <v>113.79</v>
      </c>
      <c r="S1733">
        <v>91.98</v>
      </c>
      <c r="T1733">
        <v>21.81</v>
      </c>
      <c r="U1733">
        <f t="shared" ref="U1733:U1796" si="27">IF(P1731="Yes", 1, 0)</f>
        <v>0</v>
      </c>
    </row>
    <row r="1734" spans="1:21" x14ac:dyDescent="0.25">
      <c r="A1734" s="2" t="s">
        <v>2498</v>
      </c>
      <c r="B1734" s="2" t="s">
        <v>1975</v>
      </c>
      <c r="C1734" s="1">
        <v>45760</v>
      </c>
      <c r="D1734" s="2" t="s">
        <v>38</v>
      </c>
      <c r="E1734" s="2" t="s">
        <v>71</v>
      </c>
      <c r="F1734" s="2" t="s">
        <v>85</v>
      </c>
      <c r="G1734">
        <v>5</v>
      </c>
      <c r="H1734" s="2" t="s">
        <v>64</v>
      </c>
      <c r="I1734">
        <v>432.51</v>
      </c>
      <c r="J1734">
        <v>15</v>
      </c>
      <c r="K1734">
        <v>64.88</v>
      </c>
      <c r="L1734">
        <v>57.4</v>
      </c>
      <c r="M1734">
        <v>165.87</v>
      </c>
      <c r="N1734">
        <v>0</v>
      </c>
      <c r="O1734">
        <v>10.96</v>
      </c>
      <c r="P1734" s="2" t="s">
        <v>42</v>
      </c>
      <c r="Q1734">
        <v>0</v>
      </c>
      <c r="R1734">
        <v>367.63</v>
      </c>
      <c r="S1734">
        <v>234.23</v>
      </c>
      <c r="T1734">
        <v>133.4</v>
      </c>
      <c r="U1734">
        <f t="shared" si="27"/>
        <v>0</v>
      </c>
    </row>
    <row r="1735" spans="1:21" x14ac:dyDescent="0.25">
      <c r="A1735" s="2" t="s">
        <v>2499</v>
      </c>
      <c r="B1735" s="2" t="s">
        <v>979</v>
      </c>
      <c r="C1735" s="1">
        <v>45933</v>
      </c>
      <c r="D1735" s="2" t="s">
        <v>38</v>
      </c>
      <c r="E1735" s="2" t="s">
        <v>46</v>
      </c>
      <c r="F1735" s="2" t="s">
        <v>85</v>
      </c>
      <c r="G1735">
        <v>1</v>
      </c>
      <c r="H1735" s="2" t="s">
        <v>74</v>
      </c>
      <c r="I1735">
        <v>48.08</v>
      </c>
      <c r="J1735">
        <v>0</v>
      </c>
      <c r="K1735">
        <v>0</v>
      </c>
      <c r="L1735">
        <v>15.26</v>
      </c>
      <c r="M1735">
        <v>34.07</v>
      </c>
      <c r="N1735">
        <v>0</v>
      </c>
      <c r="O1735">
        <v>1.69</v>
      </c>
      <c r="P1735" s="2" t="s">
        <v>42</v>
      </c>
      <c r="Q1735">
        <v>0</v>
      </c>
      <c r="R1735">
        <v>48.08</v>
      </c>
      <c r="S1735">
        <v>51.02</v>
      </c>
      <c r="T1735">
        <v>-2.94</v>
      </c>
      <c r="U1735">
        <f t="shared" si="27"/>
        <v>0</v>
      </c>
    </row>
    <row r="1736" spans="1:21" x14ac:dyDescent="0.25">
      <c r="A1736" s="2" t="s">
        <v>2500</v>
      </c>
      <c r="B1736" s="2" t="s">
        <v>637</v>
      </c>
      <c r="C1736" s="1">
        <v>45823</v>
      </c>
      <c r="D1736" s="2" t="s">
        <v>38</v>
      </c>
      <c r="E1736" s="2" t="s">
        <v>71</v>
      </c>
      <c r="F1736" s="2" t="s">
        <v>40</v>
      </c>
      <c r="G1736">
        <v>3</v>
      </c>
      <c r="H1736" s="2" t="s">
        <v>111</v>
      </c>
      <c r="I1736">
        <v>132.04</v>
      </c>
      <c r="J1736">
        <v>25</v>
      </c>
      <c r="K1736">
        <v>33.01</v>
      </c>
      <c r="L1736">
        <v>30.1</v>
      </c>
      <c r="M1736">
        <v>54.14</v>
      </c>
      <c r="N1736">
        <v>0</v>
      </c>
      <c r="O1736">
        <v>3.17</v>
      </c>
      <c r="P1736" s="2" t="s">
        <v>68</v>
      </c>
      <c r="Q1736">
        <v>99.03</v>
      </c>
      <c r="R1736">
        <v>0</v>
      </c>
      <c r="S1736">
        <v>87.41</v>
      </c>
      <c r="T1736">
        <v>-87.41</v>
      </c>
      <c r="U1736">
        <f t="shared" si="27"/>
        <v>0</v>
      </c>
    </row>
    <row r="1737" spans="1:21" x14ac:dyDescent="0.25">
      <c r="A1737" s="2" t="s">
        <v>2501</v>
      </c>
      <c r="B1737" s="2" t="s">
        <v>2502</v>
      </c>
      <c r="C1737" s="1">
        <v>45659</v>
      </c>
      <c r="D1737" s="2" t="s">
        <v>38</v>
      </c>
      <c r="E1737" s="2" t="s">
        <v>71</v>
      </c>
      <c r="F1737" s="2" t="s">
        <v>85</v>
      </c>
      <c r="G1737">
        <v>1</v>
      </c>
      <c r="H1737" s="2" t="s">
        <v>111</v>
      </c>
      <c r="I1737">
        <v>115.01</v>
      </c>
      <c r="J1737">
        <v>10</v>
      </c>
      <c r="K1737">
        <v>11.5</v>
      </c>
      <c r="L1737">
        <v>13.18</v>
      </c>
      <c r="M1737">
        <v>35.49</v>
      </c>
      <c r="N1737">
        <v>0</v>
      </c>
      <c r="O1737">
        <v>3.3</v>
      </c>
      <c r="P1737" s="2" t="s">
        <v>42</v>
      </c>
      <c r="Q1737">
        <v>0</v>
      </c>
      <c r="R1737">
        <v>103.51</v>
      </c>
      <c r="S1737">
        <v>51.97</v>
      </c>
      <c r="T1737">
        <v>51.54</v>
      </c>
      <c r="U1737">
        <f t="shared" si="27"/>
        <v>0</v>
      </c>
    </row>
    <row r="1738" spans="1:21" x14ac:dyDescent="0.25">
      <c r="A1738" s="2" t="s">
        <v>2503</v>
      </c>
      <c r="B1738" s="2" t="s">
        <v>1576</v>
      </c>
      <c r="C1738" s="1">
        <v>45922</v>
      </c>
      <c r="D1738" s="2" t="s">
        <v>38</v>
      </c>
      <c r="E1738" s="2" t="s">
        <v>46</v>
      </c>
      <c r="F1738" s="2" t="s">
        <v>40</v>
      </c>
      <c r="G1738">
        <v>2</v>
      </c>
      <c r="H1738" s="2" t="s">
        <v>56</v>
      </c>
      <c r="I1738">
        <v>85.7</v>
      </c>
      <c r="J1738">
        <v>10</v>
      </c>
      <c r="K1738">
        <v>8.57</v>
      </c>
      <c r="L1738">
        <v>23.14</v>
      </c>
      <c r="M1738">
        <v>46.25</v>
      </c>
      <c r="N1738">
        <v>0</v>
      </c>
      <c r="O1738">
        <v>2.54</v>
      </c>
      <c r="P1738" s="2" t="s">
        <v>42</v>
      </c>
      <c r="Q1738">
        <v>0</v>
      </c>
      <c r="R1738">
        <v>77.13</v>
      </c>
      <c r="S1738">
        <v>71.930000000000007</v>
      </c>
      <c r="T1738">
        <v>5.2</v>
      </c>
      <c r="U1738">
        <f t="shared" si="27"/>
        <v>1</v>
      </c>
    </row>
    <row r="1739" spans="1:21" x14ac:dyDescent="0.25">
      <c r="A1739" s="2" t="s">
        <v>2504</v>
      </c>
      <c r="B1739" s="2" t="s">
        <v>1784</v>
      </c>
      <c r="C1739" s="1">
        <v>45755</v>
      </c>
      <c r="D1739" s="2" t="s">
        <v>45</v>
      </c>
      <c r="E1739" s="2" t="s">
        <v>46</v>
      </c>
      <c r="F1739" s="2" t="s">
        <v>40</v>
      </c>
      <c r="G1739">
        <v>2</v>
      </c>
      <c r="H1739" s="2" t="s">
        <v>52</v>
      </c>
      <c r="I1739">
        <v>121.44</v>
      </c>
      <c r="J1739">
        <v>10</v>
      </c>
      <c r="K1739">
        <v>12.14</v>
      </c>
      <c r="L1739">
        <v>23.08</v>
      </c>
      <c r="M1739">
        <v>63.28</v>
      </c>
      <c r="N1739">
        <v>0</v>
      </c>
      <c r="O1739">
        <v>3.47</v>
      </c>
      <c r="P1739" s="2" t="s">
        <v>42</v>
      </c>
      <c r="Q1739">
        <v>0</v>
      </c>
      <c r="R1739">
        <v>109.3</v>
      </c>
      <c r="S1739">
        <v>89.83</v>
      </c>
      <c r="T1739">
        <v>19.47</v>
      </c>
      <c r="U1739">
        <f t="shared" si="27"/>
        <v>0</v>
      </c>
    </row>
    <row r="1740" spans="1:21" x14ac:dyDescent="0.25">
      <c r="A1740" s="2" t="s">
        <v>2505</v>
      </c>
      <c r="B1740" s="2" t="s">
        <v>1044</v>
      </c>
      <c r="C1740" s="1">
        <v>45759</v>
      </c>
      <c r="D1740" s="2" t="s">
        <v>45</v>
      </c>
      <c r="E1740" s="2" t="s">
        <v>39</v>
      </c>
      <c r="F1740" s="2" t="s">
        <v>94</v>
      </c>
      <c r="G1740">
        <v>1</v>
      </c>
      <c r="H1740" s="2" t="s">
        <v>56</v>
      </c>
      <c r="I1740">
        <v>14.58</v>
      </c>
      <c r="J1740">
        <v>0</v>
      </c>
      <c r="K1740">
        <v>0</v>
      </c>
      <c r="L1740">
        <v>9.1</v>
      </c>
      <c r="M1740">
        <v>4.3600000000000003</v>
      </c>
      <c r="N1740">
        <v>0</v>
      </c>
      <c r="O1740">
        <v>0.72</v>
      </c>
      <c r="P1740" s="2" t="s">
        <v>42</v>
      </c>
      <c r="Q1740">
        <v>0</v>
      </c>
      <c r="R1740">
        <v>14.58</v>
      </c>
      <c r="S1740">
        <v>14.18</v>
      </c>
      <c r="T1740">
        <v>0.4</v>
      </c>
      <c r="U1740">
        <f t="shared" si="27"/>
        <v>0</v>
      </c>
    </row>
    <row r="1741" spans="1:21" x14ac:dyDescent="0.25">
      <c r="A1741" s="2" t="s">
        <v>2506</v>
      </c>
      <c r="B1741" s="2" t="s">
        <v>1057</v>
      </c>
      <c r="C1741" s="1">
        <v>46001</v>
      </c>
      <c r="D1741" s="2" t="s">
        <v>80</v>
      </c>
      <c r="E1741" s="2" t="s">
        <v>67</v>
      </c>
      <c r="F1741" s="2" t="s">
        <v>51</v>
      </c>
      <c r="G1741">
        <v>3</v>
      </c>
      <c r="H1741" s="2" t="s">
        <v>52</v>
      </c>
      <c r="I1741">
        <v>299.63</v>
      </c>
      <c r="J1741">
        <v>10</v>
      </c>
      <c r="K1741">
        <v>29.96</v>
      </c>
      <c r="L1741">
        <v>34.24</v>
      </c>
      <c r="M1741">
        <v>111.74</v>
      </c>
      <c r="N1741">
        <v>21.57</v>
      </c>
      <c r="O1741">
        <v>8.1199999999999992</v>
      </c>
      <c r="P1741" s="2" t="s">
        <v>42</v>
      </c>
      <c r="Q1741">
        <v>0</v>
      </c>
      <c r="R1741">
        <v>269.67</v>
      </c>
      <c r="S1741">
        <v>175.67</v>
      </c>
      <c r="T1741">
        <v>94</v>
      </c>
      <c r="U1741">
        <f t="shared" si="27"/>
        <v>0</v>
      </c>
    </row>
    <row r="1742" spans="1:21" x14ac:dyDescent="0.25">
      <c r="A1742" s="2" t="s">
        <v>2507</v>
      </c>
      <c r="B1742" s="2" t="s">
        <v>1003</v>
      </c>
      <c r="C1742" s="1">
        <v>45829</v>
      </c>
      <c r="D1742" s="2" t="s">
        <v>59</v>
      </c>
      <c r="E1742" s="2" t="s">
        <v>39</v>
      </c>
      <c r="F1742" s="2" t="s">
        <v>51</v>
      </c>
      <c r="G1742">
        <v>2</v>
      </c>
      <c r="H1742" s="2" t="s">
        <v>111</v>
      </c>
      <c r="I1742">
        <v>544.12</v>
      </c>
      <c r="J1742">
        <v>0</v>
      </c>
      <c r="K1742">
        <v>0</v>
      </c>
      <c r="L1742">
        <v>22.96</v>
      </c>
      <c r="M1742">
        <v>163.47</v>
      </c>
      <c r="N1742">
        <v>81.62</v>
      </c>
      <c r="O1742">
        <v>16.079999999999998</v>
      </c>
      <c r="P1742" s="2" t="s">
        <v>42</v>
      </c>
      <c r="Q1742">
        <v>0</v>
      </c>
      <c r="R1742">
        <v>544.12</v>
      </c>
      <c r="S1742">
        <v>284.13</v>
      </c>
      <c r="T1742">
        <v>259.99</v>
      </c>
      <c r="U1742">
        <f t="shared" si="27"/>
        <v>0</v>
      </c>
    </row>
    <row r="1743" spans="1:21" x14ac:dyDescent="0.25">
      <c r="A1743" s="2" t="s">
        <v>2508</v>
      </c>
      <c r="B1743" s="2" t="s">
        <v>2509</v>
      </c>
      <c r="C1743" s="1">
        <v>45812</v>
      </c>
      <c r="D1743" s="2" t="s">
        <v>45</v>
      </c>
      <c r="E1743" s="2" t="s">
        <v>46</v>
      </c>
      <c r="F1743" s="2" t="s">
        <v>51</v>
      </c>
      <c r="G1743">
        <v>3</v>
      </c>
      <c r="H1743" s="2" t="s">
        <v>74</v>
      </c>
      <c r="I1743">
        <v>518.95000000000005</v>
      </c>
      <c r="J1743">
        <v>15</v>
      </c>
      <c r="K1743">
        <v>77.84</v>
      </c>
      <c r="L1743">
        <v>61.94</v>
      </c>
      <c r="M1743">
        <v>252.37</v>
      </c>
      <c r="N1743">
        <v>0</v>
      </c>
      <c r="O1743">
        <v>13.09</v>
      </c>
      <c r="P1743" s="2" t="s">
        <v>42</v>
      </c>
      <c r="Q1743">
        <v>0</v>
      </c>
      <c r="R1743">
        <v>441.11</v>
      </c>
      <c r="S1743">
        <v>327.39999999999998</v>
      </c>
      <c r="T1743">
        <v>113.71</v>
      </c>
      <c r="U1743">
        <f t="shared" si="27"/>
        <v>0</v>
      </c>
    </row>
    <row r="1744" spans="1:21" x14ac:dyDescent="0.25">
      <c r="A1744" s="2" t="s">
        <v>2510</v>
      </c>
      <c r="B1744" s="2" t="s">
        <v>1370</v>
      </c>
      <c r="C1744" s="1">
        <v>45529</v>
      </c>
      <c r="D1744" s="2" t="s">
        <v>59</v>
      </c>
      <c r="E1744" s="2" t="s">
        <v>67</v>
      </c>
      <c r="F1744" s="2" t="s">
        <v>85</v>
      </c>
      <c r="G1744">
        <v>2</v>
      </c>
      <c r="H1744" s="2" t="s">
        <v>41</v>
      </c>
      <c r="I1744">
        <v>206.04</v>
      </c>
      <c r="J1744">
        <v>0</v>
      </c>
      <c r="K1744">
        <v>0</v>
      </c>
      <c r="L1744">
        <v>20.68</v>
      </c>
      <c r="M1744">
        <v>77.28</v>
      </c>
      <c r="N1744">
        <v>30.91</v>
      </c>
      <c r="O1744">
        <v>6.28</v>
      </c>
      <c r="P1744" s="2" t="s">
        <v>42</v>
      </c>
      <c r="Q1744">
        <v>0</v>
      </c>
      <c r="R1744">
        <v>206.04</v>
      </c>
      <c r="S1744">
        <v>135.15</v>
      </c>
      <c r="T1744">
        <v>70.89</v>
      </c>
      <c r="U1744">
        <f t="shared" si="27"/>
        <v>0</v>
      </c>
    </row>
    <row r="1745" spans="1:21" x14ac:dyDescent="0.25">
      <c r="A1745" s="2" t="s">
        <v>2511</v>
      </c>
      <c r="B1745" s="2" t="s">
        <v>1425</v>
      </c>
      <c r="C1745" s="1">
        <v>45582</v>
      </c>
      <c r="D1745" s="2" t="s">
        <v>45</v>
      </c>
      <c r="E1745" s="2" t="s">
        <v>71</v>
      </c>
      <c r="F1745" s="2" t="s">
        <v>40</v>
      </c>
      <c r="G1745">
        <v>1</v>
      </c>
      <c r="H1745" s="2" t="s">
        <v>111</v>
      </c>
      <c r="I1745">
        <v>32.909999999999997</v>
      </c>
      <c r="J1745">
        <v>0</v>
      </c>
      <c r="K1745">
        <v>0</v>
      </c>
      <c r="L1745">
        <v>44.58</v>
      </c>
      <c r="M1745">
        <v>12.42</v>
      </c>
      <c r="N1745">
        <v>0</v>
      </c>
      <c r="O1745">
        <v>1.25</v>
      </c>
      <c r="P1745" s="2" t="s">
        <v>42</v>
      </c>
      <c r="Q1745">
        <v>0</v>
      </c>
      <c r="R1745">
        <v>32.909999999999997</v>
      </c>
      <c r="S1745">
        <v>58.25</v>
      </c>
      <c r="T1745">
        <v>-25.34</v>
      </c>
      <c r="U1745">
        <f t="shared" si="27"/>
        <v>0</v>
      </c>
    </row>
    <row r="1746" spans="1:21" x14ac:dyDescent="0.25">
      <c r="A1746" s="2" t="s">
        <v>2512</v>
      </c>
      <c r="B1746" s="2" t="s">
        <v>799</v>
      </c>
      <c r="C1746" s="1">
        <v>45601</v>
      </c>
      <c r="D1746" s="2" t="s">
        <v>80</v>
      </c>
      <c r="E1746" s="2" t="s">
        <v>55</v>
      </c>
      <c r="F1746" s="2" t="s">
        <v>94</v>
      </c>
      <c r="G1746">
        <v>2</v>
      </c>
      <c r="H1746" s="2" t="s">
        <v>56</v>
      </c>
      <c r="I1746">
        <v>45.95</v>
      </c>
      <c r="J1746">
        <v>10</v>
      </c>
      <c r="K1746">
        <v>4.59</v>
      </c>
      <c r="L1746">
        <v>17</v>
      </c>
      <c r="M1746">
        <v>18.350000000000001</v>
      </c>
      <c r="N1746">
        <v>3.31</v>
      </c>
      <c r="O1746">
        <v>1.5</v>
      </c>
      <c r="P1746" s="2" t="s">
        <v>42</v>
      </c>
      <c r="Q1746">
        <v>0</v>
      </c>
      <c r="R1746">
        <v>41.36</v>
      </c>
      <c r="S1746">
        <v>40.159999999999997</v>
      </c>
      <c r="T1746">
        <v>1.2</v>
      </c>
      <c r="U1746">
        <f t="shared" si="27"/>
        <v>0</v>
      </c>
    </row>
    <row r="1747" spans="1:21" x14ac:dyDescent="0.25">
      <c r="A1747" s="2" t="s">
        <v>2513</v>
      </c>
      <c r="B1747" s="2" t="s">
        <v>2514</v>
      </c>
      <c r="C1747" s="1">
        <v>45871</v>
      </c>
      <c r="D1747" s="2" t="s">
        <v>59</v>
      </c>
      <c r="E1747" s="2" t="s">
        <v>67</v>
      </c>
      <c r="F1747" s="2" t="s">
        <v>51</v>
      </c>
      <c r="G1747">
        <v>5</v>
      </c>
      <c r="H1747" s="2" t="s">
        <v>52</v>
      </c>
      <c r="I1747">
        <v>337.6</v>
      </c>
      <c r="J1747">
        <v>10</v>
      </c>
      <c r="K1747">
        <v>33.76</v>
      </c>
      <c r="L1747">
        <v>89.2</v>
      </c>
      <c r="M1747">
        <v>121.59</v>
      </c>
      <c r="N1747">
        <v>45.58</v>
      </c>
      <c r="O1747">
        <v>9.11</v>
      </c>
      <c r="P1747" s="2" t="s">
        <v>42</v>
      </c>
      <c r="Q1747">
        <v>0</v>
      </c>
      <c r="R1747">
        <v>303.83999999999997</v>
      </c>
      <c r="S1747">
        <v>265.48</v>
      </c>
      <c r="T1747">
        <v>38.36</v>
      </c>
      <c r="U1747">
        <f t="shared" si="27"/>
        <v>0</v>
      </c>
    </row>
    <row r="1748" spans="1:21" x14ac:dyDescent="0.25">
      <c r="A1748" s="2" t="s">
        <v>2515</v>
      </c>
      <c r="B1748" s="2" t="s">
        <v>2516</v>
      </c>
      <c r="C1748" s="1">
        <v>45739</v>
      </c>
      <c r="D1748" s="2" t="s">
        <v>38</v>
      </c>
      <c r="E1748" s="2" t="s">
        <v>67</v>
      </c>
      <c r="F1748" s="2" t="s">
        <v>51</v>
      </c>
      <c r="G1748">
        <v>4</v>
      </c>
      <c r="H1748" s="2" t="s">
        <v>74</v>
      </c>
      <c r="I1748">
        <v>167.13</v>
      </c>
      <c r="J1748">
        <v>0</v>
      </c>
      <c r="K1748">
        <v>0</v>
      </c>
      <c r="L1748">
        <v>59.5</v>
      </c>
      <c r="M1748">
        <v>56.85</v>
      </c>
      <c r="N1748">
        <v>0</v>
      </c>
      <c r="O1748">
        <v>5.15</v>
      </c>
      <c r="P1748" s="2" t="s">
        <v>42</v>
      </c>
      <c r="Q1748">
        <v>0</v>
      </c>
      <c r="R1748">
        <v>167.13</v>
      </c>
      <c r="S1748">
        <v>121.5</v>
      </c>
      <c r="T1748">
        <v>45.63</v>
      </c>
      <c r="U1748">
        <f t="shared" si="27"/>
        <v>0</v>
      </c>
    </row>
    <row r="1749" spans="1:21" x14ac:dyDescent="0.25">
      <c r="A1749" s="2" t="s">
        <v>2517</v>
      </c>
      <c r="B1749" s="2" t="s">
        <v>435</v>
      </c>
      <c r="C1749" s="1">
        <v>45751</v>
      </c>
      <c r="D1749" s="2" t="s">
        <v>59</v>
      </c>
      <c r="E1749" s="2" t="s">
        <v>71</v>
      </c>
      <c r="F1749" s="2" t="s">
        <v>94</v>
      </c>
      <c r="G1749">
        <v>1</v>
      </c>
      <c r="H1749" s="2" t="s">
        <v>64</v>
      </c>
      <c r="I1749">
        <v>90.19</v>
      </c>
      <c r="J1749">
        <v>0</v>
      </c>
      <c r="K1749">
        <v>0</v>
      </c>
      <c r="L1749">
        <v>13.42</v>
      </c>
      <c r="M1749">
        <v>33.04</v>
      </c>
      <c r="N1749">
        <v>13.53</v>
      </c>
      <c r="O1749">
        <v>2.92</v>
      </c>
      <c r="P1749" s="2" t="s">
        <v>42</v>
      </c>
      <c r="Q1749">
        <v>0</v>
      </c>
      <c r="R1749">
        <v>90.19</v>
      </c>
      <c r="S1749">
        <v>62.91</v>
      </c>
      <c r="T1749">
        <v>27.28</v>
      </c>
      <c r="U1749">
        <f t="shared" si="27"/>
        <v>0</v>
      </c>
    </row>
    <row r="1750" spans="1:21" x14ac:dyDescent="0.25">
      <c r="A1750" s="2" t="s">
        <v>2518</v>
      </c>
      <c r="B1750" s="2" t="s">
        <v>287</v>
      </c>
      <c r="C1750" s="1">
        <v>45891</v>
      </c>
      <c r="D1750" s="2" t="s">
        <v>45</v>
      </c>
      <c r="E1750" s="2" t="s">
        <v>46</v>
      </c>
      <c r="F1750" s="2" t="s">
        <v>85</v>
      </c>
      <c r="G1750">
        <v>2</v>
      </c>
      <c r="H1750" s="2" t="s">
        <v>52</v>
      </c>
      <c r="I1750">
        <v>131.68</v>
      </c>
      <c r="J1750">
        <v>5</v>
      </c>
      <c r="K1750">
        <v>6.58</v>
      </c>
      <c r="L1750">
        <v>39.6</v>
      </c>
      <c r="M1750">
        <v>62.7</v>
      </c>
      <c r="N1750">
        <v>0</v>
      </c>
      <c r="O1750">
        <v>3.93</v>
      </c>
      <c r="P1750" s="2" t="s">
        <v>42</v>
      </c>
      <c r="Q1750">
        <v>0</v>
      </c>
      <c r="R1750">
        <v>125.1</v>
      </c>
      <c r="S1750">
        <v>106.23</v>
      </c>
      <c r="T1750">
        <v>18.87</v>
      </c>
      <c r="U1750">
        <f t="shared" si="27"/>
        <v>0</v>
      </c>
    </row>
    <row r="1751" spans="1:21" x14ac:dyDescent="0.25">
      <c r="A1751" s="2" t="s">
        <v>2519</v>
      </c>
      <c r="B1751" s="2" t="s">
        <v>1841</v>
      </c>
      <c r="C1751" s="1">
        <v>45894</v>
      </c>
      <c r="D1751" s="2" t="s">
        <v>38</v>
      </c>
      <c r="E1751" s="2" t="s">
        <v>46</v>
      </c>
      <c r="F1751" s="2" t="s">
        <v>40</v>
      </c>
      <c r="G1751">
        <v>1</v>
      </c>
      <c r="H1751" s="2" t="s">
        <v>111</v>
      </c>
      <c r="I1751">
        <v>67.09</v>
      </c>
      <c r="J1751">
        <v>0</v>
      </c>
      <c r="K1751">
        <v>0</v>
      </c>
      <c r="L1751">
        <v>10.54</v>
      </c>
      <c r="M1751">
        <v>26.96</v>
      </c>
      <c r="N1751">
        <v>0</v>
      </c>
      <c r="O1751">
        <v>2.25</v>
      </c>
      <c r="P1751" s="2" t="s">
        <v>42</v>
      </c>
      <c r="Q1751">
        <v>0</v>
      </c>
      <c r="R1751">
        <v>67.09</v>
      </c>
      <c r="S1751">
        <v>39.75</v>
      </c>
      <c r="T1751">
        <v>27.34</v>
      </c>
      <c r="U1751">
        <f t="shared" si="27"/>
        <v>0</v>
      </c>
    </row>
    <row r="1752" spans="1:21" x14ac:dyDescent="0.25">
      <c r="A1752" s="2" t="s">
        <v>2520</v>
      </c>
      <c r="B1752" s="2" t="s">
        <v>2509</v>
      </c>
      <c r="C1752" s="1">
        <v>45562</v>
      </c>
      <c r="D1752" s="2" t="s">
        <v>38</v>
      </c>
      <c r="E1752" s="2" t="s">
        <v>55</v>
      </c>
      <c r="F1752" s="2" t="s">
        <v>94</v>
      </c>
      <c r="G1752">
        <v>1</v>
      </c>
      <c r="H1752" s="2" t="s">
        <v>111</v>
      </c>
      <c r="I1752">
        <v>314.19</v>
      </c>
      <c r="J1752">
        <v>10</v>
      </c>
      <c r="K1752">
        <v>31.42</v>
      </c>
      <c r="L1752">
        <v>44.82</v>
      </c>
      <c r="M1752">
        <v>102.45</v>
      </c>
      <c r="N1752">
        <v>0</v>
      </c>
      <c r="O1752">
        <v>8.5</v>
      </c>
      <c r="P1752" s="2" t="s">
        <v>42</v>
      </c>
      <c r="Q1752">
        <v>0</v>
      </c>
      <c r="R1752">
        <v>282.77</v>
      </c>
      <c r="S1752">
        <v>155.77000000000001</v>
      </c>
      <c r="T1752">
        <v>127</v>
      </c>
      <c r="U1752">
        <f t="shared" si="27"/>
        <v>0</v>
      </c>
    </row>
    <row r="1753" spans="1:21" x14ac:dyDescent="0.25">
      <c r="A1753" s="2" t="s">
        <v>2521</v>
      </c>
      <c r="B1753" s="2" t="s">
        <v>2522</v>
      </c>
      <c r="C1753" s="1">
        <v>45697</v>
      </c>
      <c r="D1753" s="2" t="s">
        <v>80</v>
      </c>
      <c r="E1753" s="2" t="s">
        <v>46</v>
      </c>
      <c r="F1753" s="2" t="s">
        <v>47</v>
      </c>
      <c r="G1753">
        <v>1</v>
      </c>
      <c r="H1753" s="2" t="s">
        <v>41</v>
      </c>
      <c r="I1753">
        <v>113.13</v>
      </c>
      <c r="J1753">
        <v>0</v>
      </c>
      <c r="K1753">
        <v>0</v>
      </c>
      <c r="L1753">
        <v>43.38</v>
      </c>
      <c r="M1753">
        <v>35.67</v>
      </c>
      <c r="N1753">
        <v>9.0500000000000007</v>
      </c>
      <c r="O1753">
        <v>3.58</v>
      </c>
      <c r="P1753" s="2" t="s">
        <v>42</v>
      </c>
      <c r="Q1753">
        <v>0</v>
      </c>
      <c r="R1753">
        <v>113.13</v>
      </c>
      <c r="S1753">
        <v>91.68</v>
      </c>
      <c r="T1753">
        <v>21.45</v>
      </c>
      <c r="U1753">
        <f t="shared" si="27"/>
        <v>0</v>
      </c>
    </row>
    <row r="1754" spans="1:21" x14ac:dyDescent="0.25">
      <c r="A1754" s="2" t="s">
        <v>2523</v>
      </c>
      <c r="B1754" s="2" t="s">
        <v>127</v>
      </c>
      <c r="C1754" s="1">
        <v>45713</v>
      </c>
      <c r="D1754" s="2" t="s">
        <v>45</v>
      </c>
      <c r="E1754" s="2" t="s">
        <v>46</v>
      </c>
      <c r="F1754" s="2" t="s">
        <v>40</v>
      </c>
      <c r="G1754">
        <v>1</v>
      </c>
      <c r="H1754" s="2" t="s">
        <v>41</v>
      </c>
      <c r="I1754">
        <v>24.38</v>
      </c>
      <c r="J1754">
        <v>15</v>
      </c>
      <c r="K1754">
        <v>3.66</v>
      </c>
      <c r="L1754">
        <v>13.9</v>
      </c>
      <c r="M1754">
        <v>16.190000000000001</v>
      </c>
      <c r="N1754">
        <v>0</v>
      </c>
      <c r="O1754">
        <v>0.9</v>
      </c>
      <c r="P1754" s="2" t="s">
        <v>42</v>
      </c>
      <c r="Q1754">
        <v>0</v>
      </c>
      <c r="R1754">
        <v>20.72</v>
      </c>
      <c r="S1754">
        <v>30.99</v>
      </c>
      <c r="T1754">
        <v>-10.27</v>
      </c>
      <c r="U1754">
        <f t="shared" si="27"/>
        <v>0</v>
      </c>
    </row>
    <row r="1755" spans="1:21" x14ac:dyDescent="0.25">
      <c r="A1755" s="2" t="s">
        <v>2524</v>
      </c>
      <c r="B1755" s="2" t="s">
        <v>2525</v>
      </c>
      <c r="C1755" s="1">
        <v>45379</v>
      </c>
      <c r="D1755" s="2" t="s">
        <v>38</v>
      </c>
      <c r="E1755" s="2" t="s">
        <v>55</v>
      </c>
      <c r="F1755" s="2" t="s">
        <v>94</v>
      </c>
      <c r="G1755">
        <v>4</v>
      </c>
      <c r="H1755" s="2" t="s">
        <v>56</v>
      </c>
      <c r="I1755">
        <v>202.66</v>
      </c>
      <c r="J1755">
        <v>0</v>
      </c>
      <c r="K1755">
        <v>0</v>
      </c>
      <c r="L1755">
        <v>45.74</v>
      </c>
      <c r="M1755">
        <v>95.7</v>
      </c>
      <c r="N1755">
        <v>0</v>
      </c>
      <c r="O1755">
        <v>6.18</v>
      </c>
      <c r="P1755" s="2" t="s">
        <v>42</v>
      </c>
      <c r="Q1755">
        <v>0</v>
      </c>
      <c r="R1755">
        <v>202.66</v>
      </c>
      <c r="S1755">
        <v>147.62</v>
      </c>
      <c r="T1755">
        <v>55.04</v>
      </c>
      <c r="U1755">
        <f t="shared" si="27"/>
        <v>0</v>
      </c>
    </row>
    <row r="1756" spans="1:21" x14ac:dyDescent="0.25">
      <c r="A1756" s="2" t="s">
        <v>2526</v>
      </c>
      <c r="B1756" s="2" t="s">
        <v>449</v>
      </c>
      <c r="C1756" s="1">
        <v>45815</v>
      </c>
      <c r="D1756" s="2" t="s">
        <v>45</v>
      </c>
      <c r="E1756" s="2" t="s">
        <v>55</v>
      </c>
      <c r="F1756" s="2" t="s">
        <v>51</v>
      </c>
      <c r="G1756">
        <v>4</v>
      </c>
      <c r="H1756" s="2" t="s">
        <v>111</v>
      </c>
      <c r="I1756">
        <v>388.48</v>
      </c>
      <c r="J1756">
        <v>25</v>
      </c>
      <c r="K1756">
        <v>97.12</v>
      </c>
      <c r="L1756">
        <v>44.3</v>
      </c>
      <c r="M1756">
        <v>131.24</v>
      </c>
      <c r="N1756">
        <v>0</v>
      </c>
      <c r="O1756">
        <v>8.75</v>
      </c>
      <c r="P1756" s="2" t="s">
        <v>42</v>
      </c>
      <c r="Q1756">
        <v>0</v>
      </c>
      <c r="R1756">
        <v>291.36</v>
      </c>
      <c r="S1756">
        <v>184.29</v>
      </c>
      <c r="T1756">
        <v>107.07</v>
      </c>
      <c r="U1756">
        <f t="shared" si="27"/>
        <v>0</v>
      </c>
    </row>
    <row r="1757" spans="1:21" x14ac:dyDescent="0.25">
      <c r="A1757" s="2" t="s">
        <v>2527</v>
      </c>
      <c r="B1757" s="2" t="s">
        <v>975</v>
      </c>
      <c r="C1757" s="1">
        <v>45787</v>
      </c>
      <c r="D1757" s="2" t="s">
        <v>45</v>
      </c>
      <c r="E1757" s="2" t="s">
        <v>55</v>
      </c>
      <c r="F1757" s="2" t="s">
        <v>94</v>
      </c>
      <c r="G1757">
        <v>1</v>
      </c>
      <c r="H1757" s="2" t="s">
        <v>56</v>
      </c>
      <c r="I1757">
        <v>36.49</v>
      </c>
      <c r="J1757">
        <v>0</v>
      </c>
      <c r="K1757">
        <v>0</v>
      </c>
      <c r="L1757">
        <v>12.38</v>
      </c>
      <c r="M1757">
        <v>15.2</v>
      </c>
      <c r="N1757">
        <v>0</v>
      </c>
      <c r="O1757">
        <v>1.36</v>
      </c>
      <c r="P1757" s="2" t="s">
        <v>42</v>
      </c>
      <c r="Q1757">
        <v>0</v>
      </c>
      <c r="R1757">
        <v>36.49</v>
      </c>
      <c r="S1757">
        <v>28.94</v>
      </c>
      <c r="T1757">
        <v>7.55</v>
      </c>
      <c r="U1757">
        <f t="shared" si="27"/>
        <v>0</v>
      </c>
    </row>
    <row r="1758" spans="1:21" x14ac:dyDescent="0.25">
      <c r="A1758" s="2" t="s">
        <v>2528</v>
      </c>
      <c r="B1758" s="2" t="s">
        <v>231</v>
      </c>
      <c r="C1758" s="1">
        <v>45738</v>
      </c>
      <c r="D1758" s="2" t="s">
        <v>38</v>
      </c>
      <c r="E1758" s="2" t="s">
        <v>71</v>
      </c>
      <c r="F1758" s="2" t="s">
        <v>40</v>
      </c>
      <c r="G1758">
        <v>1</v>
      </c>
      <c r="H1758" s="2" t="s">
        <v>77</v>
      </c>
      <c r="I1758">
        <v>19.309999999999999</v>
      </c>
      <c r="J1758">
        <v>0</v>
      </c>
      <c r="K1758">
        <v>0</v>
      </c>
      <c r="L1758">
        <v>5.9</v>
      </c>
      <c r="M1758">
        <v>6.23</v>
      </c>
      <c r="N1758">
        <v>0</v>
      </c>
      <c r="O1758">
        <v>0.86</v>
      </c>
      <c r="P1758" s="2" t="s">
        <v>42</v>
      </c>
      <c r="Q1758">
        <v>0</v>
      </c>
      <c r="R1758">
        <v>19.309999999999999</v>
      </c>
      <c r="S1758">
        <v>12.99</v>
      </c>
      <c r="T1758">
        <v>6.32</v>
      </c>
      <c r="U1758">
        <f t="shared" si="27"/>
        <v>0</v>
      </c>
    </row>
    <row r="1759" spans="1:21" x14ac:dyDescent="0.25">
      <c r="A1759" s="2" t="s">
        <v>2529</v>
      </c>
      <c r="B1759" s="2" t="s">
        <v>334</v>
      </c>
      <c r="C1759" s="1">
        <v>45408</v>
      </c>
      <c r="D1759" s="2" t="s">
        <v>45</v>
      </c>
      <c r="E1759" s="2" t="s">
        <v>71</v>
      </c>
      <c r="F1759" s="2" t="s">
        <v>85</v>
      </c>
      <c r="G1759">
        <v>2</v>
      </c>
      <c r="H1759" s="2" t="s">
        <v>74</v>
      </c>
      <c r="I1759">
        <v>361.41</v>
      </c>
      <c r="J1759">
        <v>0</v>
      </c>
      <c r="K1759">
        <v>0</v>
      </c>
      <c r="L1759">
        <v>78.599999999999994</v>
      </c>
      <c r="M1759">
        <v>131.19</v>
      </c>
      <c r="N1759">
        <v>0</v>
      </c>
      <c r="O1759">
        <v>10.78</v>
      </c>
      <c r="P1759" s="2" t="s">
        <v>42</v>
      </c>
      <c r="Q1759">
        <v>0</v>
      </c>
      <c r="R1759">
        <v>361.41</v>
      </c>
      <c r="S1759">
        <v>220.57</v>
      </c>
      <c r="T1759">
        <v>140.84</v>
      </c>
      <c r="U1759">
        <f t="shared" si="27"/>
        <v>0</v>
      </c>
    </row>
    <row r="1760" spans="1:21" x14ac:dyDescent="0.25">
      <c r="A1760" s="2" t="s">
        <v>2530</v>
      </c>
      <c r="B1760" s="2" t="s">
        <v>147</v>
      </c>
      <c r="C1760" s="1">
        <v>46014</v>
      </c>
      <c r="D1760" s="2" t="s">
        <v>80</v>
      </c>
      <c r="E1760" s="2" t="s">
        <v>67</v>
      </c>
      <c r="F1760" s="2" t="s">
        <v>51</v>
      </c>
      <c r="G1760">
        <v>2</v>
      </c>
      <c r="H1760" s="2" t="s">
        <v>74</v>
      </c>
      <c r="I1760">
        <v>157.13</v>
      </c>
      <c r="J1760">
        <v>5</v>
      </c>
      <c r="K1760">
        <v>7.86</v>
      </c>
      <c r="L1760">
        <v>20.6</v>
      </c>
      <c r="M1760">
        <v>64.55</v>
      </c>
      <c r="N1760">
        <v>11.94</v>
      </c>
      <c r="O1760">
        <v>4.63</v>
      </c>
      <c r="P1760" s="2" t="s">
        <v>42</v>
      </c>
      <c r="Q1760">
        <v>0</v>
      </c>
      <c r="R1760">
        <v>149.27000000000001</v>
      </c>
      <c r="S1760">
        <v>101.72</v>
      </c>
      <c r="T1760">
        <v>47.55</v>
      </c>
      <c r="U1760">
        <f t="shared" si="27"/>
        <v>0</v>
      </c>
    </row>
    <row r="1761" spans="1:21" x14ac:dyDescent="0.25">
      <c r="A1761" s="2" t="s">
        <v>2531</v>
      </c>
      <c r="B1761" s="2" t="s">
        <v>1764</v>
      </c>
      <c r="C1761" s="1">
        <v>45857</v>
      </c>
      <c r="D1761" s="2" t="s">
        <v>59</v>
      </c>
      <c r="E1761" s="2" t="s">
        <v>55</v>
      </c>
      <c r="F1761" s="2" t="s">
        <v>85</v>
      </c>
      <c r="G1761">
        <v>1</v>
      </c>
      <c r="H1761" s="2" t="s">
        <v>111</v>
      </c>
      <c r="I1761">
        <v>26.25</v>
      </c>
      <c r="J1761">
        <v>15</v>
      </c>
      <c r="K1761">
        <v>3.94</v>
      </c>
      <c r="L1761">
        <v>7.18</v>
      </c>
      <c r="M1761">
        <v>10.78</v>
      </c>
      <c r="N1761">
        <v>3.35</v>
      </c>
      <c r="O1761">
        <v>0.95</v>
      </c>
      <c r="P1761" s="2" t="s">
        <v>42</v>
      </c>
      <c r="Q1761">
        <v>0</v>
      </c>
      <c r="R1761">
        <v>22.31</v>
      </c>
      <c r="S1761">
        <v>22.26</v>
      </c>
      <c r="T1761">
        <v>0.05</v>
      </c>
      <c r="U1761">
        <f t="shared" si="27"/>
        <v>0</v>
      </c>
    </row>
    <row r="1762" spans="1:21" x14ac:dyDescent="0.25">
      <c r="A1762" s="2" t="s">
        <v>2532</v>
      </c>
      <c r="B1762" s="2" t="s">
        <v>1216</v>
      </c>
      <c r="C1762" s="1">
        <v>45668</v>
      </c>
      <c r="D1762" s="2" t="s">
        <v>38</v>
      </c>
      <c r="E1762" s="2" t="s">
        <v>46</v>
      </c>
      <c r="F1762" s="2" t="s">
        <v>47</v>
      </c>
      <c r="G1762">
        <v>1</v>
      </c>
      <c r="H1762" s="2" t="s">
        <v>77</v>
      </c>
      <c r="I1762">
        <v>20.82</v>
      </c>
      <c r="J1762">
        <v>10</v>
      </c>
      <c r="K1762">
        <v>2.08</v>
      </c>
      <c r="L1762">
        <v>19.16</v>
      </c>
      <c r="M1762">
        <v>9.1199999999999992</v>
      </c>
      <c r="N1762">
        <v>0</v>
      </c>
      <c r="O1762">
        <v>0.84</v>
      </c>
      <c r="P1762" s="2" t="s">
        <v>42</v>
      </c>
      <c r="Q1762">
        <v>0</v>
      </c>
      <c r="R1762">
        <v>18.739999999999998</v>
      </c>
      <c r="S1762">
        <v>29.12</v>
      </c>
      <c r="T1762">
        <v>-10.38</v>
      </c>
      <c r="U1762">
        <f t="shared" si="27"/>
        <v>0</v>
      </c>
    </row>
    <row r="1763" spans="1:21" x14ac:dyDescent="0.25">
      <c r="A1763" s="2" t="s">
        <v>2533</v>
      </c>
      <c r="B1763" s="2" t="s">
        <v>2534</v>
      </c>
      <c r="C1763" s="1">
        <v>45848</v>
      </c>
      <c r="D1763" s="2" t="s">
        <v>38</v>
      </c>
      <c r="E1763" s="2" t="s">
        <v>55</v>
      </c>
      <c r="F1763" s="2" t="s">
        <v>85</v>
      </c>
      <c r="G1763">
        <v>1</v>
      </c>
      <c r="H1763" s="2" t="s">
        <v>77</v>
      </c>
      <c r="I1763">
        <v>26.5</v>
      </c>
      <c r="J1763">
        <v>0</v>
      </c>
      <c r="K1763">
        <v>0</v>
      </c>
      <c r="L1763">
        <v>5.5</v>
      </c>
      <c r="M1763">
        <v>8.06</v>
      </c>
      <c r="N1763">
        <v>0</v>
      </c>
      <c r="O1763">
        <v>1.07</v>
      </c>
      <c r="P1763" s="2" t="s">
        <v>42</v>
      </c>
      <c r="Q1763">
        <v>0</v>
      </c>
      <c r="R1763">
        <v>26.5</v>
      </c>
      <c r="S1763">
        <v>14.63</v>
      </c>
      <c r="T1763">
        <v>11.87</v>
      </c>
      <c r="U1763">
        <f t="shared" si="27"/>
        <v>0</v>
      </c>
    </row>
    <row r="1764" spans="1:21" x14ac:dyDescent="0.25">
      <c r="A1764" s="2" t="s">
        <v>2535</v>
      </c>
      <c r="B1764" s="2" t="s">
        <v>862</v>
      </c>
      <c r="C1764" s="1">
        <v>45566</v>
      </c>
      <c r="D1764" s="2" t="s">
        <v>59</v>
      </c>
      <c r="E1764" s="2" t="s">
        <v>55</v>
      </c>
      <c r="F1764" s="2" t="s">
        <v>51</v>
      </c>
      <c r="G1764">
        <v>2</v>
      </c>
      <c r="H1764" s="2" t="s">
        <v>77</v>
      </c>
      <c r="I1764">
        <v>58.82</v>
      </c>
      <c r="J1764">
        <v>0</v>
      </c>
      <c r="K1764">
        <v>0</v>
      </c>
      <c r="L1764">
        <v>14.58</v>
      </c>
      <c r="M1764">
        <v>22.08</v>
      </c>
      <c r="N1764">
        <v>8.82</v>
      </c>
      <c r="O1764">
        <v>2.0099999999999998</v>
      </c>
      <c r="P1764" s="2" t="s">
        <v>42</v>
      </c>
      <c r="Q1764">
        <v>0</v>
      </c>
      <c r="R1764">
        <v>58.82</v>
      </c>
      <c r="S1764">
        <v>47.49</v>
      </c>
      <c r="T1764">
        <v>11.33</v>
      </c>
      <c r="U1764">
        <f t="shared" si="27"/>
        <v>0</v>
      </c>
    </row>
    <row r="1765" spans="1:21" x14ac:dyDescent="0.25">
      <c r="A1765" s="2" t="s">
        <v>2536</v>
      </c>
      <c r="B1765" s="2" t="s">
        <v>658</v>
      </c>
      <c r="C1765" s="1">
        <v>45914</v>
      </c>
      <c r="D1765" s="2" t="s">
        <v>38</v>
      </c>
      <c r="E1765" s="2" t="s">
        <v>46</v>
      </c>
      <c r="F1765" s="2" t="s">
        <v>47</v>
      </c>
      <c r="G1765">
        <v>2</v>
      </c>
      <c r="H1765" s="2" t="s">
        <v>52</v>
      </c>
      <c r="I1765">
        <v>240.75</v>
      </c>
      <c r="J1765">
        <v>10</v>
      </c>
      <c r="K1765">
        <v>24.07</v>
      </c>
      <c r="L1765">
        <v>56.28</v>
      </c>
      <c r="M1765">
        <v>126.06</v>
      </c>
      <c r="N1765">
        <v>0</v>
      </c>
      <c r="O1765">
        <v>6.58</v>
      </c>
      <c r="P1765" s="2" t="s">
        <v>42</v>
      </c>
      <c r="Q1765">
        <v>0</v>
      </c>
      <c r="R1765">
        <v>216.68</v>
      </c>
      <c r="S1765">
        <v>188.92</v>
      </c>
      <c r="T1765">
        <v>27.76</v>
      </c>
      <c r="U1765">
        <f t="shared" si="27"/>
        <v>0</v>
      </c>
    </row>
    <row r="1766" spans="1:21" x14ac:dyDescent="0.25">
      <c r="A1766" s="2" t="s">
        <v>2537</v>
      </c>
      <c r="B1766" s="2" t="s">
        <v>1363</v>
      </c>
      <c r="C1766" s="1">
        <v>45830</v>
      </c>
      <c r="D1766" s="2" t="s">
        <v>38</v>
      </c>
      <c r="E1766" s="2" t="s">
        <v>46</v>
      </c>
      <c r="F1766" s="2" t="s">
        <v>51</v>
      </c>
      <c r="G1766">
        <v>1</v>
      </c>
      <c r="H1766" s="2" t="s">
        <v>41</v>
      </c>
      <c r="I1766">
        <v>260.5</v>
      </c>
      <c r="J1766">
        <v>5</v>
      </c>
      <c r="K1766">
        <v>13.03</v>
      </c>
      <c r="L1766">
        <v>11.82</v>
      </c>
      <c r="M1766">
        <v>78.92</v>
      </c>
      <c r="N1766">
        <v>0</v>
      </c>
      <c r="O1766">
        <v>7.48</v>
      </c>
      <c r="P1766" s="2" t="s">
        <v>42</v>
      </c>
      <c r="Q1766">
        <v>0</v>
      </c>
      <c r="R1766">
        <v>247.47</v>
      </c>
      <c r="S1766">
        <v>98.22</v>
      </c>
      <c r="T1766">
        <v>149.25</v>
      </c>
      <c r="U1766">
        <f t="shared" si="27"/>
        <v>0</v>
      </c>
    </row>
    <row r="1767" spans="1:21" x14ac:dyDescent="0.25">
      <c r="A1767" s="2" t="s">
        <v>2538</v>
      </c>
      <c r="B1767" s="2" t="s">
        <v>459</v>
      </c>
      <c r="C1767" s="1">
        <v>45824</v>
      </c>
      <c r="D1767" s="2" t="s">
        <v>59</v>
      </c>
      <c r="E1767" s="2" t="s">
        <v>46</v>
      </c>
      <c r="F1767" s="2" t="s">
        <v>40</v>
      </c>
      <c r="G1767">
        <v>3</v>
      </c>
      <c r="H1767" s="2" t="s">
        <v>64</v>
      </c>
      <c r="I1767">
        <v>130.82</v>
      </c>
      <c r="J1767">
        <v>0</v>
      </c>
      <c r="K1767">
        <v>0</v>
      </c>
      <c r="L1767">
        <v>23.46</v>
      </c>
      <c r="M1767">
        <v>60.31</v>
      </c>
      <c r="N1767">
        <v>19.62</v>
      </c>
      <c r="O1767">
        <v>4.09</v>
      </c>
      <c r="P1767" s="2" t="s">
        <v>42</v>
      </c>
      <c r="Q1767">
        <v>0</v>
      </c>
      <c r="R1767">
        <v>130.82</v>
      </c>
      <c r="S1767">
        <v>107.48</v>
      </c>
      <c r="T1767">
        <v>23.34</v>
      </c>
      <c r="U1767">
        <f t="shared" si="27"/>
        <v>0</v>
      </c>
    </row>
    <row r="1768" spans="1:21" x14ac:dyDescent="0.25">
      <c r="A1768" s="2" t="s">
        <v>2539</v>
      </c>
      <c r="B1768" s="2" t="s">
        <v>1449</v>
      </c>
      <c r="C1768" s="1">
        <v>45865</v>
      </c>
      <c r="D1768" s="2" t="s">
        <v>59</v>
      </c>
      <c r="E1768" s="2" t="s">
        <v>71</v>
      </c>
      <c r="F1768" s="2" t="s">
        <v>40</v>
      </c>
      <c r="G1768">
        <v>1</v>
      </c>
      <c r="H1768" s="2" t="s">
        <v>77</v>
      </c>
      <c r="I1768">
        <v>19.309999999999999</v>
      </c>
      <c r="J1768">
        <v>20</v>
      </c>
      <c r="K1768">
        <v>3.86</v>
      </c>
      <c r="L1768">
        <v>5.9</v>
      </c>
      <c r="M1768">
        <v>6.23</v>
      </c>
      <c r="N1768">
        <v>2.3199999999999998</v>
      </c>
      <c r="O1768">
        <v>0.75</v>
      </c>
      <c r="P1768" s="2" t="s">
        <v>68</v>
      </c>
      <c r="Q1768">
        <v>15.45</v>
      </c>
      <c r="R1768">
        <v>0</v>
      </c>
      <c r="S1768">
        <v>15.2</v>
      </c>
      <c r="T1768">
        <v>-15.2</v>
      </c>
      <c r="U1768">
        <f t="shared" si="27"/>
        <v>0</v>
      </c>
    </row>
    <row r="1769" spans="1:21" x14ac:dyDescent="0.25">
      <c r="A1769" s="2" t="s">
        <v>2540</v>
      </c>
      <c r="B1769" s="2" t="s">
        <v>2541</v>
      </c>
      <c r="C1769" s="1">
        <v>45707</v>
      </c>
      <c r="D1769" s="2" t="s">
        <v>45</v>
      </c>
      <c r="E1769" s="2" t="s">
        <v>55</v>
      </c>
      <c r="F1769" s="2" t="s">
        <v>40</v>
      </c>
      <c r="G1769">
        <v>2</v>
      </c>
      <c r="H1769" s="2" t="s">
        <v>56</v>
      </c>
      <c r="I1769">
        <v>41.67</v>
      </c>
      <c r="J1769">
        <v>10</v>
      </c>
      <c r="K1769">
        <v>4.17</v>
      </c>
      <c r="L1769">
        <v>18.12</v>
      </c>
      <c r="M1769">
        <v>18.5</v>
      </c>
      <c r="N1769">
        <v>0</v>
      </c>
      <c r="O1769">
        <v>1.39</v>
      </c>
      <c r="P1769" s="2" t="s">
        <v>68</v>
      </c>
      <c r="Q1769">
        <v>37.5</v>
      </c>
      <c r="R1769">
        <v>0</v>
      </c>
      <c r="S1769">
        <v>38.01</v>
      </c>
      <c r="T1769">
        <v>-38.01</v>
      </c>
      <c r="U1769">
        <f t="shared" si="27"/>
        <v>0</v>
      </c>
    </row>
    <row r="1770" spans="1:21" x14ac:dyDescent="0.25">
      <c r="A1770" s="2" t="s">
        <v>2542</v>
      </c>
      <c r="B1770" s="2" t="s">
        <v>653</v>
      </c>
      <c r="C1770" s="1">
        <v>45375</v>
      </c>
      <c r="D1770" s="2" t="s">
        <v>45</v>
      </c>
      <c r="E1770" s="2" t="s">
        <v>39</v>
      </c>
      <c r="F1770" s="2" t="s">
        <v>51</v>
      </c>
      <c r="G1770">
        <v>1</v>
      </c>
      <c r="H1770" s="2" t="s">
        <v>77</v>
      </c>
      <c r="I1770">
        <v>17.989999999999998</v>
      </c>
      <c r="J1770">
        <v>0</v>
      </c>
      <c r="K1770">
        <v>0</v>
      </c>
      <c r="L1770">
        <v>11.74</v>
      </c>
      <c r="M1770">
        <v>7.88</v>
      </c>
      <c r="N1770">
        <v>0</v>
      </c>
      <c r="O1770">
        <v>0.82</v>
      </c>
      <c r="P1770" s="2" t="s">
        <v>42</v>
      </c>
      <c r="Q1770">
        <v>0</v>
      </c>
      <c r="R1770">
        <v>17.989999999999998</v>
      </c>
      <c r="S1770">
        <v>20.440000000000001</v>
      </c>
      <c r="T1770">
        <v>-2.4500000000000002</v>
      </c>
      <c r="U1770">
        <f t="shared" si="27"/>
        <v>1</v>
      </c>
    </row>
    <row r="1771" spans="1:21" x14ac:dyDescent="0.25">
      <c r="A1771" s="2" t="s">
        <v>2543</v>
      </c>
      <c r="B1771" s="2" t="s">
        <v>280</v>
      </c>
      <c r="C1771" s="1">
        <v>45633</v>
      </c>
      <c r="D1771" s="2" t="s">
        <v>59</v>
      </c>
      <c r="E1771" s="2" t="s">
        <v>71</v>
      </c>
      <c r="F1771" s="2" t="s">
        <v>51</v>
      </c>
      <c r="G1771">
        <v>1</v>
      </c>
      <c r="H1771" s="2" t="s">
        <v>77</v>
      </c>
      <c r="I1771">
        <v>20</v>
      </c>
      <c r="J1771">
        <v>10</v>
      </c>
      <c r="K1771">
        <v>2</v>
      </c>
      <c r="L1771">
        <v>12.28</v>
      </c>
      <c r="M1771">
        <v>6.7</v>
      </c>
      <c r="N1771">
        <v>2.7</v>
      </c>
      <c r="O1771">
        <v>0.82</v>
      </c>
      <c r="P1771" s="2" t="s">
        <v>42</v>
      </c>
      <c r="Q1771">
        <v>0</v>
      </c>
      <c r="R1771">
        <v>18</v>
      </c>
      <c r="S1771">
        <v>22.5</v>
      </c>
      <c r="T1771">
        <v>-4.5</v>
      </c>
      <c r="U1771">
        <f t="shared" si="27"/>
        <v>1</v>
      </c>
    </row>
    <row r="1772" spans="1:21" x14ac:dyDescent="0.25">
      <c r="A1772" s="2" t="s">
        <v>2544</v>
      </c>
      <c r="B1772" s="2" t="s">
        <v>2162</v>
      </c>
      <c r="C1772" s="1">
        <v>45715</v>
      </c>
      <c r="D1772" s="2" t="s">
        <v>38</v>
      </c>
      <c r="E1772" s="2" t="s">
        <v>67</v>
      </c>
      <c r="F1772" s="2" t="s">
        <v>85</v>
      </c>
      <c r="G1772">
        <v>2</v>
      </c>
      <c r="H1772" s="2" t="s">
        <v>111</v>
      </c>
      <c r="I1772">
        <v>91.35</v>
      </c>
      <c r="J1772">
        <v>5</v>
      </c>
      <c r="K1772">
        <v>4.57</v>
      </c>
      <c r="L1772">
        <v>14.12</v>
      </c>
      <c r="M1772">
        <v>43.15</v>
      </c>
      <c r="N1772">
        <v>0</v>
      </c>
      <c r="O1772">
        <v>2.82</v>
      </c>
      <c r="P1772" s="2" t="s">
        <v>68</v>
      </c>
      <c r="Q1772">
        <v>86.78</v>
      </c>
      <c r="R1772">
        <v>0</v>
      </c>
      <c r="S1772">
        <v>60.09</v>
      </c>
      <c r="T1772">
        <v>-60.09</v>
      </c>
      <c r="U1772">
        <f t="shared" si="27"/>
        <v>0</v>
      </c>
    </row>
    <row r="1773" spans="1:21" x14ac:dyDescent="0.25">
      <c r="A1773" s="2" t="s">
        <v>2545</v>
      </c>
      <c r="B1773" s="2" t="s">
        <v>2546</v>
      </c>
      <c r="C1773" s="1">
        <v>45945</v>
      </c>
      <c r="D1773" s="2" t="s">
        <v>38</v>
      </c>
      <c r="E1773" s="2" t="s">
        <v>71</v>
      </c>
      <c r="F1773" s="2" t="s">
        <v>40</v>
      </c>
      <c r="G1773">
        <v>2</v>
      </c>
      <c r="H1773" s="2" t="s">
        <v>77</v>
      </c>
      <c r="I1773">
        <v>201.22</v>
      </c>
      <c r="J1773">
        <v>10</v>
      </c>
      <c r="K1773">
        <v>20.12</v>
      </c>
      <c r="L1773">
        <v>20.12</v>
      </c>
      <c r="M1773">
        <v>72.58</v>
      </c>
      <c r="N1773">
        <v>0</v>
      </c>
      <c r="O1773">
        <v>5.55</v>
      </c>
      <c r="P1773" s="2" t="s">
        <v>42</v>
      </c>
      <c r="Q1773">
        <v>0</v>
      </c>
      <c r="R1773">
        <v>181.1</v>
      </c>
      <c r="S1773">
        <v>98.25</v>
      </c>
      <c r="T1773">
        <v>82.85</v>
      </c>
      <c r="U1773">
        <f t="shared" si="27"/>
        <v>0</v>
      </c>
    </row>
    <row r="1774" spans="1:21" x14ac:dyDescent="0.25">
      <c r="A1774" s="2" t="s">
        <v>2547</v>
      </c>
      <c r="B1774" s="2" t="s">
        <v>2162</v>
      </c>
      <c r="C1774" s="1">
        <v>45893</v>
      </c>
      <c r="D1774" s="2" t="s">
        <v>38</v>
      </c>
      <c r="E1774" s="2" t="s">
        <v>46</v>
      </c>
      <c r="F1774" s="2" t="s">
        <v>47</v>
      </c>
      <c r="G1774">
        <v>1</v>
      </c>
      <c r="H1774" s="2" t="s">
        <v>74</v>
      </c>
      <c r="I1774">
        <v>27.84</v>
      </c>
      <c r="J1774">
        <v>0</v>
      </c>
      <c r="K1774">
        <v>0</v>
      </c>
      <c r="L1774">
        <v>7.42</v>
      </c>
      <c r="M1774">
        <v>8.24</v>
      </c>
      <c r="N1774">
        <v>0</v>
      </c>
      <c r="O1774">
        <v>1.1100000000000001</v>
      </c>
      <c r="P1774" s="2" t="s">
        <v>42</v>
      </c>
      <c r="Q1774">
        <v>0</v>
      </c>
      <c r="R1774">
        <v>27.84</v>
      </c>
      <c r="S1774">
        <v>16.77</v>
      </c>
      <c r="T1774">
        <v>11.07</v>
      </c>
      <c r="U1774">
        <f t="shared" si="27"/>
        <v>1</v>
      </c>
    </row>
    <row r="1775" spans="1:21" x14ac:dyDescent="0.25">
      <c r="A1775" s="2" t="s">
        <v>2548</v>
      </c>
      <c r="B1775" s="2" t="s">
        <v>1187</v>
      </c>
      <c r="C1775" s="1">
        <v>45818</v>
      </c>
      <c r="D1775" s="2" t="s">
        <v>80</v>
      </c>
      <c r="E1775" s="2" t="s">
        <v>46</v>
      </c>
      <c r="F1775" s="2" t="s">
        <v>51</v>
      </c>
      <c r="G1775">
        <v>3</v>
      </c>
      <c r="H1775" s="2" t="s">
        <v>52</v>
      </c>
      <c r="I1775">
        <v>55.76</v>
      </c>
      <c r="J1775">
        <v>0</v>
      </c>
      <c r="K1775">
        <v>0</v>
      </c>
      <c r="L1775">
        <v>25.06</v>
      </c>
      <c r="M1775">
        <v>18.309999999999999</v>
      </c>
      <c r="N1775">
        <v>4.46</v>
      </c>
      <c r="O1775">
        <v>1.92</v>
      </c>
      <c r="P1775" s="2" t="s">
        <v>42</v>
      </c>
      <c r="Q1775">
        <v>0</v>
      </c>
      <c r="R1775">
        <v>55.76</v>
      </c>
      <c r="S1775">
        <v>49.75</v>
      </c>
      <c r="T1775">
        <v>6.01</v>
      </c>
      <c r="U1775">
        <f t="shared" si="27"/>
        <v>0</v>
      </c>
    </row>
    <row r="1776" spans="1:21" x14ac:dyDescent="0.25">
      <c r="A1776" s="2" t="s">
        <v>2549</v>
      </c>
      <c r="B1776" s="2" t="s">
        <v>100</v>
      </c>
      <c r="C1776" s="1">
        <v>45815</v>
      </c>
      <c r="D1776" s="2" t="s">
        <v>38</v>
      </c>
      <c r="E1776" s="2" t="s">
        <v>71</v>
      </c>
      <c r="F1776" s="2" t="s">
        <v>85</v>
      </c>
      <c r="G1776">
        <v>3</v>
      </c>
      <c r="H1776" s="2" t="s">
        <v>111</v>
      </c>
      <c r="I1776">
        <v>316.73</v>
      </c>
      <c r="J1776">
        <v>0</v>
      </c>
      <c r="K1776">
        <v>0</v>
      </c>
      <c r="L1776">
        <v>30.96</v>
      </c>
      <c r="M1776">
        <v>92.33</v>
      </c>
      <c r="N1776">
        <v>0</v>
      </c>
      <c r="O1776">
        <v>9.49</v>
      </c>
      <c r="P1776" s="2" t="s">
        <v>42</v>
      </c>
      <c r="Q1776">
        <v>0</v>
      </c>
      <c r="R1776">
        <v>316.73</v>
      </c>
      <c r="S1776">
        <v>132.78</v>
      </c>
      <c r="T1776">
        <v>183.95</v>
      </c>
      <c r="U1776">
        <f t="shared" si="27"/>
        <v>0</v>
      </c>
    </row>
    <row r="1777" spans="1:21" x14ac:dyDescent="0.25">
      <c r="A1777" s="2" t="s">
        <v>2550</v>
      </c>
      <c r="B1777" s="2" t="s">
        <v>1296</v>
      </c>
      <c r="C1777" s="1">
        <v>45866</v>
      </c>
      <c r="D1777" s="2" t="s">
        <v>59</v>
      </c>
      <c r="E1777" s="2" t="s">
        <v>55</v>
      </c>
      <c r="F1777" s="2" t="s">
        <v>47</v>
      </c>
      <c r="G1777">
        <v>3</v>
      </c>
      <c r="H1777" s="2" t="s">
        <v>41</v>
      </c>
      <c r="I1777">
        <v>1081.1400000000001</v>
      </c>
      <c r="J1777">
        <v>0</v>
      </c>
      <c r="K1777">
        <v>0</v>
      </c>
      <c r="L1777">
        <v>57.04</v>
      </c>
      <c r="M1777">
        <v>364.93</v>
      </c>
      <c r="N1777">
        <v>162.16999999999999</v>
      </c>
      <c r="O1777">
        <v>31.65</v>
      </c>
      <c r="P1777" s="2" t="s">
        <v>42</v>
      </c>
      <c r="Q1777">
        <v>0</v>
      </c>
      <c r="R1777">
        <v>1081.1400000000001</v>
      </c>
      <c r="S1777">
        <v>615.79</v>
      </c>
      <c r="T1777">
        <v>465.35</v>
      </c>
      <c r="U1777">
        <f t="shared" si="27"/>
        <v>0</v>
      </c>
    </row>
    <row r="1778" spans="1:21" x14ac:dyDescent="0.25">
      <c r="A1778" s="2" t="s">
        <v>2551</v>
      </c>
      <c r="B1778" s="2" t="s">
        <v>1400</v>
      </c>
      <c r="C1778" s="1">
        <v>45886</v>
      </c>
      <c r="D1778" s="2" t="s">
        <v>45</v>
      </c>
      <c r="E1778" s="2" t="s">
        <v>46</v>
      </c>
      <c r="F1778" s="2" t="s">
        <v>94</v>
      </c>
      <c r="G1778">
        <v>1</v>
      </c>
      <c r="H1778" s="2" t="s">
        <v>41</v>
      </c>
      <c r="I1778">
        <v>78.790000000000006</v>
      </c>
      <c r="J1778">
        <v>0</v>
      </c>
      <c r="K1778">
        <v>0</v>
      </c>
      <c r="L1778">
        <v>13.5</v>
      </c>
      <c r="M1778">
        <v>31.36</v>
      </c>
      <c r="N1778">
        <v>0</v>
      </c>
      <c r="O1778">
        <v>2.58</v>
      </c>
      <c r="P1778" s="2" t="s">
        <v>68</v>
      </c>
      <c r="Q1778">
        <v>78.790000000000006</v>
      </c>
      <c r="R1778">
        <v>0</v>
      </c>
      <c r="S1778">
        <v>47.44</v>
      </c>
      <c r="T1778">
        <v>-47.44</v>
      </c>
      <c r="U1778">
        <f t="shared" si="27"/>
        <v>0</v>
      </c>
    </row>
    <row r="1779" spans="1:21" x14ac:dyDescent="0.25">
      <c r="A1779" s="2" t="s">
        <v>2552</v>
      </c>
      <c r="B1779" s="2" t="s">
        <v>694</v>
      </c>
      <c r="C1779" s="1">
        <v>45824</v>
      </c>
      <c r="D1779" s="2" t="s">
        <v>45</v>
      </c>
      <c r="E1779" s="2" t="s">
        <v>46</v>
      </c>
      <c r="F1779" s="2" t="s">
        <v>51</v>
      </c>
      <c r="G1779">
        <v>1</v>
      </c>
      <c r="H1779" s="2" t="s">
        <v>41</v>
      </c>
      <c r="I1779">
        <v>24.38</v>
      </c>
      <c r="J1779">
        <v>5</v>
      </c>
      <c r="K1779">
        <v>1.22</v>
      </c>
      <c r="L1779">
        <v>13.9</v>
      </c>
      <c r="M1779">
        <v>16.190000000000001</v>
      </c>
      <c r="N1779">
        <v>0</v>
      </c>
      <c r="O1779">
        <v>0.97</v>
      </c>
      <c r="P1779" s="2" t="s">
        <v>42</v>
      </c>
      <c r="Q1779">
        <v>0</v>
      </c>
      <c r="R1779">
        <v>23.16</v>
      </c>
      <c r="S1779">
        <v>31.06</v>
      </c>
      <c r="T1779">
        <v>-7.9</v>
      </c>
      <c r="U1779">
        <f t="shared" si="27"/>
        <v>0</v>
      </c>
    </row>
    <row r="1780" spans="1:21" x14ac:dyDescent="0.25">
      <c r="A1780" s="2" t="s">
        <v>2553</v>
      </c>
      <c r="B1780" s="2" t="s">
        <v>2554</v>
      </c>
      <c r="C1780" s="1">
        <v>45782</v>
      </c>
      <c r="D1780" s="2" t="s">
        <v>45</v>
      </c>
      <c r="E1780" s="2" t="s">
        <v>39</v>
      </c>
      <c r="F1780" s="2" t="s">
        <v>85</v>
      </c>
      <c r="G1780">
        <v>1</v>
      </c>
      <c r="H1780" s="2" t="s">
        <v>64</v>
      </c>
      <c r="I1780">
        <v>6.07</v>
      </c>
      <c r="J1780">
        <v>20</v>
      </c>
      <c r="K1780">
        <v>1.21</v>
      </c>
      <c r="L1780">
        <v>12.94</v>
      </c>
      <c r="M1780">
        <v>4.1399999999999997</v>
      </c>
      <c r="N1780">
        <v>0</v>
      </c>
      <c r="O1780">
        <v>0.44</v>
      </c>
      <c r="P1780" s="2" t="s">
        <v>42</v>
      </c>
      <c r="Q1780">
        <v>0</v>
      </c>
      <c r="R1780">
        <v>4.8600000000000003</v>
      </c>
      <c r="S1780">
        <v>17.52</v>
      </c>
      <c r="T1780">
        <v>-12.66</v>
      </c>
      <c r="U1780">
        <f t="shared" si="27"/>
        <v>1</v>
      </c>
    </row>
    <row r="1781" spans="1:21" x14ac:dyDescent="0.25">
      <c r="A1781" s="2" t="s">
        <v>2555</v>
      </c>
      <c r="B1781" s="2" t="s">
        <v>628</v>
      </c>
      <c r="C1781" s="1">
        <v>45666</v>
      </c>
      <c r="D1781" s="2" t="s">
        <v>38</v>
      </c>
      <c r="E1781" s="2" t="s">
        <v>67</v>
      </c>
      <c r="F1781" s="2" t="s">
        <v>94</v>
      </c>
      <c r="G1781">
        <v>1</v>
      </c>
      <c r="H1781" s="2" t="s">
        <v>77</v>
      </c>
      <c r="I1781">
        <v>9.94</v>
      </c>
      <c r="J1781">
        <v>5</v>
      </c>
      <c r="K1781">
        <v>0.5</v>
      </c>
      <c r="L1781">
        <v>7.34</v>
      </c>
      <c r="M1781">
        <v>6.71</v>
      </c>
      <c r="N1781">
        <v>0</v>
      </c>
      <c r="O1781">
        <v>0.56999999999999995</v>
      </c>
      <c r="P1781" s="2" t="s">
        <v>42</v>
      </c>
      <c r="Q1781">
        <v>0</v>
      </c>
      <c r="R1781">
        <v>9.44</v>
      </c>
      <c r="S1781">
        <v>14.62</v>
      </c>
      <c r="T1781">
        <v>-5.18</v>
      </c>
      <c r="U1781">
        <f t="shared" si="27"/>
        <v>0</v>
      </c>
    </row>
    <row r="1782" spans="1:21" x14ac:dyDescent="0.25">
      <c r="A1782" s="2" t="s">
        <v>2556</v>
      </c>
      <c r="B1782" s="2" t="s">
        <v>168</v>
      </c>
      <c r="C1782" s="1">
        <v>45993</v>
      </c>
      <c r="D1782" s="2" t="s">
        <v>45</v>
      </c>
      <c r="E1782" s="2" t="s">
        <v>71</v>
      </c>
      <c r="F1782" s="2" t="s">
        <v>40</v>
      </c>
      <c r="G1782">
        <v>1</v>
      </c>
      <c r="H1782" s="2" t="s">
        <v>64</v>
      </c>
      <c r="I1782">
        <v>30.79</v>
      </c>
      <c r="J1782">
        <v>0</v>
      </c>
      <c r="K1782">
        <v>0</v>
      </c>
      <c r="L1782">
        <v>12.38</v>
      </c>
      <c r="M1782">
        <v>19.86</v>
      </c>
      <c r="N1782">
        <v>0</v>
      </c>
      <c r="O1782">
        <v>1.19</v>
      </c>
      <c r="P1782" s="2" t="s">
        <v>42</v>
      </c>
      <c r="Q1782">
        <v>0</v>
      </c>
      <c r="R1782">
        <v>30.79</v>
      </c>
      <c r="S1782">
        <v>33.43</v>
      </c>
      <c r="T1782">
        <v>-2.64</v>
      </c>
      <c r="U1782">
        <f t="shared" si="27"/>
        <v>0</v>
      </c>
    </row>
    <row r="1783" spans="1:21" x14ac:dyDescent="0.25">
      <c r="A1783" s="2" t="s">
        <v>2557</v>
      </c>
      <c r="B1783" s="2" t="s">
        <v>1564</v>
      </c>
      <c r="C1783" s="1">
        <v>45813</v>
      </c>
      <c r="D1783" s="2" t="s">
        <v>45</v>
      </c>
      <c r="E1783" s="2" t="s">
        <v>46</v>
      </c>
      <c r="F1783" s="2" t="s">
        <v>85</v>
      </c>
      <c r="G1783">
        <v>1</v>
      </c>
      <c r="H1783" s="2" t="s">
        <v>48</v>
      </c>
      <c r="I1783">
        <v>16.16</v>
      </c>
      <c r="J1783">
        <v>0</v>
      </c>
      <c r="K1783">
        <v>0</v>
      </c>
      <c r="L1783">
        <v>4.54</v>
      </c>
      <c r="M1783">
        <v>7.01</v>
      </c>
      <c r="N1783">
        <v>0</v>
      </c>
      <c r="O1783">
        <v>0.77</v>
      </c>
      <c r="P1783" s="2" t="s">
        <v>68</v>
      </c>
      <c r="Q1783">
        <v>16.16</v>
      </c>
      <c r="R1783">
        <v>0</v>
      </c>
      <c r="S1783">
        <v>12.32</v>
      </c>
      <c r="T1783">
        <v>-12.32</v>
      </c>
      <c r="U1783">
        <f t="shared" si="27"/>
        <v>0</v>
      </c>
    </row>
    <row r="1784" spans="1:21" x14ac:dyDescent="0.25">
      <c r="A1784" s="2" t="s">
        <v>2558</v>
      </c>
      <c r="B1784" s="2" t="s">
        <v>330</v>
      </c>
      <c r="C1784" s="1">
        <v>45527</v>
      </c>
      <c r="D1784" s="2" t="s">
        <v>59</v>
      </c>
      <c r="E1784" s="2" t="s">
        <v>71</v>
      </c>
      <c r="F1784" s="2" t="s">
        <v>51</v>
      </c>
      <c r="G1784">
        <v>1</v>
      </c>
      <c r="H1784" s="2" t="s">
        <v>56</v>
      </c>
      <c r="I1784">
        <v>29.69</v>
      </c>
      <c r="J1784">
        <v>15</v>
      </c>
      <c r="K1784">
        <v>4.45</v>
      </c>
      <c r="L1784">
        <v>6.06</v>
      </c>
      <c r="M1784">
        <v>18.66</v>
      </c>
      <c r="N1784">
        <v>3.79</v>
      </c>
      <c r="O1784">
        <v>1.03</v>
      </c>
      <c r="P1784" s="2" t="s">
        <v>42</v>
      </c>
      <c r="Q1784">
        <v>0</v>
      </c>
      <c r="R1784">
        <v>25.24</v>
      </c>
      <c r="S1784">
        <v>29.54</v>
      </c>
      <c r="T1784">
        <v>-4.3</v>
      </c>
      <c r="U1784">
        <f t="shared" si="27"/>
        <v>0</v>
      </c>
    </row>
    <row r="1785" spans="1:21" x14ac:dyDescent="0.25">
      <c r="A1785" s="2" t="s">
        <v>2559</v>
      </c>
      <c r="B1785" s="2" t="s">
        <v>1650</v>
      </c>
      <c r="C1785" s="1">
        <v>45749</v>
      </c>
      <c r="D1785" s="2" t="s">
        <v>45</v>
      </c>
      <c r="E1785" s="2" t="s">
        <v>46</v>
      </c>
      <c r="F1785" s="2" t="s">
        <v>94</v>
      </c>
      <c r="G1785">
        <v>1</v>
      </c>
      <c r="H1785" s="2" t="s">
        <v>56</v>
      </c>
      <c r="I1785">
        <v>45.69</v>
      </c>
      <c r="J1785">
        <v>0</v>
      </c>
      <c r="K1785">
        <v>0</v>
      </c>
      <c r="L1785">
        <v>11.58</v>
      </c>
      <c r="M1785">
        <v>28.21</v>
      </c>
      <c r="N1785">
        <v>0</v>
      </c>
      <c r="O1785">
        <v>1.63</v>
      </c>
      <c r="P1785" s="2" t="s">
        <v>42</v>
      </c>
      <c r="Q1785">
        <v>0</v>
      </c>
      <c r="R1785">
        <v>45.69</v>
      </c>
      <c r="S1785">
        <v>41.42</v>
      </c>
      <c r="T1785">
        <v>4.2699999999999996</v>
      </c>
      <c r="U1785">
        <f t="shared" si="27"/>
        <v>1</v>
      </c>
    </row>
    <row r="1786" spans="1:21" x14ac:dyDescent="0.25">
      <c r="A1786" s="2" t="s">
        <v>2560</v>
      </c>
      <c r="B1786" s="2" t="s">
        <v>243</v>
      </c>
      <c r="C1786" s="1">
        <v>45862</v>
      </c>
      <c r="D1786" s="2" t="s">
        <v>45</v>
      </c>
      <c r="E1786" s="2" t="s">
        <v>71</v>
      </c>
      <c r="F1786" s="2" t="s">
        <v>94</v>
      </c>
      <c r="G1786">
        <v>2</v>
      </c>
      <c r="H1786" s="2" t="s">
        <v>41</v>
      </c>
      <c r="I1786">
        <v>52.29</v>
      </c>
      <c r="J1786">
        <v>25</v>
      </c>
      <c r="K1786">
        <v>13.07</v>
      </c>
      <c r="L1786">
        <v>23.56</v>
      </c>
      <c r="M1786">
        <v>16.25</v>
      </c>
      <c r="N1786">
        <v>0</v>
      </c>
      <c r="O1786">
        <v>1.44</v>
      </c>
      <c r="P1786" s="2" t="s">
        <v>42</v>
      </c>
      <c r="Q1786">
        <v>0</v>
      </c>
      <c r="R1786">
        <v>39.22</v>
      </c>
      <c r="S1786">
        <v>41.25</v>
      </c>
      <c r="T1786">
        <v>-2.0299999999999998</v>
      </c>
      <c r="U1786">
        <f t="shared" si="27"/>
        <v>0</v>
      </c>
    </row>
    <row r="1787" spans="1:21" x14ac:dyDescent="0.25">
      <c r="A1787" s="2" t="s">
        <v>2561</v>
      </c>
      <c r="B1787" s="2" t="s">
        <v>390</v>
      </c>
      <c r="C1787" s="1">
        <v>45555</v>
      </c>
      <c r="D1787" s="2" t="s">
        <v>80</v>
      </c>
      <c r="E1787" s="2" t="s">
        <v>46</v>
      </c>
      <c r="F1787" s="2" t="s">
        <v>40</v>
      </c>
      <c r="G1787">
        <v>1</v>
      </c>
      <c r="H1787" s="2" t="s">
        <v>41</v>
      </c>
      <c r="I1787">
        <v>370.06</v>
      </c>
      <c r="J1787">
        <v>20</v>
      </c>
      <c r="K1787">
        <v>74.010000000000005</v>
      </c>
      <c r="L1787">
        <v>10.84</v>
      </c>
      <c r="M1787">
        <v>133.38</v>
      </c>
      <c r="N1787">
        <v>23.68</v>
      </c>
      <c r="O1787">
        <v>8.89</v>
      </c>
      <c r="P1787" s="2" t="s">
        <v>42</v>
      </c>
      <c r="Q1787">
        <v>0</v>
      </c>
      <c r="R1787">
        <v>296.05</v>
      </c>
      <c r="S1787">
        <v>176.79</v>
      </c>
      <c r="T1787">
        <v>119.26</v>
      </c>
      <c r="U1787">
        <f t="shared" si="27"/>
        <v>0</v>
      </c>
    </row>
    <row r="1788" spans="1:21" x14ac:dyDescent="0.25">
      <c r="A1788" s="2" t="s">
        <v>2562</v>
      </c>
      <c r="B1788" s="2" t="s">
        <v>259</v>
      </c>
      <c r="C1788" s="1">
        <v>45493</v>
      </c>
      <c r="D1788" s="2" t="s">
        <v>38</v>
      </c>
      <c r="E1788" s="2" t="s">
        <v>71</v>
      </c>
      <c r="F1788" s="2" t="s">
        <v>47</v>
      </c>
      <c r="G1788">
        <v>1</v>
      </c>
      <c r="H1788" s="2" t="s">
        <v>77</v>
      </c>
      <c r="I1788">
        <v>31.87</v>
      </c>
      <c r="J1788">
        <v>15</v>
      </c>
      <c r="K1788">
        <v>4.78</v>
      </c>
      <c r="L1788">
        <v>9.58</v>
      </c>
      <c r="M1788">
        <v>10.3</v>
      </c>
      <c r="N1788">
        <v>0</v>
      </c>
      <c r="O1788">
        <v>1.0900000000000001</v>
      </c>
      <c r="P1788" s="2" t="s">
        <v>42</v>
      </c>
      <c r="Q1788">
        <v>0</v>
      </c>
      <c r="R1788">
        <v>27.09</v>
      </c>
      <c r="S1788">
        <v>20.97</v>
      </c>
      <c r="T1788">
        <v>6.12</v>
      </c>
      <c r="U1788">
        <f t="shared" si="27"/>
        <v>0</v>
      </c>
    </row>
    <row r="1789" spans="1:21" x14ac:dyDescent="0.25">
      <c r="A1789" s="2" t="s">
        <v>2563</v>
      </c>
      <c r="B1789" s="2" t="s">
        <v>2488</v>
      </c>
      <c r="C1789" s="1">
        <v>45796</v>
      </c>
      <c r="D1789" s="2" t="s">
        <v>38</v>
      </c>
      <c r="E1789" s="2" t="s">
        <v>67</v>
      </c>
      <c r="F1789" s="2" t="s">
        <v>85</v>
      </c>
      <c r="G1789">
        <v>1</v>
      </c>
      <c r="H1789" s="2" t="s">
        <v>56</v>
      </c>
      <c r="I1789">
        <v>29.59</v>
      </c>
      <c r="J1789">
        <v>10</v>
      </c>
      <c r="K1789">
        <v>2.96</v>
      </c>
      <c r="L1789">
        <v>4.7</v>
      </c>
      <c r="M1789">
        <v>12.42</v>
      </c>
      <c r="N1789">
        <v>0</v>
      </c>
      <c r="O1789">
        <v>1.07</v>
      </c>
      <c r="P1789" s="2" t="s">
        <v>42</v>
      </c>
      <c r="Q1789">
        <v>0</v>
      </c>
      <c r="R1789">
        <v>26.63</v>
      </c>
      <c r="S1789">
        <v>18.190000000000001</v>
      </c>
      <c r="T1789">
        <v>8.44</v>
      </c>
      <c r="U1789">
        <f t="shared" si="27"/>
        <v>0</v>
      </c>
    </row>
    <row r="1790" spans="1:21" x14ac:dyDescent="0.25">
      <c r="A1790" s="2" t="s">
        <v>2564</v>
      </c>
      <c r="B1790" s="2" t="s">
        <v>1117</v>
      </c>
      <c r="C1790" s="1">
        <v>45875</v>
      </c>
      <c r="D1790" s="2" t="s">
        <v>38</v>
      </c>
      <c r="E1790" s="2" t="s">
        <v>46</v>
      </c>
      <c r="F1790" s="2" t="s">
        <v>85</v>
      </c>
      <c r="G1790">
        <v>2</v>
      </c>
      <c r="H1790" s="2" t="s">
        <v>41</v>
      </c>
      <c r="I1790">
        <v>44.69</v>
      </c>
      <c r="J1790">
        <v>0</v>
      </c>
      <c r="K1790">
        <v>0</v>
      </c>
      <c r="L1790">
        <v>8.2799999999999994</v>
      </c>
      <c r="M1790">
        <v>16.71</v>
      </c>
      <c r="N1790">
        <v>0</v>
      </c>
      <c r="O1790">
        <v>1.6</v>
      </c>
      <c r="P1790" s="2" t="s">
        <v>42</v>
      </c>
      <c r="Q1790">
        <v>0</v>
      </c>
      <c r="R1790">
        <v>44.69</v>
      </c>
      <c r="S1790">
        <v>26.59</v>
      </c>
      <c r="T1790">
        <v>18.100000000000001</v>
      </c>
      <c r="U1790">
        <f t="shared" si="27"/>
        <v>0</v>
      </c>
    </row>
    <row r="1791" spans="1:21" x14ac:dyDescent="0.25">
      <c r="A1791" s="2" t="s">
        <v>2565</v>
      </c>
      <c r="B1791" s="2" t="s">
        <v>1418</v>
      </c>
      <c r="C1791" s="1">
        <v>45898</v>
      </c>
      <c r="D1791" s="2" t="s">
        <v>45</v>
      </c>
      <c r="E1791" s="2" t="s">
        <v>71</v>
      </c>
      <c r="F1791" s="2" t="s">
        <v>51</v>
      </c>
      <c r="G1791">
        <v>1</v>
      </c>
      <c r="H1791" s="2" t="s">
        <v>41</v>
      </c>
      <c r="I1791">
        <v>56.08</v>
      </c>
      <c r="J1791">
        <v>0</v>
      </c>
      <c r="K1791">
        <v>0</v>
      </c>
      <c r="L1791">
        <v>13.42</v>
      </c>
      <c r="M1791">
        <v>29.44</v>
      </c>
      <c r="N1791">
        <v>0</v>
      </c>
      <c r="O1791">
        <v>1.93</v>
      </c>
      <c r="P1791" s="2" t="s">
        <v>42</v>
      </c>
      <c r="Q1791">
        <v>0</v>
      </c>
      <c r="R1791">
        <v>56.08</v>
      </c>
      <c r="S1791">
        <v>44.79</v>
      </c>
      <c r="T1791">
        <v>11.29</v>
      </c>
      <c r="U1791">
        <f t="shared" si="27"/>
        <v>0</v>
      </c>
    </row>
    <row r="1792" spans="1:21" x14ac:dyDescent="0.25">
      <c r="A1792" s="2" t="s">
        <v>2566</v>
      </c>
      <c r="B1792" s="2" t="s">
        <v>318</v>
      </c>
      <c r="C1792" s="1">
        <v>45663</v>
      </c>
      <c r="D1792" s="2" t="s">
        <v>45</v>
      </c>
      <c r="E1792" s="2" t="s">
        <v>67</v>
      </c>
      <c r="F1792" s="2" t="s">
        <v>40</v>
      </c>
      <c r="G1792">
        <v>3</v>
      </c>
      <c r="H1792" s="2" t="s">
        <v>77</v>
      </c>
      <c r="I1792">
        <v>141.68</v>
      </c>
      <c r="J1792">
        <v>10</v>
      </c>
      <c r="K1792">
        <v>14.17</v>
      </c>
      <c r="L1792">
        <v>42.58</v>
      </c>
      <c r="M1792">
        <v>52.41</v>
      </c>
      <c r="N1792">
        <v>0</v>
      </c>
      <c r="O1792">
        <v>4</v>
      </c>
      <c r="P1792" s="2" t="s">
        <v>42</v>
      </c>
      <c r="Q1792">
        <v>0</v>
      </c>
      <c r="R1792">
        <v>127.51</v>
      </c>
      <c r="S1792">
        <v>98.99</v>
      </c>
      <c r="T1792">
        <v>28.52</v>
      </c>
      <c r="U1792">
        <f t="shared" si="27"/>
        <v>0</v>
      </c>
    </row>
    <row r="1793" spans="1:21" x14ac:dyDescent="0.25">
      <c r="A1793" s="2" t="s">
        <v>2567</v>
      </c>
      <c r="B1793" s="2" t="s">
        <v>251</v>
      </c>
      <c r="C1793" s="1">
        <v>45818</v>
      </c>
      <c r="D1793" s="2" t="s">
        <v>38</v>
      </c>
      <c r="E1793" s="2" t="s">
        <v>39</v>
      </c>
      <c r="F1793" s="2" t="s">
        <v>85</v>
      </c>
      <c r="G1793">
        <v>3</v>
      </c>
      <c r="H1793" s="2" t="s">
        <v>111</v>
      </c>
      <c r="I1793">
        <v>216.72</v>
      </c>
      <c r="J1793">
        <v>0</v>
      </c>
      <c r="K1793">
        <v>0</v>
      </c>
      <c r="L1793">
        <v>31.52</v>
      </c>
      <c r="M1793">
        <v>84.17</v>
      </c>
      <c r="N1793">
        <v>0</v>
      </c>
      <c r="O1793">
        <v>6.58</v>
      </c>
      <c r="P1793" s="2" t="s">
        <v>42</v>
      </c>
      <c r="Q1793">
        <v>0</v>
      </c>
      <c r="R1793">
        <v>216.72</v>
      </c>
      <c r="S1793">
        <v>122.27</v>
      </c>
      <c r="T1793">
        <v>94.45</v>
      </c>
      <c r="U1793">
        <f t="shared" si="27"/>
        <v>0</v>
      </c>
    </row>
    <row r="1794" spans="1:21" x14ac:dyDescent="0.25">
      <c r="A1794" s="2" t="s">
        <v>2568</v>
      </c>
      <c r="B1794" s="2" t="s">
        <v>1560</v>
      </c>
      <c r="C1794" s="1">
        <v>45894</v>
      </c>
      <c r="D1794" s="2" t="s">
        <v>59</v>
      </c>
      <c r="E1794" s="2" t="s">
        <v>71</v>
      </c>
      <c r="F1794" s="2" t="s">
        <v>40</v>
      </c>
      <c r="G1794">
        <v>1</v>
      </c>
      <c r="H1794" s="2" t="s">
        <v>111</v>
      </c>
      <c r="I1794">
        <v>26.25</v>
      </c>
      <c r="J1794">
        <v>10</v>
      </c>
      <c r="K1794">
        <v>2.62</v>
      </c>
      <c r="L1794">
        <v>7.18</v>
      </c>
      <c r="M1794">
        <v>10.78</v>
      </c>
      <c r="N1794">
        <v>3.54</v>
      </c>
      <c r="O1794">
        <v>0.99</v>
      </c>
      <c r="P1794" s="2" t="s">
        <v>42</v>
      </c>
      <c r="Q1794">
        <v>0</v>
      </c>
      <c r="R1794">
        <v>23.63</v>
      </c>
      <c r="S1794">
        <v>22.49</v>
      </c>
      <c r="T1794">
        <v>1.1399999999999999</v>
      </c>
      <c r="U1794">
        <f t="shared" si="27"/>
        <v>0</v>
      </c>
    </row>
    <row r="1795" spans="1:21" x14ac:dyDescent="0.25">
      <c r="A1795" s="2" t="s">
        <v>2569</v>
      </c>
      <c r="B1795" s="2" t="s">
        <v>96</v>
      </c>
      <c r="C1795" s="1">
        <v>45927</v>
      </c>
      <c r="D1795" s="2" t="s">
        <v>45</v>
      </c>
      <c r="E1795" s="2" t="s">
        <v>39</v>
      </c>
      <c r="F1795" s="2" t="s">
        <v>85</v>
      </c>
      <c r="G1795">
        <v>3</v>
      </c>
      <c r="H1795" s="2" t="s">
        <v>56</v>
      </c>
      <c r="I1795">
        <v>266.45999999999998</v>
      </c>
      <c r="J1795">
        <v>10</v>
      </c>
      <c r="K1795">
        <v>26.65</v>
      </c>
      <c r="L1795">
        <v>55.5</v>
      </c>
      <c r="M1795">
        <v>85.26</v>
      </c>
      <c r="N1795">
        <v>0</v>
      </c>
      <c r="O1795">
        <v>7.25</v>
      </c>
      <c r="P1795" s="2" t="s">
        <v>42</v>
      </c>
      <c r="Q1795">
        <v>0</v>
      </c>
      <c r="R1795">
        <v>239.81</v>
      </c>
      <c r="S1795">
        <v>148.01</v>
      </c>
      <c r="T1795">
        <v>91.8</v>
      </c>
      <c r="U1795">
        <f t="shared" si="27"/>
        <v>0</v>
      </c>
    </row>
    <row r="1796" spans="1:21" x14ac:dyDescent="0.25">
      <c r="A1796" s="2" t="s">
        <v>2570</v>
      </c>
      <c r="B1796" s="2" t="s">
        <v>207</v>
      </c>
      <c r="C1796" s="1">
        <v>45750</v>
      </c>
      <c r="D1796" s="2" t="s">
        <v>38</v>
      </c>
      <c r="E1796" s="2" t="s">
        <v>71</v>
      </c>
      <c r="F1796" s="2" t="s">
        <v>47</v>
      </c>
      <c r="G1796">
        <v>1</v>
      </c>
      <c r="H1796" s="2" t="s">
        <v>77</v>
      </c>
      <c r="I1796">
        <v>48.57</v>
      </c>
      <c r="J1796">
        <v>0</v>
      </c>
      <c r="K1796">
        <v>0</v>
      </c>
      <c r="L1796">
        <v>44.1</v>
      </c>
      <c r="M1796">
        <v>17.670000000000002</v>
      </c>
      <c r="N1796">
        <v>0</v>
      </c>
      <c r="O1796">
        <v>1.71</v>
      </c>
      <c r="P1796" s="2" t="s">
        <v>42</v>
      </c>
      <c r="Q1796">
        <v>0</v>
      </c>
      <c r="R1796">
        <v>48.57</v>
      </c>
      <c r="S1796">
        <v>63.48</v>
      </c>
      <c r="T1796">
        <v>-14.91</v>
      </c>
      <c r="U1796">
        <f t="shared" si="27"/>
        <v>0</v>
      </c>
    </row>
    <row r="1797" spans="1:21" x14ac:dyDescent="0.25">
      <c r="A1797" s="2" t="s">
        <v>2571</v>
      </c>
      <c r="B1797" s="2" t="s">
        <v>1160</v>
      </c>
      <c r="C1797" s="1">
        <v>45735</v>
      </c>
      <c r="D1797" s="2" t="s">
        <v>59</v>
      </c>
      <c r="E1797" s="2" t="s">
        <v>46</v>
      </c>
      <c r="F1797" s="2" t="s">
        <v>47</v>
      </c>
      <c r="G1797">
        <v>1</v>
      </c>
      <c r="H1797" s="2" t="s">
        <v>77</v>
      </c>
      <c r="I1797">
        <v>26.5</v>
      </c>
      <c r="J1797">
        <v>0</v>
      </c>
      <c r="K1797">
        <v>0</v>
      </c>
      <c r="L1797">
        <v>5.5</v>
      </c>
      <c r="M1797">
        <v>8.06</v>
      </c>
      <c r="N1797">
        <v>3.97</v>
      </c>
      <c r="O1797">
        <v>1.07</v>
      </c>
      <c r="P1797" s="2" t="s">
        <v>42</v>
      </c>
      <c r="Q1797">
        <v>0</v>
      </c>
      <c r="R1797">
        <v>26.5</v>
      </c>
      <c r="S1797">
        <v>18.600000000000001</v>
      </c>
      <c r="T1797">
        <v>7.9</v>
      </c>
      <c r="U1797">
        <f t="shared" ref="U1797:U1860" si="28">IF(P1795="Yes", 1, 0)</f>
        <v>0</v>
      </c>
    </row>
    <row r="1798" spans="1:21" x14ac:dyDescent="0.25">
      <c r="A1798" s="2" t="s">
        <v>2572</v>
      </c>
      <c r="B1798" s="2" t="s">
        <v>1477</v>
      </c>
      <c r="C1798" s="1">
        <v>45791</v>
      </c>
      <c r="D1798" s="2" t="s">
        <v>38</v>
      </c>
      <c r="E1798" s="2" t="s">
        <v>55</v>
      </c>
      <c r="F1798" s="2" t="s">
        <v>85</v>
      </c>
      <c r="G1798">
        <v>1</v>
      </c>
      <c r="H1798" s="2" t="s">
        <v>74</v>
      </c>
      <c r="I1798">
        <v>57.92</v>
      </c>
      <c r="J1798">
        <v>0</v>
      </c>
      <c r="K1798">
        <v>0</v>
      </c>
      <c r="L1798">
        <v>18.04</v>
      </c>
      <c r="M1798">
        <v>16.600000000000001</v>
      </c>
      <c r="N1798">
        <v>0</v>
      </c>
      <c r="O1798">
        <v>1.98</v>
      </c>
      <c r="P1798" s="2" t="s">
        <v>42</v>
      </c>
      <c r="Q1798">
        <v>0</v>
      </c>
      <c r="R1798">
        <v>57.92</v>
      </c>
      <c r="S1798">
        <v>36.619999999999997</v>
      </c>
      <c r="T1798">
        <v>21.3</v>
      </c>
      <c r="U1798">
        <f t="shared" si="28"/>
        <v>0</v>
      </c>
    </row>
    <row r="1799" spans="1:21" x14ac:dyDescent="0.25">
      <c r="A1799" s="2" t="s">
        <v>2573</v>
      </c>
      <c r="B1799" s="2" t="s">
        <v>1784</v>
      </c>
      <c r="C1799" s="1">
        <v>45346</v>
      </c>
      <c r="D1799" s="2" t="s">
        <v>38</v>
      </c>
      <c r="E1799" s="2" t="s">
        <v>71</v>
      </c>
      <c r="F1799" s="2" t="s">
        <v>40</v>
      </c>
      <c r="G1799">
        <v>1</v>
      </c>
      <c r="H1799" s="2" t="s">
        <v>111</v>
      </c>
      <c r="I1799">
        <v>71.83</v>
      </c>
      <c r="J1799">
        <v>0</v>
      </c>
      <c r="K1799">
        <v>0</v>
      </c>
      <c r="L1799">
        <v>10.14</v>
      </c>
      <c r="M1799">
        <v>47.56</v>
      </c>
      <c r="N1799">
        <v>0</v>
      </c>
      <c r="O1799">
        <v>2.38</v>
      </c>
      <c r="P1799" s="2" t="s">
        <v>42</v>
      </c>
      <c r="Q1799">
        <v>0</v>
      </c>
      <c r="R1799">
        <v>71.83</v>
      </c>
      <c r="S1799">
        <v>60.08</v>
      </c>
      <c r="T1799">
        <v>11.75</v>
      </c>
      <c r="U1799">
        <f t="shared" si="28"/>
        <v>0</v>
      </c>
    </row>
    <row r="1800" spans="1:21" x14ac:dyDescent="0.25">
      <c r="A1800" s="2" t="s">
        <v>2574</v>
      </c>
      <c r="B1800" s="2" t="s">
        <v>2575</v>
      </c>
      <c r="C1800" s="1">
        <v>45383</v>
      </c>
      <c r="D1800" s="2" t="s">
        <v>38</v>
      </c>
      <c r="E1800" s="2" t="s">
        <v>67</v>
      </c>
      <c r="F1800" s="2" t="s">
        <v>47</v>
      </c>
      <c r="G1800">
        <v>2</v>
      </c>
      <c r="H1800" s="2" t="s">
        <v>77</v>
      </c>
      <c r="I1800">
        <v>64.58</v>
      </c>
      <c r="J1800">
        <v>0</v>
      </c>
      <c r="K1800">
        <v>0</v>
      </c>
      <c r="L1800">
        <v>18.68</v>
      </c>
      <c r="M1800">
        <v>30.22</v>
      </c>
      <c r="N1800">
        <v>0</v>
      </c>
      <c r="O1800">
        <v>2.17</v>
      </c>
      <c r="P1800" s="2" t="s">
        <v>42</v>
      </c>
      <c r="Q1800">
        <v>0</v>
      </c>
      <c r="R1800">
        <v>64.58</v>
      </c>
      <c r="S1800">
        <v>51.07</v>
      </c>
      <c r="T1800">
        <v>13.51</v>
      </c>
      <c r="U1800">
        <f t="shared" si="28"/>
        <v>0</v>
      </c>
    </row>
    <row r="1801" spans="1:21" x14ac:dyDescent="0.25">
      <c r="A1801" s="2" t="s">
        <v>2576</v>
      </c>
      <c r="B1801" s="2" t="s">
        <v>540</v>
      </c>
      <c r="C1801" s="1">
        <v>45798</v>
      </c>
      <c r="D1801" s="2" t="s">
        <v>59</v>
      </c>
      <c r="E1801" s="2" t="s">
        <v>71</v>
      </c>
      <c r="F1801" s="2" t="s">
        <v>47</v>
      </c>
      <c r="G1801">
        <v>2</v>
      </c>
      <c r="H1801" s="2" t="s">
        <v>41</v>
      </c>
      <c r="I1801">
        <v>452.33</v>
      </c>
      <c r="J1801">
        <v>15</v>
      </c>
      <c r="K1801">
        <v>67.849999999999994</v>
      </c>
      <c r="L1801">
        <v>25.76</v>
      </c>
      <c r="M1801">
        <v>164.34</v>
      </c>
      <c r="N1801">
        <v>57.67</v>
      </c>
      <c r="O1801">
        <v>11.45</v>
      </c>
      <c r="P1801" s="2" t="s">
        <v>42</v>
      </c>
      <c r="Q1801">
        <v>0</v>
      </c>
      <c r="R1801">
        <v>384.48</v>
      </c>
      <c r="S1801">
        <v>259.22000000000003</v>
      </c>
      <c r="T1801">
        <v>125.26</v>
      </c>
      <c r="U1801">
        <f t="shared" si="28"/>
        <v>0</v>
      </c>
    </row>
    <row r="1802" spans="1:21" x14ac:dyDescent="0.25">
      <c r="A1802" s="2" t="s">
        <v>2577</v>
      </c>
      <c r="B1802" s="2" t="s">
        <v>1496</v>
      </c>
      <c r="C1802" s="1">
        <v>45847</v>
      </c>
      <c r="D1802" s="2" t="s">
        <v>38</v>
      </c>
      <c r="E1802" s="2" t="s">
        <v>55</v>
      </c>
      <c r="F1802" s="2" t="s">
        <v>94</v>
      </c>
      <c r="G1802">
        <v>4</v>
      </c>
      <c r="H1802" s="2" t="s">
        <v>74</v>
      </c>
      <c r="I1802">
        <v>395.92</v>
      </c>
      <c r="J1802">
        <v>10</v>
      </c>
      <c r="K1802">
        <v>39.590000000000003</v>
      </c>
      <c r="L1802">
        <v>50.7</v>
      </c>
      <c r="M1802">
        <v>131.33000000000001</v>
      </c>
      <c r="N1802">
        <v>0</v>
      </c>
      <c r="O1802">
        <v>10.63</v>
      </c>
      <c r="P1802" s="2" t="s">
        <v>42</v>
      </c>
      <c r="Q1802">
        <v>0</v>
      </c>
      <c r="R1802">
        <v>356.33</v>
      </c>
      <c r="S1802">
        <v>192.66</v>
      </c>
      <c r="T1802">
        <v>163.66999999999999</v>
      </c>
      <c r="U1802">
        <f t="shared" si="28"/>
        <v>0</v>
      </c>
    </row>
    <row r="1803" spans="1:21" x14ac:dyDescent="0.25">
      <c r="A1803" s="2" t="s">
        <v>2578</v>
      </c>
      <c r="B1803" s="2" t="s">
        <v>361</v>
      </c>
      <c r="C1803" s="1">
        <v>45487</v>
      </c>
      <c r="D1803" s="2" t="s">
        <v>59</v>
      </c>
      <c r="E1803" s="2" t="s">
        <v>46</v>
      </c>
      <c r="F1803" s="2" t="s">
        <v>85</v>
      </c>
      <c r="G1803">
        <v>3</v>
      </c>
      <c r="H1803" s="2" t="s">
        <v>64</v>
      </c>
      <c r="I1803">
        <v>327.83</v>
      </c>
      <c r="J1803">
        <v>15</v>
      </c>
      <c r="K1803">
        <v>49.17</v>
      </c>
      <c r="L1803">
        <v>24.5</v>
      </c>
      <c r="M1803">
        <v>104.49</v>
      </c>
      <c r="N1803">
        <v>41.8</v>
      </c>
      <c r="O1803">
        <v>8.3800000000000008</v>
      </c>
      <c r="P1803" s="2" t="s">
        <v>68</v>
      </c>
      <c r="Q1803">
        <v>278.66000000000003</v>
      </c>
      <c r="R1803">
        <v>0</v>
      </c>
      <c r="S1803">
        <v>179.17</v>
      </c>
      <c r="T1803">
        <v>-179.17</v>
      </c>
      <c r="U1803">
        <f t="shared" si="28"/>
        <v>0</v>
      </c>
    </row>
    <row r="1804" spans="1:21" x14ac:dyDescent="0.25">
      <c r="A1804" s="2" t="s">
        <v>2579</v>
      </c>
      <c r="B1804" s="2" t="s">
        <v>113</v>
      </c>
      <c r="C1804" s="1">
        <v>45570</v>
      </c>
      <c r="D1804" s="2" t="s">
        <v>38</v>
      </c>
      <c r="E1804" s="2" t="s">
        <v>46</v>
      </c>
      <c r="F1804" s="2" t="s">
        <v>94</v>
      </c>
      <c r="G1804">
        <v>4</v>
      </c>
      <c r="H1804" s="2" t="s">
        <v>41</v>
      </c>
      <c r="I1804">
        <v>300.41000000000003</v>
      </c>
      <c r="J1804">
        <v>15</v>
      </c>
      <c r="K1804">
        <v>45.06</v>
      </c>
      <c r="L1804">
        <v>68.900000000000006</v>
      </c>
      <c r="M1804">
        <v>131.44</v>
      </c>
      <c r="N1804">
        <v>0</v>
      </c>
      <c r="O1804">
        <v>7.71</v>
      </c>
      <c r="P1804" s="2" t="s">
        <v>42</v>
      </c>
      <c r="Q1804">
        <v>0</v>
      </c>
      <c r="R1804">
        <v>255.35</v>
      </c>
      <c r="S1804">
        <v>208.05</v>
      </c>
      <c r="T1804">
        <v>47.3</v>
      </c>
      <c r="U1804">
        <f t="shared" si="28"/>
        <v>0</v>
      </c>
    </row>
    <row r="1805" spans="1:21" x14ac:dyDescent="0.25">
      <c r="A1805" s="2" t="s">
        <v>2580</v>
      </c>
      <c r="B1805" s="2" t="s">
        <v>702</v>
      </c>
      <c r="C1805" s="1">
        <v>45906</v>
      </c>
      <c r="D1805" s="2" t="s">
        <v>59</v>
      </c>
      <c r="E1805" s="2" t="s">
        <v>67</v>
      </c>
      <c r="F1805" s="2" t="s">
        <v>51</v>
      </c>
      <c r="G1805">
        <v>3</v>
      </c>
      <c r="H1805" s="2" t="s">
        <v>56</v>
      </c>
      <c r="I1805">
        <v>70.87</v>
      </c>
      <c r="J1805">
        <v>15</v>
      </c>
      <c r="K1805">
        <v>10.63</v>
      </c>
      <c r="L1805">
        <v>37.22</v>
      </c>
      <c r="M1805">
        <v>43.76</v>
      </c>
      <c r="N1805">
        <v>9.0399999999999991</v>
      </c>
      <c r="O1805">
        <v>2.0499999999999998</v>
      </c>
      <c r="P1805" s="2" t="s">
        <v>42</v>
      </c>
      <c r="Q1805">
        <v>0</v>
      </c>
      <c r="R1805">
        <v>60.24</v>
      </c>
      <c r="S1805">
        <v>92.07</v>
      </c>
      <c r="T1805">
        <v>-31.83</v>
      </c>
      <c r="U1805">
        <f t="shared" si="28"/>
        <v>1</v>
      </c>
    </row>
    <row r="1806" spans="1:21" x14ac:dyDescent="0.25">
      <c r="A1806" s="2" t="s">
        <v>2581</v>
      </c>
      <c r="B1806" s="2" t="s">
        <v>2582</v>
      </c>
      <c r="C1806" s="1">
        <v>45970</v>
      </c>
      <c r="D1806" s="2" t="s">
        <v>59</v>
      </c>
      <c r="E1806" s="2" t="s">
        <v>71</v>
      </c>
      <c r="F1806" s="2" t="s">
        <v>94</v>
      </c>
      <c r="G1806">
        <v>5</v>
      </c>
      <c r="H1806" s="2" t="s">
        <v>64</v>
      </c>
      <c r="I1806">
        <v>254.06</v>
      </c>
      <c r="J1806">
        <v>10</v>
      </c>
      <c r="K1806">
        <v>25.41</v>
      </c>
      <c r="L1806">
        <v>62.92</v>
      </c>
      <c r="M1806">
        <v>108.38</v>
      </c>
      <c r="N1806">
        <v>34.299999999999997</v>
      </c>
      <c r="O1806">
        <v>6.93</v>
      </c>
      <c r="P1806" s="2" t="s">
        <v>42</v>
      </c>
      <c r="Q1806">
        <v>0</v>
      </c>
      <c r="R1806">
        <v>228.65</v>
      </c>
      <c r="S1806">
        <v>212.53</v>
      </c>
      <c r="T1806">
        <v>16.12</v>
      </c>
      <c r="U1806">
        <f t="shared" si="28"/>
        <v>0</v>
      </c>
    </row>
    <row r="1807" spans="1:21" x14ac:dyDescent="0.25">
      <c r="A1807" s="2" t="s">
        <v>2583</v>
      </c>
      <c r="B1807" s="2" t="s">
        <v>818</v>
      </c>
      <c r="C1807" s="1">
        <v>45985</v>
      </c>
      <c r="D1807" s="2" t="s">
        <v>80</v>
      </c>
      <c r="E1807" s="2" t="s">
        <v>39</v>
      </c>
      <c r="F1807" s="2" t="s">
        <v>85</v>
      </c>
      <c r="G1807">
        <v>1</v>
      </c>
      <c r="H1807" s="2" t="s">
        <v>74</v>
      </c>
      <c r="I1807">
        <v>111.64</v>
      </c>
      <c r="J1807">
        <v>0</v>
      </c>
      <c r="K1807">
        <v>0</v>
      </c>
      <c r="L1807">
        <v>14.22</v>
      </c>
      <c r="M1807">
        <v>37.840000000000003</v>
      </c>
      <c r="N1807">
        <v>8.93</v>
      </c>
      <c r="O1807">
        <v>3.54</v>
      </c>
      <c r="P1807" s="2" t="s">
        <v>42</v>
      </c>
      <c r="Q1807">
        <v>0</v>
      </c>
      <c r="R1807">
        <v>111.64</v>
      </c>
      <c r="S1807">
        <v>64.53</v>
      </c>
      <c r="T1807">
        <v>47.11</v>
      </c>
      <c r="U1807">
        <f t="shared" si="28"/>
        <v>0</v>
      </c>
    </row>
    <row r="1808" spans="1:21" x14ac:dyDescent="0.25">
      <c r="A1808" s="2" t="s">
        <v>2584</v>
      </c>
      <c r="B1808" s="2" t="s">
        <v>867</v>
      </c>
      <c r="C1808" s="1">
        <v>45633</v>
      </c>
      <c r="D1808" s="2" t="s">
        <v>59</v>
      </c>
      <c r="E1808" s="2" t="s">
        <v>71</v>
      </c>
      <c r="F1808" s="2" t="s">
        <v>94</v>
      </c>
      <c r="G1808">
        <v>1</v>
      </c>
      <c r="H1808" s="2" t="s">
        <v>48</v>
      </c>
      <c r="I1808">
        <v>52.86</v>
      </c>
      <c r="J1808">
        <v>20</v>
      </c>
      <c r="K1808">
        <v>10.57</v>
      </c>
      <c r="L1808">
        <v>34.979999999999997</v>
      </c>
      <c r="M1808">
        <v>25.59</v>
      </c>
      <c r="N1808">
        <v>6.34</v>
      </c>
      <c r="O1808">
        <v>1.53</v>
      </c>
      <c r="P1808" s="2" t="s">
        <v>42</v>
      </c>
      <c r="Q1808">
        <v>0</v>
      </c>
      <c r="R1808">
        <v>42.29</v>
      </c>
      <c r="S1808">
        <v>68.44</v>
      </c>
      <c r="T1808">
        <v>-26.15</v>
      </c>
      <c r="U1808">
        <f t="shared" si="28"/>
        <v>0</v>
      </c>
    </row>
    <row r="1809" spans="1:21" x14ac:dyDescent="0.25">
      <c r="A1809" s="2" t="s">
        <v>2585</v>
      </c>
      <c r="B1809" s="2" t="s">
        <v>73</v>
      </c>
      <c r="C1809" s="1">
        <v>45910</v>
      </c>
      <c r="D1809" s="2" t="s">
        <v>45</v>
      </c>
      <c r="E1809" s="2" t="s">
        <v>55</v>
      </c>
      <c r="F1809" s="2" t="s">
        <v>85</v>
      </c>
      <c r="G1809">
        <v>1</v>
      </c>
      <c r="H1809" s="2" t="s">
        <v>74</v>
      </c>
      <c r="I1809">
        <v>66.05</v>
      </c>
      <c r="J1809">
        <v>0</v>
      </c>
      <c r="K1809">
        <v>0</v>
      </c>
      <c r="L1809">
        <v>14.86</v>
      </c>
      <c r="M1809">
        <v>23.44</v>
      </c>
      <c r="N1809">
        <v>0</v>
      </c>
      <c r="O1809">
        <v>2.2200000000000002</v>
      </c>
      <c r="P1809" s="2" t="s">
        <v>42</v>
      </c>
      <c r="Q1809">
        <v>0</v>
      </c>
      <c r="R1809">
        <v>66.05</v>
      </c>
      <c r="S1809">
        <v>40.520000000000003</v>
      </c>
      <c r="T1809">
        <v>25.53</v>
      </c>
      <c r="U1809">
        <f t="shared" si="28"/>
        <v>0</v>
      </c>
    </row>
    <row r="1810" spans="1:21" x14ac:dyDescent="0.25">
      <c r="A1810" s="2" t="s">
        <v>2586</v>
      </c>
      <c r="B1810" s="2" t="s">
        <v>2587</v>
      </c>
      <c r="C1810" s="1">
        <v>45385</v>
      </c>
      <c r="D1810" s="2" t="s">
        <v>45</v>
      </c>
      <c r="E1810" s="2" t="s">
        <v>39</v>
      </c>
      <c r="F1810" s="2" t="s">
        <v>47</v>
      </c>
      <c r="G1810">
        <v>3</v>
      </c>
      <c r="H1810" s="2" t="s">
        <v>48</v>
      </c>
      <c r="I1810">
        <v>125.13</v>
      </c>
      <c r="J1810">
        <v>0</v>
      </c>
      <c r="K1810">
        <v>0</v>
      </c>
      <c r="L1810">
        <v>24.02</v>
      </c>
      <c r="M1810">
        <v>45.67</v>
      </c>
      <c r="N1810">
        <v>0</v>
      </c>
      <c r="O1810">
        <v>3.93</v>
      </c>
      <c r="P1810" s="2" t="s">
        <v>42</v>
      </c>
      <c r="Q1810">
        <v>0</v>
      </c>
      <c r="R1810">
        <v>125.13</v>
      </c>
      <c r="S1810">
        <v>73.62</v>
      </c>
      <c r="T1810">
        <v>51.51</v>
      </c>
      <c r="U1810">
        <f t="shared" si="28"/>
        <v>0</v>
      </c>
    </row>
    <row r="1811" spans="1:21" x14ac:dyDescent="0.25">
      <c r="A1811" s="2" t="s">
        <v>2588</v>
      </c>
      <c r="B1811" s="2" t="s">
        <v>2461</v>
      </c>
      <c r="C1811" s="1">
        <v>45640</v>
      </c>
      <c r="D1811" s="2" t="s">
        <v>38</v>
      </c>
      <c r="E1811" s="2" t="s">
        <v>71</v>
      </c>
      <c r="F1811" s="2" t="s">
        <v>47</v>
      </c>
      <c r="G1811">
        <v>1</v>
      </c>
      <c r="H1811" s="2" t="s">
        <v>111</v>
      </c>
      <c r="I1811">
        <v>210.21</v>
      </c>
      <c r="J1811">
        <v>5</v>
      </c>
      <c r="K1811">
        <v>10.51</v>
      </c>
      <c r="L1811">
        <v>29.7</v>
      </c>
      <c r="M1811">
        <v>91.11</v>
      </c>
      <c r="N1811">
        <v>0</v>
      </c>
      <c r="O1811">
        <v>6.09</v>
      </c>
      <c r="P1811" s="2" t="s">
        <v>42</v>
      </c>
      <c r="Q1811">
        <v>0</v>
      </c>
      <c r="R1811">
        <v>199.7</v>
      </c>
      <c r="S1811">
        <v>126.9</v>
      </c>
      <c r="T1811">
        <v>72.8</v>
      </c>
      <c r="U1811">
        <f t="shared" si="28"/>
        <v>0</v>
      </c>
    </row>
    <row r="1812" spans="1:21" x14ac:dyDescent="0.25">
      <c r="A1812" s="2" t="s">
        <v>2589</v>
      </c>
      <c r="B1812" s="2" t="s">
        <v>2514</v>
      </c>
      <c r="C1812" s="1">
        <v>45851</v>
      </c>
      <c r="D1812" s="2" t="s">
        <v>45</v>
      </c>
      <c r="E1812" s="2" t="s">
        <v>55</v>
      </c>
      <c r="F1812" s="2" t="s">
        <v>51</v>
      </c>
      <c r="G1812">
        <v>1</v>
      </c>
      <c r="H1812" s="2" t="s">
        <v>64</v>
      </c>
      <c r="I1812">
        <v>56</v>
      </c>
      <c r="J1812">
        <v>0</v>
      </c>
      <c r="K1812">
        <v>0</v>
      </c>
      <c r="L1812">
        <v>12.86</v>
      </c>
      <c r="M1812">
        <v>19.82</v>
      </c>
      <c r="N1812">
        <v>0</v>
      </c>
      <c r="O1812">
        <v>1.92</v>
      </c>
      <c r="P1812" s="2" t="s">
        <v>42</v>
      </c>
      <c r="Q1812">
        <v>0</v>
      </c>
      <c r="R1812">
        <v>56</v>
      </c>
      <c r="S1812">
        <v>34.6</v>
      </c>
      <c r="T1812">
        <v>21.4</v>
      </c>
      <c r="U1812">
        <f t="shared" si="28"/>
        <v>0</v>
      </c>
    </row>
    <row r="1813" spans="1:21" x14ac:dyDescent="0.25">
      <c r="A1813" s="2" t="s">
        <v>2590</v>
      </c>
      <c r="B1813" s="2" t="s">
        <v>856</v>
      </c>
      <c r="C1813" s="1">
        <v>45809</v>
      </c>
      <c r="D1813" s="2" t="s">
        <v>45</v>
      </c>
      <c r="E1813" s="2" t="s">
        <v>71</v>
      </c>
      <c r="F1813" s="2" t="s">
        <v>51</v>
      </c>
      <c r="G1813">
        <v>3</v>
      </c>
      <c r="H1813" s="2" t="s">
        <v>77</v>
      </c>
      <c r="I1813">
        <v>153.49</v>
      </c>
      <c r="J1813">
        <v>10</v>
      </c>
      <c r="K1813">
        <v>15.35</v>
      </c>
      <c r="L1813">
        <v>31.84</v>
      </c>
      <c r="M1813">
        <v>72.61</v>
      </c>
      <c r="N1813">
        <v>0</v>
      </c>
      <c r="O1813">
        <v>4.3099999999999996</v>
      </c>
      <c r="P1813" s="2" t="s">
        <v>68</v>
      </c>
      <c r="Q1813">
        <v>138.13999999999999</v>
      </c>
      <c r="R1813">
        <v>0</v>
      </c>
      <c r="S1813">
        <v>108.76</v>
      </c>
      <c r="T1813">
        <v>-108.76</v>
      </c>
      <c r="U1813">
        <f t="shared" si="28"/>
        <v>0</v>
      </c>
    </row>
    <row r="1814" spans="1:21" x14ac:dyDescent="0.25">
      <c r="A1814" s="2" t="s">
        <v>2591</v>
      </c>
      <c r="B1814" s="2" t="s">
        <v>893</v>
      </c>
      <c r="C1814" s="1">
        <v>45643</v>
      </c>
      <c r="D1814" s="2" t="s">
        <v>38</v>
      </c>
      <c r="E1814" s="2" t="s">
        <v>39</v>
      </c>
      <c r="F1814" s="2" t="s">
        <v>94</v>
      </c>
      <c r="G1814">
        <v>2</v>
      </c>
      <c r="H1814" s="2" t="s">
        <v>56</v>
      </c>
      <c r="I1814">
        <v>114.14</v>
      </c>
      <c r="J1814">
        <v>0</v>
      </c>
      <c r="K1814">
        <v>0</v>
      </c>
      <c r="L1814">
        <v>20.68</v>
      </c>
      <c r="M1814">
        <v>36.39</v>
      </c>
      <c r="N1814">
        <v>0</v>
      </c>
      <c r="O1814">
        <v>3.61</v>
      </c>
      <c r="P1814" s="2" t="s">
        <v>42</v>
      </c>
      <c r="Q1814">
        <v>0</v>
      </c>
      <c r="R1814">
        <v>114.14</v>
      </c>
      <c r="S1814">
        <v>60.68</v>
      </c>
      <c r="T1814">
        <v>53.46</v>
      </c>
      <c r="U1814">
        <f t="shared" si="28"/>
        <v>0</v>
      </c>
    </row>
    <row r="1815" spans="1:21" x14ac:dyDescent="0.25">
      <c r="A1815" s="2" t="s">
        <v>2592</v>
      </c>
      <c r="B1815" s="2" t="s">
        <v>1182</v>
      </c>
      <c r="C1815" s="1">
        <v>45387</v>
      </c>
      <c r="D1815" s="2" t="s">
        <v>59</v>
      </c>
      <c r="E1815" s="2" t="s">
        <v>67</v>
      </c>
      <c r="F1815" s="2" t="s">
        <v>51</v>
      </c>
      <c r="G1815">
        <v>1</v>
      </c>
      <c r="H1815" s="2" t="s">
        <v>48</v>
      </c>
      <c r="I1815">
        <v>73.84</v>
      </c>
      <c r="J1815">
        <v>0</v>
      </c>
      <c r="K1815">
        <v>0</v>
      </c>
      <c r="L1815">
        <v>15.48</v>
      </c>
      <c r="M1815">
        <v>25.9</v>
      </c>
      <c r="N1815">
        <v>11.08</v>
      </c>
      <c r="O1815">
        <v>2.44</v>
      </c>
      <c r="P1815" s="2" t="s">
        <v>42</v>
      </c>
      <c r="Q1815">
        <v>0</v>
      </c>
      <c r="R1815">
        <v>73.84</v>
      </c>
      <c r="S1815">
        <v>54.9</v>
      </c>
      <c r="T1815">
        <v>18.940000000000001</v>
      </c>
      <c r="U1815">
        <f t="shared" si="28"/>
        <v>1</v>
      </c>
    </row>
    <row r="1816" spans="1:21" x14ac:dyDescent="0.25">
      <c r="A1816" s="2" t="s">
        <v>2593</v>
      </c>
      <c r="B1816" s="2" t="s">
        <v>195</v>
      </c>
      <c r="C1816" s="1">
        <v>45632</v>
      </c>
      <c r="D1816" s="2" t="s">
        <v>38</v>
      </c>
      <c r="E1816" s="2" t="s">
        <v>71</v>
      </c>
      <c r="F1816" s="2" t="s">
        <v>85</v>
      </c>
      <c r="G1816">
        <v>1</v>
      </c>
      <c r="H1816" s="2" t="s">
        <v>56</v>
      </c>
      <c r="I1816">
        <v>27.71</v>
      </c>
      <c r="J1816">
        <v>15</v>
      </c>
      <c r="K1816">
        <v>4.16</v>
      </c>
      <c r="L1816">
        <v>12.94</v>
      </c>
      <c r="M1816">
        <v>11.44</v>
      </c>
      <c r="N1816">
        <v>0</v>
      </c>
      <c r="O1816">
        <v>0.98</v>
      </c>
      <c r="P1816" s="2" t="s">
        <v>42</v>
      </c>
      <c r="Q1816">
        <v>0</v>
      </c>
      <c r="R1816">
        <v>23.55</v>
      </c>
      <c r="S1816">
        <v>25.36</v>
      </c>
      <c r="T1816">
        <v>-1.81</v>
      </c>
      <c r="U1816">
        <f t="shared" si="28"/>
        <v>0</v>
      </c>
    </row>
    <row r="1817" spans="1:21" x14ac:dyDescent="0.25">
      <c r="A1817" s="2" t="s">
        <v>2594</v>
      </c>
      <c r="B1817" s="2" t="s">
        <v>1511</v>
      </c>
      <c r="C1817" s="1">
        <v>45889</v>
      </c>
      <c r="D1817" s="2" t="s">
        <v>45</v>
      </c>
      <c r="E1817" s="2" t="s">
        <v>67</v>
      </c>
      <c r="F1817" s="2" t="s">
        <v>40</v>
      </c>
      <c r="G1817">
        <v>2</v>
      </c>
      <c r="H1817" s="2" t="s">
        <v>56</v>
      </c>
      <c r="I1817">
        <v>88.79</v>
      </c>
      <c r="J1817">
        <v>5</v>
      </c>
      <c r="K1817">
        <v>4.4400000000000004</v>
      </c>
      <c r="L1817">
        <v>9.9600000000000009</v>
      </c>
      <c r="M1817">
        <v>33.21</v>
      </c>
      <c r="N1817">
        <v>0</v>
      </c>
      <c r="O1817">
        <v>2.75</v>
      </c>
      <c r="P1817" s="2" t="s">
        <v>42</v>
      </c>
      <c r="Q1817">
        <v>0</v>
      </c>
      <c r="R1817">
        <v>84.35</v>
      </c>
      <c r="S1817">
        <v>45.92</v>
      </c>
      <c r="T1817">
        <v>38.43</v>
      </c>
      <c r="U1817">
        <f t="shared" si="28"/>
        <v>0</v>
      </c>
    </row>
    <row r="1818" spans="1:21" x14ac:dyDescent="0.25">
      <c r="A1818" s="2" t="s">
        <v>2595</v>
      </c>
      <c r="B1818" s="2" t="s">
        <v>2596</v>
      </c>
      <c r="C1818" s="1">
        <v>45877</v>
      </c>
      <c r="D1818" s="2" t="s">
        <v>38</v>
      </c>
      <c r="E1818" s="2" t="s">
        <v>46</v>
      </c>
      <c r="F1818" s="2" t="s">
        <v>51</v>
      </c>
      <c r="G1818">
        <v>2</v>
      </c>
      <c r="H1818" s="2" t="s">
        <v>77</v>
      </c>
      <c r="I1818">
        <v>116.76</v>
      </c>
      <c r="J1818">
        <v>5</v>
      </c>
      <c r="K1818">
        <v>5.84</v>
      </c>
      <c r="L1818">
        <v>23.08</v>
      </c>
      <c r="M1818">
        <v>41.9</v>
      </c>
      <c r="N1818">
        <v>0</v>
      </c>
      <c r="O1818">
        <v>3.52</v>
      </c>
      <c r="P1818" s="2" t="s">
        <v>42</v>
      </c>
      <c r="Q1818">
        <v>0</v>
      </c>
      <c r="R1818">
        <v>110.92</v>
      </c>
      <c r="S1818">
        <v>68.5</v>
      </c>
      <c r="T1818">
        <v>42.42</v>
      </c>
      <c r="U1818">
        <f t="shared" si="28"/>
        <v>0</v>
      </c>
    </row>
    <row r="1819" spans="1:21" x14ac:dyDescent="0.25">
      <c r="A1819" s="2" t="s">
        <v>2597</v>
      </c>
      <c r="B1819" s="2" t="s">
        <v>1690</v>
      </c>
      <c r="C1819" s="1">
        <v>45772</v>
      </c>
      <c r="D1819" s="2" t="s">
        <v>59</v>
      </c>
      <c r="E1819" s="2" t="s">
        <v>46</v>
      </c>
      <c r="F1819" s="2" t="s">
        <v>85</v>
      </c>
      <c r="G1819">
        <v>2</v>
      </c>
      <c r="H1819" s="2" t="s">
        <v>74</v>
      </c>
      <c r="I1819">
        <v>63.99</v>
      </c>
      <c r="J1819">
        <v>10</v>
      </c>
      <c r="K1819">
        <v>6.4</v>
      </c>
      <c r="L1819">
        <v>19</v>
      </c>
      <c r="M1819">
        <v>19.84</v>
      </c>
      <c r="N1819">
        <v>8.64</v>
      </c>
      <c r="O1819">
        <v>1.97</v>
      </c>
      <c r="P1819" s="2" t="s">
        <v>42</v>
      </c>
      <c r="Q1819">
        <v>0</v>
      </c>
      <c r="R1819">
        <v>57.59</v>
      </c>
      <c r="S1819">
        <v>49.45</v>
      </c>
      <c r="T1819">
        <v>8.14</v>
      </c>
      <c r="U1819">
        <f t="shared" si="28"/>
        <v>0</v>
      </c>
    </row>
    <row r="1820" spans="1:21" x14ac:dyDescent="0.25">
      <c r="A1820" s="2" t="s">
        <v>2598</v>
      </c>
      <c r="B1820" s="2" t="s">
        <v>1486</v>
      </c>
      <c r="C1820" s="1">
        <v>45841</v>
      </c>
      <c r="D1820" s="2" t="s">
        <v>38</v>
      </c>
      <c r="E1820" s="2" t="s">
        <v>46</v>
      </c>
      <c r="F1820" s="2" t="s">
        <v>94</v>
      </c>
      <c r="G1820">
        <v>2</v>
      </c>
      <c r="H1820" s="2" t="s">
        <v>77</v>
      </c>
      <c r="I1820">
        <v>175.89</v>
      </c>
      <c r="J1820">
        <v>25</v>
      </c>
      <c r="K1820">
        <v>43.97</v>
      </c>
      <c r="L1820">
        <v>20.34</v>
      </c>
      <c r="M1820">
        <v>56.64</v>
      </c>
      <c r="N1820">
        <v>0</v>
      </c>
      <c r="O1820">
        <v>4.13</v>
      </c>
      <c r="P1820" s="2" t="s">
        <v>42</v>
      </c>
      <c r="Q1820">
        <v>0</v>
      </c>
      <c r="R1820">
        <v>131.91999999999999</v>
      </c>
      <c r="S1820">
        <v>81.11</v>
      </c>
      <c r="T1820">
        <v>50.81</v>
      </c>
      <c r="U1820">
        <f t="shared" si="28"/>
        <v>0</v>
      </c>
    </row>
    <row r="1821" spans="1:21" x14ac:dyDescent="0.25">
      <c r="A1821" s="2" t="s">
        <v>2599</v>
      </c>
      <c r="B1821" s="2" t="s">
        <v>301</v>
      </c>
      <c r="C1821" s="1">
        <v>45847</v>
      </c>
      <c r="D1821" s="2" t="s">
        <v>59</v>
      </c>
      <c r="E1821" s="2" t="s">
        <v>46</v>
      </c>
      <c r="F1821" s="2" t="s">
        <v>40</v>
      </c>
      <c r="G1821">
        <v>1</v>
      </c>
      <c r="H1821" s="2" t="s">
        <v>111</v>
      </c>
      <c r="I1821">
        <v>115.01</v>
      </c>
      <c r="J1821">
        <v>15</v>
      </c>
      <c r="K1821">
        <v>17.25</v>
      </c>
      <c r="L1821">
        <v>13.18</v>
      </c>
      <c r="M1821">
        <v>35.49</v>
      </c>
      <c r="N1821">
        <v>14.66</v>
      </c>
      <c r="O1821">
        <v>3.14</v>
      </c>
      <c r="P1821" s="2" t="s">
        <v>42</v>
      </c>
      <c r="Q1821">
        <v>0</v>
      </c>
      <c r="R1821">
        <v>97.76</v>
      </c>
      <c r="S1821">
        <v>66.47</v>
      </c>
      <c r="T1821">
        <v>31.29</v>
      </c>
      <c r="U1821">
        <f t="shared" si="28"/>
        <v>0</v>
      </c>
    </row>
    <row r="1822" spans="1:21" x14ac:dyDescent="0.25">
      <c r="A1822" s="2" t="s">
        <v>2600</v>
      </c>
      <c r="B1822" s="2" t="s">
        <v>1922</v>
      </c>
      <c r="C1822" s="1">
        <v>45928</v>
      </c>
      <c r="D1822" s="2" t="s">
        <v>59</v>
      </c>
      <c r="E1822" s="2" t="s">
        <v>46</v>
      </c>
      <c r="F1822" s="2" t="s">
        <v>47</v>
      </c>
      <c r="G1822">
        <v>2</v>
      </c>
      <c r="H1822" s="2" t="s">
        <v>41</v>
      </c>
      <c r="I1822">
        <v>110.93</v>
      </c>
      <c r="J1822">
        <v>5</v>
      </c>
      <c r="K1822">
        <v>5.55</v>
      </c>
      <c r="L1822">
        <v>13.32</v>
      </c>
      <c r="M1822">
        <v>44.92</v>
      </c>
      <c r="N1822">
        <v>15.81</v>
      </c>
      <c r="O1822">
        <v>3.36</v>
      </c>
      <c r="P1822" s="2" t="s">
        <v>42</v>
      </c>
      <c r="Q1822">
        <v>0</v>
      </c>
      <c r="R1822">
        <v>105.38</v>
      </c>
      <c r="S1822">
        <v>77.41</v>
      </c>
      <c r="T1822">
        <v>27.97</v>
      </c>
      <c r="U1822">
        <f t="shared" si="28"/>
        <v>0</v>
      </c>
    </row>
    <row r="1823" spans="1:21" x14ac:dyDescent="0.25">
      <c r="A1823" s="2" t="s">
        <v>2601</v>
      </c>
      <c r="B1823" s="2" t="s">
        <v>1211</v>
      </c>
      <c r="C1823" s="1">
        <v>45788</v>
      </c>
      <c r="D1823" s="2" t="s">
        <v>38</v>
      </c>
      <c r="E1823" s="2" t="s">
        <v>46</v>
      </c>
      <c r="F1823" s="2" t="s">
        <v>94</v>
      </c>
      <c r="G1823">
        <v>1</v>
      </c>
      <c r="H1823" s="2" t="s">
        <v>77</v>
      </c>
      <c r="I1823">
        <v>17.989999999999998</v>
      </c>
      <c r="J1823">
        <v>0</v>
      </c>
      <c r="K1823">
        <v>0</v>
      </c>
      <c r="L1823">
        <v>11.74</v>
      </c>
      <c r="M1823">
        <v>7.88</v>
      </c>
      <c r="N1823">
        <v>0</v>
      </c>
      <c r="O1823">
        <v>0.82</v>
      </c>
      <c r="P1823" s="2" t="s">
        <v>42</v>
      </c>
      <c r="Q1823">
        <v>0</v>
      </c>
      <c r="R1823">
        <v>17.989999999999998</v>
      </c>
      <c r="S1823">
        <v>20.440000000000001</v>
      </c>
      <c r="T1823">
        <v>-2.4500000000000002</v>
      </c>
      <c r="U1823">
        <f t="shared" si="28"/>
        <v>0</v>
      </c>
    </row>
    <row r="1824" spans="1:21" x14ac:dyDescent="0.25">
      <c r="A1824" s="2" t="s">
        <v>2602</v>
      </c>
      <c r="B1824" s="2" t="s">
        <v>241</v>
      </c>
      <c r="C1824" s="1">
        <v>45687</v>
      </c>
      <c r="D1824" s="2" t="s">
        <v>45</v>
      </c>
      <c r="E1824" s="2" t="s">
        <v>55</v>
      </c>
      <c r="F1824" s="2" t="s">
        <v>51</v>
      </c>
      <c r="G1824">
        <v>1</v>
      </c>
      <c r="H1824" s="2" t="s">
        <v>48</v>
      </c>
      <c r="I1824">
        <v>106.23</v>
      </c>
      <c r="J1824">
        <v>0</v>
      </c>
      <c r="K1824">
        <v>0</v>
      </c>
      <c r="L1824">
        <v>36.42</v>
      </c>
      <c r="M1824">
        <v>56.67</v>
      </c>
      <c r="N1824">
        <v>0</v>
      </c>
      <c r="O1824">
        <v>3.38</v>
      </c>
      <c r="P1824" s="2" t="s">
        <v>42</v>
      </c>
      <c r="Q1824">
        <v>0</v>
      </c>
      <c r="R1824">
        <v>106.23</v>
      </c>
      <c r="S1824">
        <v>96.47</v>
      </c>
      <c r="T1824">
        <v>9.76</v>
      </c>
      <c r="U1824">
        <f t="shared" si="28"/>
        <v>0</v>
      </c>
    </row>
    <row r="1825" spans="1:21" x14ac:dyDescent="0.25">
      <c r="A1825" s="2" t="s">
        <v>2603</v>
      </c>
      <c r="B1825" s="2" t="s">
        <v>382</v>
      </c>
      <c r="C1825" s="1">
        <v>45822</v>
      </c>
      <c r="D1825" s="2" t="s">
        <v>59</v>
      </c>
      <c r="E1825" s="2" t="s">
        <v>67</v>
      </c>
      <c r="F1825" s="2" t="s">
        <v>51</v>
      </c>
      <c r="G1825">
        <v>2</v>
      </c>
      <c r="H1825" s="2" t="s">
        <v>74</v>
      </c>
      <c r="I1825">
        <v>75.64</v>
      </c>
      <c r="J1825">
        <v>0</v>
      </c>
      <c r="K1825">
        <v>0</v>
      </c>
      <c r="L1825">
        <v>50.24</v>
      </c>
      <c r="M1825">
        <v>36.06</v>
      </c>
      <c r="N1825">
        <v>11.35</v>
      </c>
      <c r="O1825">
        <v>2.4900000000000002</v>
      </c>
      <c r="P1825" s="2" t="s">
        <v>42</v>
      </c>
      <c r="Q1825">
        <v>0</v>
      </c>
      <c r="R1825">
        <v>75.64</v>
      </c>
      <c r="S1825">
        <v>100.14</v>
      </c>
      <c r="T1825">
        <v>-24.5</v>
      </c>
      <c r="U1825">
        <f t="shared" si="28"/>
        <v>0</v>
      </c>
    </row>
    <row r="1826" spans="1:21" x14ac:dyDescent="0.25">
      <c r="A1826" s="2" t="s">
        <v>2604</v>
      </c>
      <c r="B1826" s="2" t="s">
        <v>1003</v>
      </c>
      <c r="C1826" s="1">
        <v>45784</v>
      </c>
      <c r="D1826" s="2" t="s">
        <v>45</v>
      </c>
      <c r="E1826" s="2" t="s">
        <v>71</v>
      </c>
      <c r="F1826" s="2" t="s">
        <v>94</v>
      </c>
      <c r="G1826">
        <v>1</v>
      </c>
      <c r="H1826" s="2" t="s">
        <v>111</v>
      </c>
      <c r="I1826">
        <v>70.069999999999993</v>
      </c>
      <c r="J1826">
        <v>25</v>
      </c>
      <c r="K1826">
        <v>17.52</v>
      </c>
      <c r="L1826">
        <v>9.9</v>
      </c>
      <c r="M1826">
        <v>30.37</v>
      </c>
      <c r="N1826">
        <v>0</v>
      </c>
      <c r="O1826">
        <v>1.82</v>
      </c>
      <c r="P1826" s="2" t="s">
        <v>42</v>
      </c>
      <c r="Q1826">
        <v>0</v>
      </c>
      <c r="R1826">
        <v>52.55</v>
      </c>
      <c r="S1826">
        <v>42.09</v>
      </c>
      <c r="T1826">
        <v>10.46</v>
      </c>
      <c r="U1826">
        <f t="shared" si="28"/>
        <v>0</v>
      </c>
    </row>
    <row r="1827" spans="1:21" x14ac:dyDescent="0.25">
      <c r="A1827" s="2" t="s">
        <v>2605</v>
      </c>
      <c r="B1827" s="2" t="s">
        <v>182</v>
      </c>
      <c r="C1827" s="1">
        <v>45667</v>
      </c>
      <c r="D1827" s="2" t="s">
        <v>45</v>
      </c>
      <c r="E1827" s="2" t="s">
        <v>55</v>
      </c>
      <c r="F1827" s="2" t="s">
        <v>40</v>
      </c>
      <c r="G1827">
        <v>3</v>
      </c>
      <c r="H1827" s="2" t="s">
        <v>52</v>
      </c>
      <c r="I1827">
        <v>184.17</v>
      </c>
      <c r="J1827">
        <v>10</v>
      </c>
      <c r="K1827">
        <v>18.420000000000002</v>
      </c>
      <c r="L1827">
        <v>23.14</v>
      </c>
      <c r="M1827">
        <v>59.72</v>
      </c>
      <c r="N1827">
        <v>0</v>
      </c>
      <c r="O1827">
        <v>5.1100000000000003</v>
      </c>
      <c r="P1827" s="2" t="s">
        <v>42</v>
      </c>
      <c r="Q1827">
        <v>0</v>
      </c>
      <c r="R1827">
        <v>165.75</v>
      </c>
      <c r="S1827">
        <v>87.97</v>
      </c>
      <c r="T1827">
        <v>77.78</v>
      </c>
      <c r="U1827">
        <f t="shared" si="28"/>
        <v>0</v>
      </c>
    </row>
    <row r="1828" spans="1:21" x14ac:dyDescent="0.25">
      <c r="A1828" s="2" t="s">
        <v>2606</v>
      </c>
      <c r="B1828" s="2" t="s">
        <v>400</v>
      </c>
      <c r="C1828" s="1">
        <v>45897</v>
      </c>
      <c r="D1828" s="2" t="s">
        <v>45</v>
      </c>
      <c r="E1828" s="2" t="s">
        <v>55</v>
      </c>
      <c r="F1828" s="2" t="s">
        <v>40</v>
      </c>
      <c r="G1828">
        <v>1</v>
      </c>
      <c r="H1828" s="2" t="s">
        <v>64</v>
      </c>
      <c r="I1828">
        <v>37.86</v>
      </c>
      <c r="J1828">
        <v>0</v>
      </c>
      <c r="K1828">
        <v>0</v>
      </c>
      <c r="L1828">
        <v>9.02</v>
      </c>
      <c r="M1828">
        <v>26.84</v>
      </c>
      <c r="N1828">
        <v>0</v>
      </c>
      <c r="O1828">
        <v>1.4</v>
      </c>
      <c r="P1828" s="2" t="s">
        <v>68</v>
      </c>
      <c r="Q1828">
        <v>37.86</v>
      </c>
      <c r="R1828">
        <v>0</v>
      </c>
      <c r="S1828">
        <v>37.26</v>
      </c>
      <c r="T1828">
        <v>-37.26</v>
      </c>
      <c r="U1828">
        <f t="shared" si="28"/>
        <v>0</v>
      </c>
    </row>
    <row r="1829" spans="1:21" x14ac:dyDescent="0.25">
      <c r="A1829" s="2" t="s">
        <v>2607</v>
      </c>
      <c r="B1829" s="2" t="s">
        <v>1070</v>
      </c>
      <c r="C1829" s="1">
        <v>46013</v>
      </c>
      <c r="D1829" s="2" t="s">
        <v>45</v>
      </c>
      <c r="E1829" s="2" t="s">
        <v>46</v>
      </c>
      <c r="F1829" s="2" t="s">
        <v>47</v>
      </c>
      <c r="G1829">
        <v>4</v>
      </c>
      <c r="H1829" s="2" t="s">
        <v>52</v>
      </c>
      <c r="I1829">
        <v>336.3</v>
      </c>
      <c r="J1829">
        <v>0</v>
      </c>
      <c r="K1829">
        <v>0</v>
      </c>
      <c r="L1829">
        <v>49.44</v>
      </c>
      <c r="M1829">
        <v>112.33</v>
      </c>
      <c r="N1829">
        <v>0</v>
      </c>
      <c r="O1829">
        <v>10.050000000000001</v>
      </c>
      <c r="P1829" s="2" t="s">
        <v>42</v>
      </c>
      <c r="Q1829">
        <v>0</v>
      </c>
      <c r="R1829">
        <v>336.3</v>
      </c>
      <c r="S1829">
        <v>171.82</v>
      </c>
      <c r="T1829">
        <v>164.48</v>
      </c>
      <c r="U1829">
        <f t="shared" si="28"/>
        <v>0</v>
      </c>
    </row>
    <row r="1830" spans="1:21" x14ac:dyDescent="0.25">
      <c r="A1830" s="2" t="s">
        <v>2608</v>
      </c>
      <c r="B1830" s="2" t="s">
        <v>975</v>
      </c>
      <c r="C1830" s="1">
        <v>45607</v>
      </c>
      <c r="D1830" s="2" t="s">
        <v>38</v>
      </c>
      <c r="E1830" s="2" t="s">
        <v>46</v>
      </c>
      <c r="F1830" s="2" t="s">
        <v>40</v>
      </c>
      <c r="G1830">
        <v>2</v>
      </c>
      <c r="H1830" s="2" t="s">
        <v>56</v>
      </c>
      <c r="I1830">
        <v>78.510000000000005</v>
      </c>
      <c r="J1830">
        <v>10</v>
      </c>
      <c r="K1830">
        <v>7.85</v>
      </c>
      <c r="L1830">
        <v>31.94</v>
      </c>
      <c r="M1830">
        <v>35.14</v>
      </c>
      <c r="N1830">
        <v>0</v>
      </c>
      <c r="O1830">
        <v>2.35</v>
      </c>
      <c r="P1830" s="2" t="s">
        <v>42</v>
      </c>
      <c r="Q1830">
        <v>0</v>
      </c>
      <c r="R1830">
        <v>70.66</v>
      </c>
      <c r="S1830">
        <v>69.430000000000007</v>
      </c>
      <c r="T1830">
        <v>1.23</v>
      </c>
      <c r="U1830">
        <f t="shared" si="28"/>
        <v>1</v>
      </c>
    </row>
    <row r="1831" spans="1:21" x14ac:dyDescent="0.25">
      <c r="A1831" s="2" t="s">
        <v>2609</v>
      </c>
      <c r="B1831" s="2" t="s">
        <v>1190</v>
      </c>
      <c r="C1831" s="1">
        <v>45726</v>
      </c>
      <c r="D1831" s="2" t="s">
        <v>59</v>
      </c>
      <c r="E1831" s="2" t="s">
        <v>55</v>
      </c>
      <c r="F1831" s="2" t="s">
        <v>40</v>
      </c>
      <c r="G1831">
        <v>1</v>
      </c>
      <c r="H1831" s="2" t="s">
        <v>74</v>
      </c>
      <c r="I1831">
        <v>27.16</v>
      </c>
      <c r="J1831">
        <v>10</v>
      </c>
      <c r="K1831">
        <v>2.72</v>
      </c>
      <c r="L1831">
        <v>11.34</v>
      </c>
      <c r="M1831">
        <v>13.64</v>
      </c>
      <c r="N1831">
        <v>3.67</v>
      </c>
      <c r="O1831">
        <v>1.01</v>
      </c>
      <c r="P1831" s="2" t="s">
        <v>42</v>
      </c>
      <c r="Q1831">
        <v>0</v>
      </c>
      <c r="R1831">
        <v>24.44</v>
      </c>
      <c r="S1831">
        <v>29.66</v>
      </c>
      <c r="T1831">
        <v>-5.22</v>
      </c>
      <c r="U1831">
        <f t="shared" si="28"/>
        <v>0</v>
      </c>
    </row>
    <row r="1832" spans="1:21" x14ac:dyDescent="0.25">
      <c r="A1832" s="2" t="s">
        <v>2610</v>
      </c>
      <c r="B1832" s="2" t="s">
        <v>1253</v>
      </c>
      <c r="C1832" s="1">
        <v>45932</v>
      </c>
      <c r="D1832" s="2" t="s">
        <v>80</v>
      </c>
      <c r="E1832" s="2" t="s">
        <v>71</v>
      </c>
      <c r="F1832" s="2" t="s">
        <v>51</v>
      </c>
      <c r="G1832">
        <v>1</v>
      </c>
      <c r="H1832" s="2" t="s">
        <v>41</v>
      </c>
      <c r="I1832">
        <v>68.98</v>
      </c>
      <c r="J1832">
        <v>10</v>
      </c>
      <c r="K1832">
        <v>6.9</v>
      </c>
      <c r="L1832">
        <v>14.54</v>
      </c>
      <c r="M1832">
        <v>25.39</v>
      </c>
      <c r="N1832">
        <v>4.97</v>
      </c>
      <c r="O1832">
        <v>2.1</v>
      </c>
      <c r="P1832" s="2" t="s">
        <v>42</v>
      </c>
      <c r="Q1832">
        <v>0</v>
      </c>
      <c r="R1832">
        <v>62.08</v>
      </c>
      <c r="S1832">
        <v>47</v>
      </c>
      <c r="T1832">
        <v>15.08</v>
      </c>
      <c r="U1832">
        <f t="shared" si="28"/>
        <v>0</v>
      </c>
    </row>
    <row r="1833" spans="1:21" x14ac:dyDescent="0.25">
      <c r="A1833" s="2" t="s">
        <v>2611</v>
      </c>
      <c r="B1833" s="2" t="s">
        <v>2612</v>
      </c>
      <c r="C1833" s="1">
        <v>45829</v>
      </c>
      <c r="D1833" s="2" t="s">
        <v>38</v>
      </c>
      <c r="E1833" s="2" t="s">
        <v>55</v>
      </c>
      <c r="F1833" s="2" t="s">
        <v>85</v>
      </c>
      <c r="G1833">
        <v>3</v>
      </c>
      <c r="H1833" s="2" t="s">
        <v>64</v>
      </c>
      <c r="I1833">
        <v>161.19</v>
      </c>
      <c r="J1833">
        <v>0</v>
      </c>
      <c r="K1833">
        <v>0</v>
      </c>
      <c r="L1833">
        <v>71.180000000000007</v>
      </c>
      <c r="M1833">
        <v>65.239999999999995</v>
      </c>
      <c r="N1833">
        <v>0</v>
      </c>
      <c r="O1833">
        <v>4.97</v>
      </c>
      <c r="P1833" s="2" t="s">
        <v>42</v>
      </c>
      <c r="Q1833">
        <v>0</v>
      </c>
      <c r="R1833">
        <v>161.19</v>
      </c>
      <c r="S1833">
        <v>141.38999999999999</v>
      </c>
      <c r="T1833">
        <v>19.8</v>
      </c>
      <c r="U1833">
        <f t="shared" si="28"/>
        <v>0</v>
      </c>
    </row>
    <row r="1834" spans="1:21" x14ac:dyDescent="0.25">
      <c r="A1834" s="2" t="s">
        <v>2613</v>
      </c>
      <c r="B1834" s="2" t="s">
        <v>1220</v>
      </c>
      <c r="C1834" s="1">
        <v>45820</v>
      </c>
      <c r="D1834" s="2" t="s">
        <v>38</v>
      </c>
      <c r="E1834" s="2" t="s">
        <v>71</v>
      </c>
      <c r="F1834" s="2" t="s">
        <v>40</v>
      </c>
      <c r="G1834">
        <v>3</v>
      </c>
      <c r="H1834" s="2" t="s">
        <v>52</v>
      </c>
      <c r="I1834">
        <v>202.11</v>
      </c>
      <c r="J1834">
        <v>0</v>
      </c>
      <c r="K1834">
        <v>0</v>
      </c>
      <c r="L1834">
        <v>29.38</v>
      </c>
      <c r="M1834">
        <v>78.28</v>
      </c>
      <c r="N1834">
        <v>0</v>
      </c>
      <c r="O1834">
        <v>6.16</v>
      </c>
      <c r="P1834" s="2" t="s">
        <v>42</v>
      </c>
      <c r="Q1834">
        <v>0</v>
      </c>
      <c r="R1834">
        <v>202.11</v>
      </c>
      <c r="S1834">
        <v>113.82</v>
      </c>
      <c r="T1834">
        <v>88.29</v>
      </c>
      <c r="U1834">
        <f t="shared" si="28"/>
        <v>0</v>
      </c>
    </row>
    <row r="1835" spans="1:21" x14ac:dyDescent="0.25">
      <c r="A1835" s="2" t="s">
        <v>2614</v>
      </c>
      <c r="B1835" s="2" t="s">
        <v>774</v>
      </c>
      <c r="C1835" s="1">
        <v>45878</v>
      </c>
      <c r="D1835" s="2" t="s">
        <v>80</v>
      </c>
      <c r="E1835" s="2" t="s">
        <v>67</v>
      </c>
      <c r="F1835" s="2" t="s">
        <v>85</v>
      </c>
      <c r="G1835">
        <v>3</v>
      </c>
      <c r="H1835" s="2" t="s">
        <v>111</v>
      </c>
      <c r="I1835">
        <v>211.48</v>
      </c>
      <c r="J1835">
        <v>5</v>
      </c>
      <c r="K1835">
        <v>10.57</v>
      </c>
      <c r="L1835">
        <v>60.94</v>
      </c>
      <c r="M1835">
        <v>134.88</v>
      </c>
      <c r="N1835">
        <v>16.07</v>
      </c>
      <c r="O1835">
        <v>6.13</v>
      </c>
      <c r="P1835" s="2" t="s">
        <v>42</v>
      </c>
      <c r="Q1835">
        <v>0</v>
      </c>
      <c r="R1835">
        <v>200.91</v>
      </c>
      <c r="S1835">
        <v>218.02</v>
      </c>
      <c r="T1835">
        <v>-17.11</v>
      </c>
      <c r="U1835">
        <f t="shared" si="28"/>
        <v>0</v>
      </c>
    </row>
    <row r="1836" spans="1:21" x14ac:dyDescent="0.25">
      <c r="A1836" s="2" t="s">
        <v>2615</v>
      </c>
      <c r="B1836" s="2" t="s">
        <v>1286</v>
      </c>
      <c r="C1836" s="1">
        <v>45695</v>
      </c>
      <c r="D1836" s="2" t="s">
        <v>38</v>
      </c>
      <c r="E1836" s="2" t="s">
        <v>71</v>
      </c>
      <c r="F1836" s="2" t="s">
        <v>40</v>
      </c>
      <c r="G1836">
        <v>1</v>
      </c>
      <c r="H1836" s="2" t="s">
        <v>52</v>
      </c>
      <c r="I1836">
        <v>82.29</v>
      </c>
      <c r="J1836">
        <v>20</v>
      </c>
      <c r="K1836">
        <v>16.46</v>
      </c>
      <c r="L1836">
        <v>13.02</v>
      </c>
      <c r="M1836">
        <v>37.65</v>
      </c>
      <c r="N1836">
        <v>0</v>
      </c>
      <c r="O1836">
        <v>2.21</v>
      </c>
      <c r="P1836" s="2" t="s">
        <v>42</v>
      </c>
      <c r="Q1836">
        <v>0</v>
      </c>
      <c r="R1836">
        <v>65.83</v>
      </c>
      <c r="S1836">
        <v>52.88</v>
      </c>
      <c r="T1836">
        <v>12.95</v>
      </c>
      <c r="U1836">
        <f t="shared" si="28"/>
        <v>0</v>
      </c>
    </row>
    <row r="1837" spans="1:21" x14ac:dyDescent="0.25">
      <c r="A1837" s="2" t="s">
        <v>2616</v>
      </c>
      <c r="B1837" s="2" t="s">
        <v>1055</v>
      </c>
      <c r="C1837" s="1">
        <v>45479</v>
      </c>
      <c r="D1837" s="2" t="s">
        <v>45</v>
      </c>
      <c r="E1837" s="2" t="s">
        <v>55</v>
      </c>
      <c r="F1837" s="2" t="s">
        <v>40</v>
      </c>
      <c r="G1837">
        <v>1</v>
      </c>
      <c r="H1837" s="2" t="s">
        <v>52</v>
      </c>
      <c r="I1837">
        <v>44.22</v>
      </c>
      <c r="J1837">
        <v>5</v>
      </c>
      <c r="K1837">
        <v>2.21</v>
      </c>
      <c r="L1837">
        <v>16.739999999999998</v>
      </c>
      <c r="M1837">
        <v>13.71</v>
      </c>
      <c r="N1837">
        <v>0</v>
      </c>
      <c r="O1837">
        <v>1.52</v>
      </c>
      <c r="P1837" s="2" t="s">
        <v>42</v>
      </c>
      <c r="Q1837">
        <v>0</v>
      </c>
      <c r="R1837">
        <v>42.01</v>
      </c>
      <c r="S1837">
        <v>31.97</v>
      </c>
      <c r="T1837">
        <v>10.039999999999999</v>
      </c>
      <c r="U1837">
        <f t="shared" si="28"/>
        <v>0</v>
      </c>
    </row>
    <row r="1838" spans="1:21" x14ac:dyDescent="0.25">
      <c r="A1838" s="2" t="s">
        <v>2617</v>
      </c>
      <c r="B1838" s="2" t="s">
        <v>334</v>
      </c>
      <c r="C1838" s="1">
        <v>45560</v>
      </c>
      <c r="D1838" s="2" t="s">
        <v>45</v>
      </c>
      <c r="E1838" s="2" t="s">
        <v>46</v>
      </c>
      <c r="F1838" s="2" t="s">
        <v>47</v>
      </c>
      <c r="G1838">
        <v>1</v>
      </c>
      <c r="H1838" s="2" t="s">
        <v>52</v>
      </c>
      <c r="I1838">
        <v>10.050000000000001</v>
      </c>
      <c r="J1838">
        <v>0</v>
      </c>
      <c r="K1838">
        <v>0</v>
      </c>
      <c r="L1838">
        <v>9.18</v>
      </c>
      <c r="M1838">
        <v>6.91</v>
      </c>
      <c r="N1838">
        <v>0</v>
      </c>
      <c r="O1838">
        <v>0.59</v>
      </c>
      <c r="P1838" s="2" t="s">
        <v>42</v>
      </c>
      <c r="Q1838">
        <v>0</v>
      </c>
      <c r="R1838">
        <v>10.050000000000001</v>
      </c>
      <c r="S1838">
        <v>16.68</v>
      </c>
      <c r="T1838">
        <v>-6.63</v>
      </c>
      <c r="U1838">
        <f t="shared" si="28"/>
        <v>0</v>
      </c>
    </row>
    <row r="1839" spans="1:21" x14ac:dyDescent="0.25">
      <c r="A1839" s="2" t="s">
        <v>2618</v>
      </c>
      <c r="B1839" s="2" t="s">
        <v>2619</v>
      </c>
      <c r="C1839" s="1">
        <v>45421</v>
      </c>
      <c r="D1839" s="2" t="s">
        <v>38</v>
      </c>
      <c r="E1839" s="2" t="s">
        <v>71</v>
      </c>
      <c r="F1839" s="2" t="s">
        <v>94</v>
      </c>
      <c r="G1839">
        <v>3</v>
      </c>
      <c r="H1839" s="2" t="s">
        <v>77</v>
      </c>
      <c r="I1839">
        <v>149.69</v>
      </c>
      <c r="J1839">
        <v>5</v>
      </c>
      <c r="K1839">
        <v>7.48</v>
      </c>
      <c r="L1839">
        <v>28.9</v>
      </c>
      <c r="M1839">
        <v>48.11</v>
      </c>
      <c r="N1839">
        <v>0</v>
      </c>
      <c r="O1839">
        <v>4.42</v>
      </c>
      <c r="P1839" s="2" t="s">
        <v>42</v>
      </c>
      <c r="Q1839">
        <v>0</v>
      </c>
      <c r="R1839">
        <v>142.21</v>
      </c>
      <c r="S1839">
        <v>81.430000000000007</v>
      </c>
      <c r="T1839">
        <v>60.78</v>
      </c>
      <c r="U1839">
        <f t="shared" si="28"/>
        <v>0</v>
      </c>
    </row>
    <row r="1840" spans="1:21" x14ac:dyDescent="0.25">
      <c r="A1840" s="2" t="s">
        <v>2620</v>
      </c>
      <c r="B1840" s="2" t="s">
        <v>102</v>
      </c>
      <c r="C1840" s="1">
        <v>45854</v>
      </c>
      <c r="D1840" s="2" t="s">
        <v>80</v>
      </c>
      <c r="E1840" s="2" t="s">
        <v>46</v>
      </c>
      <c r="F1840" s="2" t="s">
        <v>85</v>
      </c>
      <c r="G1840">
        <v>1</v>
      </c>
      <c r="H1840" s="2" t="s">
        <v>77</v>
      </c>
      <c r="I1840">
        <v>23.18</v>
      </c>
      <c r="J1840">
        <v>5</v>
      </c>
      <c r="K1840">
        <v>1.1599999999999999</v>
      </c>
      <c r="L1840">
        <v>9.26</v>
      </c>
      <c r="M1840">
        <v>9.5500000000000007</v>
      </c>
      <c r="N1840">
        <v>1.76</v>
      </c>
      <c r="O1840">
        <v>0.94</v>
      </c>
      <c r="P1840" s="2" t="s">
        <v>42</v>
      </c>
      <c r="Q1840">
        <v>0</v>
      </c>
      <c r="R1840">
        <v>22.02</v>
      </c>
      <c r="S1840">
        <v>21.51</v>
      </c>
      <c r="T1840">
        <v>0.51</v>
      </c>
      <c r="U1840">
        <f t="shared" si="28"/>
        <v>0</v>
      </c>
    </row>
    <row r="1841" spans="1:21" x14ac:dyDescent="0.25">
      <c r="A1841" s="2" t="s">
        <v>2621</v>
      </c>
      <c r="B1841" s="2" t="s">
        <v>44</v>
      </c>
      <c r="C1841" s="1">
        <v>45493</v>
      </c>
      <c r="D1841" s="2" t="s">
        <v>45</v>
      </c>
      <c r="E1841" s="2" t="s">
        <v>39</v>
      </c>
      <c r="F1841" s="2" t="s">
        <v>94</v>
      </c>
      <c r="G1841">
        <v>2</v>
      </c>
      <c r="H1841" s="2" t="s">
        <v>52</v>
      </c>
      <c r="I1841">
        <v>129.37</v>
      </c>
      <c r="J1841">
        <v>10</v>
      </c>
      <c r="K1841">
        <v>12.94</v>
      </c>
      <c r="L1841">
        <v>14.84</v>
      </c>
      <c r="M1841">
        <v>57.89</v>
      </c>
      <c r="N1841">
        <v>0</v>
      </c>
      <c r="O1841">
        <v>3.68</v>
      </c>
      <c r="P1841" s="2" t="s">
        <v>42</v>
      </c>
      <c r="Q1841">
        <v>0</v>
      </c>
      <c r="R1841">
        <v>116.43</v>
      </c>
      <c r="S1841">
        <v>76.41</v>
      </c>
      <c r="T1841">
        <v>40.020000000000003</v>
      </c>
      <c r="U1841">
        <f t="shared" si="28"/>
        <v>0</v>
      </c>
    </row>
    <row r="1842" spans="1:21" x14ac:dyDescent="0.25">
      <c r="A1842" s="2" t="s">
        <v>2622</v>
      </c>
      <c r="B1842" s="2" t="s">
        <v>747</v>
      </c>
      <c r="C1842" s="1">
        <v>45940</v>
      </c>
      <c r="D1842" s="2" t="s">
        <v>45</v>
      </c>
      <c r="E1842" s="2" t="s">
        <v>71</v>
      </c>
      <c r="F1842" s="2" t="s">
        <v>51</v>
      </c>
      <c r="G1842">
        <v>1</v>
      </c>
      <c r="H1842" s="2" t="s">
        <v>56</v>
      </c>
      <c r="I1842">
        <v>11.99</v>
      </c>
      <c r="J1842">
        <v>10</v>
      </c>
      <c r="K1842">
        <v>1.2</v>
      </c>
      <c r="L1842">
        <v>10.3</v>
      </c>
      <c r="M1842">
        <v>6.88</v>
      </c>
      <c r="N1842">
        <v>0</v>
      </c>
      <c r="O1842">
        <v>0.61</v>
      </c>
      <c r="P1842" s="2" t="s">
        <v>42</v>
      </c>
      <c r="Q1842">
        <v>0</v>
      </c>
      <c r="R1842">
        <v>10.79</v>
      </c>
      <c r="S1842">
        <v>17.79</v>
      </c>
      <c r="T1842">
        <v>-7</v>
      </c>
      <c r="U1842">
        <f t="shared" si="28"/>
        <v>0</v>
      </c>
    </row>
    <row r="1843" spans="1:21" x14ac:dyDescent="0.25">
      <c r="A1843" s="2" t="s">
        <v>2623</v>
      </c>
      <c r="B1843" s="2" t="s">
        <v>1445</v>
      </c>
      <c r="C1843" s="1">
        <v>45807</v>
      </c>
      <c r="D1843" s="2" t="s">
        <v>45</v>
      </c>
      <c r="E1843" s="2" t="s">
        <v>46</v>
      </c>
      <c r="F1843" s="2" t="s">
        <v>94</v>
      </c>
      <c r="G1843">
        <v>1</v>
      </c>
      <c r="H1843" s="2" t="s">
        <v>48</v>
      </c>
      <c r="I1843">
        <v>24.02</v>
      </c>
      <c r="J1843">
        <v>0</v>
      </c>
      <c r="K1843">
        <v>0</v>
      </c>
      <c r="L1843">
        <v>3.98</v>
      </c>
      <c r="M1843">
        <v>10.75</v>
      </c>
      <c r="N1843">
        <v>0</v>
      </c>
      <c r="O1843">
        <v>1</v>
      </c>
      <c r="P1843" s="2" t="s">
        <v>42</v>
      </c>
      <c r="Q1843">
        <v>0</v>
      </c>
      <c r="R1843">
        <v>24.02</v>
      </c>
      <c r="S1843">
        <v>15.73</v>
      </c>
      <c r="T1843">
        <v>8.2899999999999991</v>
      </c>
      <c r="U1843">
        <f t="shared" si="28"/>
        <v>0</v>
      </c>
    </row>
    <row r="1844" spans="1:21" x14ac:dyDescent="0.25">
      <c r="A1844" s="2" t="s">
        <v>2624</v>
      </c>
      <c r="B1844" s="2" t="s">
        <v>836</v>
      </c>
      <c r="C1844" s="1">
        <v>45790</v>
      </c>
      <c r="D1844" s="2" t="s">
        <v>45</v>
      </c>
      <c r="E1844" s="2" t="s">
        <v>46</v>
      </c>
      <c r="F1844" s="2" t="s">
        <v>85</v>
      </c>
      <c r="G1844">
        <v>2</v>
      </c>
      <c r="H1844" s="2" t="s">
        <v>56</v>
      </c>
      <c r="I1844">
        <v>179.1</v>
      </c>
      <c r="J1844">
        <v>0</v>
      </c>
      <c r="K1844">
        <v>0</v>
      </c>
      <c r="L1844">
        <v>26.18</v>
      </c>
      <c r="M1844">
        <v>67.55</v>
      </c>
      <c r="N1844">
        <v>0</v>
      </c>
      <c r="O1844">
        <v>5.49</v>
      </c>
      <c r="P1844" s="2" t="s">
        <v>42</v>
      </c>
      <c r="Q1844">
        <v>0</v>
      </c>
      <c r="R1844">
        <v>179.1</v>
      </c>
      <c r="S1844">
        <v>99.22</v>
      </c>
      <c r="T1844">
        <v>79.88</v>
      </c>
      <c r="U1844">
        <f t="shared" si="28"/>
        <v>0</v>
      </c>
    </row>
    <row r="1845" spans="1:21" x14ac:dyDescent="0.25">
      <c r="A1845" s="2" t="s">
        <v>2625</v>
      </c>
      <c r="B1845" s="2" t="s">
        <v>2048</v>
      </c>
      <c r="C1845" s="1">
        <v>45624</v>
      </c>
      <c r="D1845" s="2" t="s">
        <v>45</v>
      </c>
      <c r="E1845" s="2" t="s">
        <v>71</v>
      </c>
      <c r="F1845" s="2" t="s">
        <v>51</v>
      </c>
      <c r="G1845">
        <v>1</v>
      </c>
      <c r="H1845" s="2" t="s">
        <v>74</v>
      </c>
      <c r="I1845">
        <v>110.36</v>
      </c>
      <c r="J1845">
        <v>5</v>
      </c>
      <c r="K1845">
        <v>5.52</v>
      </c>
      <c r="L1845">
        <v>5.0999999999999996</v>
      </c>
      <c r="M1845">
        <v>37.85</v>
      </c>
      <c r="N1845">
        <v>0</v>
      </c>
      <c r="O1845">
        <v>3.34</v>
      </c>
      <c r="P1845" s="2" t="s">
        <v>42</v>
      </c>
      <c r="Q1845">
        <v>0</v>
      </c>
      <c r="R1845">
        <v>104.84</v>
      </c>
      <c r="S1845">
        <v>46.29</v>
      </c>
      <c r="T1845">
        <v>58.55</v>
      </c>
      <c r="U1845">
        <f t="shared" si="28"/>
        <v>0</v>
      </c>
    </row>
    <row r="1846" spans="1:21" x14ac:dyDescent="0.25">
      <c r="A1846" s="2" t="s">
        <v>2626</v>
      </c>
      <c r="B1846" s="2" t="s">
        <v>1220</v>
      </c>
      <c r="C1846" s="1">
        <v>45602</v>
      </c>
      <c r="D1846" s="2" t="s">
        <v>45</v>
      </c>
      <c r="E1846" s="2" t="s">
        <v>55</v>
      </c>
      <c r="F1846" s="2" t="s">
        <v>85</v>
      </c>
      <c r="G1846">
        <v>2</v>
      </c>
      <c r="H1846" s="2" t="s">
        <v>64</v>
      </c>
      <c r="I1846">
        <v>459.44</v>
      </c>
      <c r="J1846">
        <v>0</v>
      </c>
      <c r="K1846">
        <v>0</v>
      </c>
      <c r="L1846">
        <v>64.7</v>
      </c>
      <c r="M1846">
        <v>149.16</v>
      </c>
      <c r="N1846">
        <v>0</v>
      </c>
      <c r="O1846">
        <v>13.62</v>
      </c>
      <c r="P1846" s="2" t="s">
        <v>42</v>
      </c>
      <c r="Q1846">
        <v>0</v>
      </c>
      <c r="R1846">
        <v>459.44</v>
      </c>
      <c r="S1846">
        <v>227.48</v>
      </c>
      <c r="T1846">
        <v>231.96</v>
      </c>
      <c r="U1846">
        <f t="shared" si="28"/>
        <v>0</v>
      </c>
    </row>
    <row r="1847" spans="1:21" x14ac:dyDescent="0.25">
      <c r="A1847" s="2" t="s">
        <v>2627</v>
      </c>
      <c r="B1847" s="2" t="s">
        <v>566</v>
      </c>
      <c r="C1847" s="1">
        <v>45735</v>
      </c>
      <c r="D1847" s="2" t="s">
        <v>45</v>
      </c>
      <c r="E1847" s="2" t="s">
        <v>39</v>
      </c>
      <c r="F1847" s="2" t="s">
        <v>51</v>
      </c>
      <c r="G1847">
        <v>4</v>
      </c>
      <c r="H1847" s="2" t="s">
        <v>52</v>
      </c>
      <c r="I1847">
        <v>325.51</v>
      </c>
      <c r="J1847">
        <v>10</v>
      </c>
      <c r="K1847">
        <v>32.549999999999997</v>
      </c>
      <c r="L1847">
        <v>64.900000000000006</v>
      </c>
      <c r="M1847">
        <v>144.19999999999999</v>
      </c>
      <c r="N1847">
        <v>0</v>
      </c>
      <c r="O1847">
        <v>8.8000000000000007</v>
      </c>
      <c r="P1847" s="2" t="s">
        <v>42</v>
      </c>
      <c r="Q1847">
        <v>0</v>
      </c>
      <c r="R1847">
        <v>292.95999999999998</v>
      </c>
      <c r="S1847">
        <v>217.9</v>
      </c>
      <c r="T1847">
        <v>75.06</v>
      </c>
      <c r="U1847">
        <f t="shared" si="28"/>
        <v>0</v>
      </c>
    </row>
    <row r="1848" spans="1:21" x14ac:dyDescent="0.25">
      <c r="A1848" s="2" t="s">
        <v>2628</v>
      </c>
      <c r="B1848" s="2" t="s">
        <v>410</v>
      </c>
      <c r="C1848" s="1">
        <v>45541</v>
      </c>
      <c r="D1848" s="2" t="s">
        <v>38</v>
      </c>
      <c r="E1848" s="2" t="s">
        <v>39</v>
      </c>
      <c r="F1848" s="2" t="s">
        <v>40</v>
      </c>
      <c r="G1848">
        <v>2</v>
      </c>
      <c r="H1848" s="2" t="s">
        <v>74</v>
      </c>
      <c r="I1848">
        <v>158.57</v>
      </c>
      <c r="J1848">
        <v>0</v>
      </c>
      <c r="K1848">
        <v>0</v>
      </c>
      <c r="L1848">
        <v>22.36</v>
      </c>
      <c r="M1848">
        <v>61.74</v>
      </c>
      <c r="N1848">
        <v>0</v>
      </c>
      <c r="O1848">
        <v>4.9000000000000004</v>
      </c>
      <c r="P1848" s="2" t="s">
        <v>68</v>
      </c>
      <c r="Q1848">
        <v>158.57</v>
      </c>
      <c r="R1848">
        <v>0</v>
      </c>
      <c r="S1848">
        <v>89</v>
      </c>
      <c r="T1848">
        <v>-89</v>
      </c>
      <c r="U1848">
        <f t="shared" si="28"/>
        <v>0</v>
      </c>
    </row>
    <row r="1849" spans="1:21" x14ac:dyDescent="0.25">
      <c r="A1849" s="2" t="s">
        <v>2629</v>
      </c>
      <c r="B1849" s="2" t="s">
        <v>2480</v>
      </c>
      <c r="C1849" s="1">
        <v>45414</v>
      </c>
      <c r="D1849" s="2" t="s">
        <v>59</v>
      </c>
      <c r="E1849" s="2" t="s">
        <v>46</v>
      </c>
      <c r="F1849" s="2" t="s">
        <v>94</v>
      </c>
      <c r="G1849">
        <v>2</v>
      </c>
      <c r="H1849" s="2" t="s">
        <v>41</v>
      </c>
      <c r="I1849">
        <v>257.5</v>
      </c>
      <c r="J1849">
        <v>0</v>
      </c>
      <c r="K1849">
        <v>0</v>
      </c>
      <c r="L1849">
        <v>33.22</v>
      </c>
      <c r="M1849">
        <v>100.72</v>
      </c>
      <c r="N1849">
        <v>38.619999999999997</v>
      </c>
      <c r="O1849">
        <v>7.77</v>
      </c>
      <c r="P1849" s="2" t="s">
        <v>42</v>
      </c>
      <c r="Q1849">
        <v>0</v>
      </c>
      <c r="R1849">
        <v>257.5</v>
      </c>
      <c r="S1849">
        <v>180.33</v>
      </c>
      <c r="T1849">
        <v>77.17</v>
      </c>
      <c r="U1849">
        <f t="shared" si="28"/>
        <v>0</v>
      </c>
    </row>
    <row r="1850" spans="1:21" x14ac:dyDescent="0.25">
      <c r="A1850" s="2" t="s">
        <v>2630</v>
      </c>
      <c r="B1850" s="2" t="s">
        <v>1375</v>
      </c>
      <c r="C1850" s="1">
        <v>45600</v>
      </c>
      <c r="D1850" s="2" t="s">
        <v>38</v>
      </c>
      <c r="E1850" s="2" t="s">
        <v>46</v>
      </c>
      <c r="F1850" s="2" t="s">
        <v>47</v>
      </c>
      <c r="G1850">
        <v>1</v>
      </c>
      <c r="H1850" s="2" t="s">
        <v>41</v>
      </c>
      <c r="I1850">
        <v>20.67</v>
      </c>
      <c r="J1850">
        <v>25</v>
      </c>
      <c r="K1850">
        <v>5.17</v>
      </c>
      <c r="L1850">
        <v>4.3</v>
      </c>
      <c r="M1850">
        <v>5.96</v>
      </c>
      <c r="N1850">
        <v>0</v>
      </c>
      <c r="O1850">
        <v>0.75</v>
      </c>
      <c r="P1850" s="2" t="s">
        <v>42</v>
      </c>
      <c r="Q1850">
        <v>0</v>
      </c>
      <c r="R1850">
        <v>15.5</v>
      </c>
      <c r="S1850">
        <v>11.01</v>
      </c>
      <c r="T1850">
        <v>4.49</v>
      </c>
      <c r="U1850">
        <f t="shared" si="28"/>
        <v>1</v>
      </c>
    </row>
    <row r="1851" spans="1:21" x14ac:dyDescent="0.25">
      <c r="A1851" s="2" t="s">
        <v>2631</v>
      </c>
      <c r="B1851" s="2" t="s">
        <v>449</v>
      </c>
      <c r="C1851" s="1">
        <v>45779</v>
      </c>
      <c r="D1851" s="2" t="s">
        <v>45</v>
      </c>
      <c r="E1851" s="2" t="s">
        <v>67</v>
      </c>
      <c r="F1851" s="2" t="s">
        <v>40</v>
      </c>
      <c r="G1851">
        <v>2</v>
      </c>
      <c r="H1851" s="2" t="s">
        <v>64</v>
      </c>
      <c r="I1851">
        <v>178.4</v>
      </c>
      <c r="J1851">
        <v>5</v>
      </c>
      <c r="K1851">
        <v>8.92</v>
      </c>
      <c r="L1851">
        <v>39.76</v>
      </c>
      <c r="M1851">
        <v>59.38</v>
      </c>
      <c r="N1851">
        <v>0</v>
      </c>
      <c r="O1851">
        <v>5.21</v>
      </c>
      <c r="P1851" s="2" t="s">
        <v>42</v>
      </c>
      <c r="Q1851">
        <v>0</v>
      </c>
      <c r="R1851">
        <v>169.48</v>
      </c>
      <c r="S1851">
        <v>104.35</v>
      </c>
      <c r="T1851">
        <v>65.13</v>
      </c>
      <c r="U1851">
        <f t="shared" si="28"/>
        <v>0</v>
      </c>
    </row>
    <row r="1852" spans="1:21" x14ac:dyDescent="0.25">
      <c r="A1852" s="2" t="s">
        <v>2632</v>
      </c>
      <c r="B1852" s="2" t="s">
        <v>98</v>
      </c>
      <c r="C1852" s="1">
        <v>45741</v>
      </c>
      <c r="D1852" s="2" t="s">
        <v>59</v>
      </c>
      <c r="E1852" s="2" t="s">
        <v>46</v>
      </c>
      <c r="F1852" s="2" t="s">
        <v>40</v>
      </c>
      <c r="G1852">
        <v>2</v>
      </c>
      <c r="H1852" s="2" t="s">
        <v>41</v>
      </c>
      <c r="I1852">
        <v>312.39</v>
      </c>
      <c r="J1852">
        <v>15</v>
      </c>
      <c r="K1852">
        <v>46.86</v>
      </c>
      <c r="L1852">
        <v>23.72</v>
      </c>
      <c r="M1852">
        <v>103.35</v>
      </c>
      <c r="N1852">
        <v>39.83</v>
      </c>
      <c r="O1852">
        <v>8</v>
      </c>
      <c r="P1852" s="2" t="s">
        <v>42</v>
      </c>
      <c r="Q1852">
        <v>0</v>
      </c>
      <c r="R1852">
        <v>265.52999999999997</v>
      </c>
      <c r="S1852">
        <v>174.9</v>
      </c>
      <c r="T1852">
        <v>90.63</v>
      </c>
      <c r="U1852">
        <f t="shared" si="28"/>
        <v>0</v>
      </c>
    </row>
    <row r="1853" spans="1:21" x14ac:dyDescent="0.25">
      <c r="A1853" s="2" t="s">
        <v>2633</v>
      </c>
      <c r="B1853" s="2" t="s">
        <v>412</v>
      </c>
      <c r="C1853" s="1">
        <v>45818</v>
      </c>
      <c r="D1853" s="2" t="s">
        <v>38</v>
      </c>
      <c r="E1853" s="2" t="s">
        <v>46</v>
      </c>
      <c r="F1853" s="2" t="s">
        <v>40</v>
      </c>
      <c r="G1853">
        <v>1</v>
      </c>
      <c r="H1853" s="2" t="s">
        <v>52</v>
      </c>
      <c r="I1853">
        <v>168.08</v>
      </c>
      <c r="J1853">
        <v>15</v>
      </c>
      <c r="K1853">
        <v>25.21</v>
      </c>
      <c r="L1853">
        <v>8.44</v>
      </c>
      <c r="M1853">
        <v>51.94</v>
      </c>
      <c r="N1853">
        <v>0</v>
      </c>
      <c r="O1853">
        <v>4.4400000000000004</v>
      </c>
      <c r="P1853" s="2" t="s">
        <v>42</v>
      </c>
      <c r="Q1853">
        <v>0</v>
      </c>
      <c r="R1853">
        <v>142.87</v>
      </c>
      <c r="S1853">
        <v>64.819999999999993</v>
      </c>
      <c r="T1853">
        <v>78.05</v>
      </c>
      <c r="U1853">
        <f t="shared" si="28"/>
        <v>0</v>
      </c>
    </row>
    <row r="1854" spans="1:21" x14ac:dyDescent="0.25">
      <c r="A1854" s="2" t="s">
        <v>2634</v>
      </c>
      <c r="B1854" s="2" t="s">
        <v>858</v>
      </c>
      <c r="C1854" s="1">
        <v>45456</v>
      </c>
      <c r="D1854" s="2" t="s">
        <v>59</v>
      </c>
      <c r="E1854" s="2" t="s">
        <v>46</v>
      </c>
      <c r="F1854" s="2" t="s">
        <v>94</v>
      </c>
      <c r="G1854">
        <v>3</v>
      </c>
      <c r="H1854" s="2" t="s">
        <v>41</v>
      </c>
      <c r="I1854">
        <v>140.47</v>
      </c>
      <c r="J1854">
        <v>5</v>
      </c>
      <c r="K1854">
        <v>7.02</v>
      </c>
      <c r="L1854">
        <v>55.58</v>
      </c>
      <c r="M1854">
        <v>60.87</v>
      </c>
      <c r="N1854">
        <v>20.02</v>
      </c>
      <c r="O1854">
        <v>4.17</v>
      </c>
      <c r="P1854" s="2" t="s">
        <v>42</v>
      </c>
      <c r="Q1854">
        <v>0</v>
      </c>
      <c r="R1854">
        <v>133.44999999999999</v>
      </c>
      <c r="S1854">
        <v>140.63999999999999</v>
      </c>
      <c r="T1854">
        <v>-7.19</v>
      </c>
      <c r="U1854">
        <f t="shared" si="28"/>
        <v>0</v>
      </c>
    </row>
    <row r="1855" spans="1:21" x14ac:dyDescent="0.25">
      <c r="A1855" s="2" t="s">
        <v>2635</v>
      </c>
      <c r="B1855" s="2" t="s">
        <v>1884</v>
      </c>
      <c r="C1855" s="1">
        <v>45461</v>
      </c>
      <c r="D1855" s="2" t="s">
        <v>80</v>
      </c>
      <c r="E1855" s="2" t="s">
        <v>71</v>
      </c>
      <c r="F1855" s="2" t="s">
        <v>85</v>
      </c>
      <c r="G1855">
        <v>4</v>
      </c>
      <c r="H1855" s="2" t="s">
        <v>64</v>
      </c>
      <c r="I1855">
        <v>283.88</v>
      </c>
      <c r="J1855">
        <v>15</v>
      </c>
      <c r="K1855">
        <v>42.58</v>
      </c>
      <c r="L1855">
        <v>43.9</v>
      </c>
      <c r="M1855">
        <v>90.92</v>
      </c>
      <c r="N1855">
        <v>19.3</v>
      </c>
      <c r="O1855">
        <v>7.3</v>
      </c>
      <c r="P1855" s="2" t="s">
        <v>68</v>
      </c>
      <c r="Q1855">
        <v>241.3</v>
      </c>
      <c r="R1855">
        <v>0</v>
      </c>
      <c r="S1855">
        <v>161.41999999999999</v>
      </c>
      <c r="T1855">
        <v>-161.41999999999999</v>
      </c>
      <c r="U1855">
        <f t="shared" si="28"/>
        <v>0</v>
      </c>
    </row>
    <row r="1856" spans="1:21" x14ac:dyDescent="0.25">
      <c r="A1856" s="2" t="s">
        <v>2636</v>
      </c>
      <c r="B1856" s="2" t="s">
        <v>1656</v>
      </c>
      <c r="C1856" s="1">
        <v>45780</v>
      </c>
      <c r="D1856" s="2" t="s">
        <v>80</v>
      </c>
      <c r="E1856" s="2" t="s">
        <v>46</v>
      </c>
      <c r="F1856" s="2" t="s">
        <v>51</v>
      </c>
      <c r="G1856">
        <v>1</v>
      </c>
      <c r="H1856" s="2" t="s">
        <v>48</v>
      </c>
      <c r="I1856">
        <v>11.82</v>
      </c>
      <c r="J1856">
        <v>0</v>
      </c>
      <c r="K1856">
        <v>0</v>
      </c>
      <c r="L1856">
        <v>11.9</v>
      </c>
      <c r="M1856">
        <v>5.81</v>
      </c>
      <c r="N1856">
        <v>0.95</v>
      </c>
      <c r="O1856">
        <v>0.64</v>
      </c>
      <c r="P1856" s="2" t="s">
        <v>42</v>
      </c>
      <c r="Q1856">
        <v>0</v>
      </c>
      <c r="R1856">
        <v>11.82</v>
      </c>
      <c r="S1856">
        <v>19.3</v>
      </c>
      <c r="T1856">
        <v>-7.48</v>
      </c>
      <c r="U1856">
        <f t="shared" si="28"/>
        <v>0</v>
      </c>
    </row>
    <row r="1857" spans="1:21" x14ac:dyDescent="0.25">
      <c r="A1857" s="2" t="s">
        <v>2637</v>
      </c>
      <c r="B1857" s="2" t="s">
        <v>2247</v>
      </c>
      <c r="C1857" s="1">
        <v>45631</v>
      </c>
      <c r="D1857" s="2" t="s">
        <v>59</v>
      </c>
      <c r="E1857" s="2" t="s">
        <v>46</v>
      </c>
      <c r="F1857" s="2" t="s">
        <v>51</v>
      </c>
      <c r="G1857">
        <v>3</v>
      </c>
      <c r="H1857" s="2" t="s">
        <v>77</v>
      </c>
      <c r="I1857">
        <v>247.23</v>
      </c>
      <c r="J1857">
        <v>0</v>
      </c>
      <c r="K1857">
        <v>0</v>
      </c>
      <c r="L1857">
        <v>39.36</v>
      </c>
      <c r="M1857">
        <v>86</v>
      </c>
      <c r="N1857">
        <v>37.08</v>
      </c>
      <c r="O1857">
        <v>7.47</v>
      </c>
      <c r="P1857" s="2" t="s">
        <v>42</v>
      </c>
      <c r="Q1857">
        <v>0</v>
      </c>
      <c r="R1857">
        <v>247.23</v>
      </c>
      <c r="S1857">
        <v>169.91</v>
      </c>
      <c r="T1857">
        <v>77.319999999999993</v>
      </c>
      <c r="U1857">
        <f t="shared" si="28"/>
        <v>1</v>
      </c>
    </row>
    <row r="1858" spans="1:21" x14ac:dyDescent="0.25">
      <c r="A1858" s="2" t="s">
        <v>2638</v>
      </c>
      <c r="B1858" s="2" t="s">
        <v>1911</v>
      </c>
      <c r="C1858" s="1">
        <v>45850</v>
      </c>
      <c r="D1858" s="2" t="s">
        <v>38</v>
      </c>
      <c r="E1858" s="2" t="s">
        <v>71</v>
      </c>
      <c r="F1858" s="2" t="s">
        <v>47</v>
      </c>
      <c r="G1858">
        <v>4</v>
      </c>
      <c r="H1858" s="2" t="s">
        <v>77</v>
      </c>
      <c r="I1858">
        <v>473.33</v>
      </c>
      <c r="J1858">
        <v>0</v>
      </c>
      <c r="K1858">
        <v>0</v>
      </c>
      <c r="L1858">
        <v>65.08</v>
      </c>
      <c r="M1858">
        <v>219.85</v>
      </c>
      <c r="N1858">
        <v>0</v>
      </c>
      <c r="O1858">
        <v>14.03</v>
      </c>
      <c r="P1858" s="2" t="s">
        <v>42</v>
      </c>
      <c r="Q1858">
        <v>0</v>
      </c>
      <c r="R1858">
        <v>473.33</v>
      </c>
      <c r="S1858">
        <v>298.95999999999998</v>
      </c>
      <c r="T1858">
        <v>174.37</v>
      </c>
      <c r="U1858">
        <f t="shared" si="28"/>
        <v>0</v>
      </c>
    </row>
    <row r="1859" spans="1:21" x14ac:dyDescent="0.25">
      <c r="A1859" s="2" t="s">
        <v>2639</v>
      </c>
      <c r="B1859" s="2" t="s">
        <v>2008</v>
      </c>
      <c r="C1859" s="1">
        <v>45626</v>
      </c>
      <c r="D1859" s="2" t="s">
        <v>80</v>
      </c>
      <c r="E1859" s="2" t="s">
        <v>46</v>
      </c>
      <c r="F1859" s="2" t="s">
        <v>94</v>
      </c>
      <c r="G1859">
        <v>1</v>
      </c>
      <c r="H1859" s="2" t="s">
        <v>64</v>
      </c>
      <c r="I1859">
        <v>187.78</v>
      </c>
      <c r="J1859">
        <v>0</v>
      </c>
      <c r="K1859">
        <v>0</v>
      </c>
      <c r="L1859">
        <v>12.28</v>
      </c>
      <c r="M1859">
        <v>65.62</v>
      </c>
      <c r="N1859">
        <v>15.02</v>
      </c>
      <c r="O1859">
        <v>5.75</v>
      </c>
      <c r="P1859" s="2" t="s">
        <v>42</v>
      </c>
      <c r="Q1859">
        <v>0</v>
      </c>
      <c r="R1859">
        <v>187.78</v>
      </c>
      <c r="S1859">
        <v>98.67</v>
      </c>
      <c r="T1859">
        <v>89.11</v>
      </c>
      <c r="U1859">
        <f t="shared" si="28"/>
        <v>0</v>
      </c>
    </row>
    <row r="1860" spans="1:21" x14ac:dyDescent="0.25">
      <c r="A1860" s="2" t="s">
        <v>2640</v>
      </c>
      <c r="B1860" s="2" t="s">
        <v>738</v>
      </c>
      <c r="C1860" s="1">
        <v>45398</v>
      </c>
      <c r="D1860" s="2" t="s">
        <v>59</v>
      </c>
      <c r="E1860" s="2" t="s">
        <v>71</v>
      </c>
      <c r="F1860" s="2" t="s">
        <v>40</v>
      </c>
      <c r="G1860">
        <v>2</v>
      </c>
      <c r="H1860" s="2" t="s">
        <v>41</v>
      </c>
      <c r="I1860">
        <v>53.41</v>
      </c>
      <c r="J1860">
        <v>5</v>
      </c>
      <c r="K1860">
        <v>2.67</v>
      </c>
      <c r="L1860">
        <v>26.36</v>
      </c>
      <c r="M1860">
        <v>30.39</v>
      </c>
      <c r="N1860">
        <v>7.61</v>
      </c>
      <c r="O1860">
        <v>1.77</v>
      </c>
      <c r="P1860" s="2" t="s">
        <v>42</v>
      </c>
      <c r="Q1860">
        <v>0</v>
      </c>
      <c r="R1860">
        <v>50.74</v>
      </c>
      <c r="S1860">
        <v>66.13</v>
      </c>
      <c r="T1860">
        <v>-15.39</v>
      </c>
      <c r="U1860">
        <f t="shared" si="28"/>
        <v>0</v>
      </c>
    </row>
    <row r="1861" spans="1:21" x14ac:dyDescent="0.25">
      <c r="A1861" s="2" t="s">
        <v>2641</v>
      </c>
      <c r="B1861" s="2" t="s">
        <v>543</v>
      </c>
      <c r="C1861" s="1">
        <v>45546</v>
      </c>
      <c r="D1861" s="2" t="s">
        <v>45</v>
      </c>
      <c r="E1861" s="2" t="s">
        <v>67</v>
      </c>
      <c r="F1861" s="2" t="s">
        <v>85</v>
      </c>
      <c r="G1861">
        <v>1</v>
      </c>
      <c r="H1861" s="2" t="s">
        <v>56</v>
      </c>
      <c r="I1861">
        <v>17.399999999999999</v>
      </c>
      <c r="J1861">
        <v>5</v>
      </c>
      <c r="K1861">
        <v>0.87</v>
      </c>
      <c r="L1861">
        <v>12.3</v>
      </c>
      <c r="M1861">
        <v>7.23</v>
      </c>
      <c r="N1861">
        <v>0</v>
      </c>
      <c r="O1861">
        <v>0.78</v>
      </c>
      <c r="P1861" s="2" t="s">
        <v>42</v>
      </c>
      <c r="Q1861">
        <v>0</v>
      </c>
      <c r="R1861">
        <v>16.53</v>
      </c>
      <c r="S1861">
        <v>20.309999999999999</v>
      </c>
      <c r="T1861">
        <v>-3.78</v>
      </c>
      <c r="U1861">
        <f t="shared" ref="U1861:U1924" si="29">IF(P1859="Yes", 1, 0)</f>
        <v>0</v>
      </c>
    </row>
    <row r="1862" spans="1:21" x14ac:dyDescent="0.25">
      <c r="A1862" s="2" t="s">
        <v>2642</v>
      </c>
      <c r="B1862" s="2" t="s">
        <v>873</v>
      </c>
      <c r="C1862" s="1">
        <v>45881</v>
      </c>
      <c r="D1862" s="2" t="s">
        <v>45</v>
      </c>
      <c r="E1862" s="2" t="s">
        <v>71</v>
      </c>
      <c r="F1862" s="2" t="s">
        <v>94</v>
      </c>
      <c r="G1862">
        <v>3</v>
      </c>
      <c r="H1862" s="2" t="s">
        <v>48</v>
      </c>
      <c r="I1862">
        <v>245.54</v>
      </c>
      <c r="J1862">
        <v>5</v>
      </c>
      <c r="K1862">
        <v>12.28</v>
      </c>
      <c r="L1862">
        <v>49.98</v>
      </c>
      <c r="M1862">
        <v>124.84</v>
      </c>
      <c r="N1862">
        <v>0</v>
      </c>
      <c r="O1862">
        <v>7.06</v>
      </c>
      <c r="P1862" s="2" t="s">
        <v>42</v>
      </c>
      <c r="Q1862">
        <v>0</v>
      </c>
      <c r="R1862">
        <v>233.26</v>
      </c>
      <c r="S1862">
        <v>181.88</v>
      </c>
      <c r="T1862">
        <v>51.38</v>
      </c>
      <c r="U1862">
        <f t="shared" si="29"/>
        <v>0</v>
      </c>
    </row>
    <row r="1863" spans="1:21" x14ac:dyDescent="0.25">
      <c r="A1863" s="2" t="s">
        <v>2643</v>
      </c>
      <c r="B1863" s="2" t="s">
        <v>856</v>
      </c>
      <c r="C1863" s="1">
        <v>45904</v>
      </c>
      <c r="D1863" s="2" t="s">
        <v>45</v>
      </c>
      <c r="E1863" s="2" t="s">
        <v>39</v>
      </c>
      <c r="F1863" s="2" t="s">
        <v>47</v>
      </c>
      <c r="G1863">
        <v>1</v>
      </c>
      <c r="H1863" s="2" t="s">
        <v>74</v>
      </c>
      <c r="I1863">
        <v>59.14</v>
      </c>
      <c r="J1863">
        <v>10</v>
      </c>
      <c r="K1863">
        <v>5.91</v>
      </c>
      <c r="L1863">
        <v>24.28</v>
      </c>
      <c r="M1863">
        <v>41.32</v>
      </c>
      <c r="N1863">
        <v>0</v>
      </c>
      <c r="O1863">
        <v>1.84</v>
      </c>
      <c r="P1863" s="2" t="s">
        <v>42</v>
      </c>
      <c r="Q1863">
        <v>0</v>
      </c>
      <c r="R1863">
        <v>53.23</v>
      </c>
      <c r="S1863">
        <v>67.44</v>
      </c>
      <c r="T1863">
        <v>-14.21</v>
      </c>
      <c r="U1863">
        <f t="shared" si="29"/>
        <v>0</v>
      </c>
    </row>
    <row r="1864" spans="1:21" x14ac:dyDescent="0.25">
      <c r="A1864" s="2" t="s">
        <v>2644</v>
      </c>
      <c r="B1864" s="2" t="s">
        <v>1288</v>
      </c>
      <c r="C1864" s="1">
        <v>45936</v>
      </c>
      <c r="D1864" s="2" t="s">
        <v>38</v>
      </c>
      <c r="E1864" s="2" t="s">
        <v>71</v>
      </c>
      <c r="F1864" s="2" t="s">
        <v>51</v>
      </c>
      <c r="G1864">
        <v>3</v>
      </c>
      <c r="H1864" s="2" t="s">
        <v>74</v>
      </c>
      <c r="I1864">
        <v>113.29</v>
      </c>
      <c r="J1864">
        <v>0</v>
      </c>
      <c r="K1864">
        <v>0</v>
      </c>
      <c r="L1864">
        <v>46.56</v>
      </c>
      <c r="M1864">
        <v>39.46</v>
      </c>
      <c r="N1864">
        <v>0</v>
      </c>
      <c r="O1864">
        <v>3.59</v>
      </c>
      <c r="P1864" s="2" t="s">
        <v>42</v>
      </c>
      <c r="Q1864">
        <v>0</v>
      </c>
      <c r="R1864">
        <v>113.29</v>
      </c>
      <c r="S1864">
        <v>89.61</v>
      </c>
      <c r="T1864">
        <v>23.68</v>
      </c>
      <c r="U1864">
        <f t="shared" si="29"/>
        <v>0</v>
      </c>
    </row>
    <row r="1865" spans="1:21" x14ac:dyDescent="0.25">
      <c r="A1865" s="2" t="s">
        <v>2645</v>
      </c>
      <c r="B1865" s="2" t="s">
        <v>2646</v>
      </c>
      <c r="C1865" s="1">
        <v>45699</v>
      </c>
      <c r="D1865" s="2" t="s">
        <v>59</v>
      </c>
      <c r="E1865" s="2" t="s">
        <v>46</v>
      </c>
      <c r="F1865" s="2" t="s">
        <v>40</v>
      </c>
      <c r="G1865">
        <v>5</v>
      </c>
      <c r="H1865" s="2" t="s">
        <v>111</v>
      </c>
      <c r="I1865">
        <v>247.95</v>
      </c>
      <c r="J1865">
        <v>0</v>
      </c>
      <c r="K1865">
        <v>0</v>
      </c>
      <c r="L1865">
        <v>58.28</v>
      </c>
      <c r="M1865">
        <v>126.33</v>
      </c>
      <c r="N1865">
        <v>37.19</v>
      </c>
      <c r="O1865">
        <v>7.49</v>
      </c>
      <c r="P1865" s="2" t="s">
        <v>42</v>
      </c>
      <c r="Q1865">
        <v>0</v>
      </c>
      <c r="R1865">
        <v>247.95</v>
      </c>
      <c r="S1865">
        <v>229.29</v>
      </c>
      <c r="T1865">
        <v>18.66</v>
      </c>
      <c r="U1865">
        <f t="shared" si="29"/>
        <v>0</v>
      </c>
    </row>
    <row r="1866" spans="1:21" x14ac:dyDescent="0.25">
      <c r="A1866" s="2" t="s">
        <v>2647</v>
      </c>
      <c r="B1866" s="2" t="s">
        <v>702</v>
      </c>
      <c r="C1866" s="1">
        <v>45925</v>
      </c>
      <c r="D1866" s="2" t="s">
        <v>45</v>
      </c>
      <c r="E1866" s="2" t="s">
        <v>39</v>
      </c>
      <c r="F1866" s="2" t="s">
        <v>51</v>
      </c>
      <c r="G1866">
        <v>1</v>
      </c>
      <c r="H1866" s="2" t="s">
        <v>52</v>
      </c>
      <c r="I1866">
        <v>57.29</v>
      </c>
      <c r="J1866">
        <v>25</v>
      </c>
      <c r="K1866">
        <v>14.32</v>
      </c>
      <c r="L1866">
        <v>13.18</v>
      </c>
      <c r="M1866">
        <v>20.72</v>
      </c>
      <c r="N1866">
        <v>0</v>
      </c>
      <c r="O1866">
        <v>1.55</v>
      </c>
      <c r="P1866" s="2" t="s">
        <v>42</v>
      </c>
      <c r="Q1866">
        <v>0</v>
      </c>
      <c r="R1866">
        <v>42.97</v>
      </c>
      <c r="S1866">
        <v>35.450000000000003</v>
      </c>
      <c r="T1866">
        <v>7.52</v>
      </c>
      <c r="U1866">
        <f t="shared" si="29"/>
        <v>0</v>
      </c>
    </row>
    <row r="1867" spans="1:21" x14ac:dyDescent="0.25">
      <c r="A1867" s="2" t="s">
        <v>2648</v>
      </c>
      <c r="B1867" s="2" t="s">
        <v>400</v>
      </c>
      <c r="C1867" s="1">
        <v>45803</v>
      </c>
      <c r="D1867" s="2" t="s">
        <v>45</v>
      </c>
      <c r="E1867" s="2" t="s">
        <v>46</v>
      </c>
      <c r="F1867" s="2" t="s">
        <v>47</v>
      </c>
      <c r="G1867">
        <v>2</v>
      </c>
      <c r="H1867" s="2" t="s">
        <v>64</v>
      </c>
      <c r="I1867">
        <v>110.25</v>
      </c>
      <c r="J1867">
        <v>20</v>
      </c>
      <c r="K1867">
        <v>22.05</v>
      </c>
      <c r="L1867">
        <v>16.440000000000001</v>
      </c>
      <c r="M1867">
        <v>60.88</v>
      </c>
      <c r="N1867">
        <v>0</v>
      </c>
      <c r="O1867">
        <v>2.86</v>
      </c>
      <c r="P1867" s="2" t="s">
        <v>42</v>
      </c>
      <c r="Q1867">
        <v>0</v>
      </c>
      <c r="R1867">
        <v>88.2</v>
      </c>
      <c r="S1867">
        <v>80.180000000000007</v>
      </c>
      <c r="T1867">
        <v>8.02</v>
      </c>
      <c r="U1867">
        <f t="shared" si="29"/>
        <v>0</v>
      </c>
    </row>
    <row r="1868" spans="1:21" x14ac:dyDescent="0.25">
      <c r="A1868" s="2" t="s">
        <v>2649</v>
      </c>
      <c r="B1868" s="2" t="s">
        <v>674</v>
      </c>
      <c r="C1868" s="1">
        <v>45443</v>
      </c>
      <c r="D1868" s="2" t="s">
        <v>38</v>
      </c>
      <c r="E1868" s="2" t="s">
        <v>46</v>
      </c>
      <c r="F1868" s="2" t="s">
        <v>47</v>
      </c>
      <c r="G1868">
        <v>2</v>
      </c>
      <c r="H1868" s="2" t="s">
        <v>74</v>
      </c>
      <c r="I1868">
        <v>262.86</v>
      </c>
      <c r="J1868">
        <v>0</v>
      </c>
      <c r="K1868">
        <v>0</v>
      </c>
      <c r="L1868">
        <v>50.24</v>
      </c>
      <c r="M1868">
        <v>79.37</v>
      </c>
      <c r="N1868">
        <v>0</v>
      </c>
      <c r="O1868">
        <v>7.92</v>
      </c>
      <c r="P1868" s="2" t="s">
        <v>42</v>
      </c>
      <c r="Q1868">
        <v>0</v>
      </c>
      <c r="R1868">
        <v>262.86</v>
      </c>
      <c r="S1868">
        <v>137.53</v>
      </c>
      <c r="T1868">
        <v>125.33</v>
      </c>
      <c r="U1868">
        <f t="shared" si="29"/>
        <v>0</v>
      </c>
    </row>
    <row r="1869" spans="1:21" x14ac:dyDescent="0.25">
      <c r="A1869" s="2" t="s">
        <v>2650</v>
      </c>
      <c r="B1869" s="2" t="s">
        <v>663</v>
      </c>
      <c r="C1869" s="1">
        <v>45612</v>
      </c>
      <c r="D1869" s="2" t="s">
        <v>38</v>
      </c>
      <c r="E1869" s="2" t="s">
        <v>71</v>
      </c>
      <c r="F1869" s="2" t="s">
        <v>40</v>
      </c>
      <c r="G1869">
        <v>1</v>
      </c>
      <c r="H1869" s="2" t="s">
        <v>77</v>
      </c>
      <c r="I1869">
        <v>40.32</v>
      </c>
      <c r="J1869">
        <v>5</v>
      </c>
      <c r="K1869">
        <v>2.02</v>
      </c>
      <c r="L1869">
        <v>11.96</v>
      </c>
      <c r="M1869">
        <v>14.16</v>
      </c>
      <c r="N1869">
        <v>0</v>
      </c>
      <c r="O1869">
        <v>1.41</v>
      </c>
      <c r="P1869" s="2" t="s">
        <v>42</v>
      </c>
      <c r="Q1869">
        <v>0</v>
      </c>
      <c r="R1869">
        <v>38.299999999999997</v>
      </c>
      <c r="S1869">
        <v>27.53</v>
      </c>
      <c r="T1869">
        <v>10.77</v>
      </c>
      <c r="U1869">
        <f t="shared" si="29"/>
        <v>0</v>
      </c>
    </row>
    <row r="1870" spans="1:21" x14ac:dyDescent="0.25">
      <c r="A1870" s="2" t="s">
        <v>2651</v>
      </c>
      <c r="B1870" s="2" t="s">
        <v>203</v>
      </c>
      <c r="C1870" s="1">
        <v>45455</v>
      </c>
      <c r="D1870" s="2" t="s">
        <v>38</v>
      </c>
      <c r="E1870" s="2" t="s">
        <v>71</v>
      </c>
      <c r="F1870" s="2" t="s">
        <v>85</v>
      </c>
      <c r="G1870">
        <v>1</v>
      </c>
      <c r="H1870" s="2" t="s">
        <v>111</v>
      </c>
      <c r="I1870">
        <v>13.82</v>
      </c>
      <c r="J1870">
        <v>0</v>
      </c>
      <c r="K1870">
        <v>0</v>
      </c>
      <c r="L1870">
        <v>15.18</v>
      </c>
      <c r="M1870">
        <v>6.6</v>
      </c>
      <c r="N1870">
        <v>0</v>
      </c>
      <c r="O1870">
        <v>0.7</v>
      </c>
      <c r="P1870" s="2" t="s">
        <v>42</v>
      </c>
      <c r="Q1870">
        <v>0</v>
      </c>
      <c r="R1870">
        <v>13.82</v>
      </c>
      <c r="S1870">
        <v>22.48</v>
      </c>
      <c r="T1870">
        <v>-8.66</v>
      </c>
      <c r="U1870">
        <f t="shared" si="29"/>
        <v>0</v>
      </c>
    </row>
    <row r="1871" spans="1:21" x14ac:dyDescent="0.25">
      <c r="A1871" s="2" t="s">
        <v>2652</v>
      </c>
      <c r="B1871" s="2" t="s">
        <v>1617</v>
      </c>
      <c r="C1871" s="1">
        <v>45838</v>
      </c>
      <c r="D1871" s="2" t="s">
        <v>59</v>
      </c>
      <c r="E1871" s="2" t="s">
        <v>67</v>
      </c>
      <c r="F1871" s="2" t="s">
        <v>51</v>
      </c>
      <c r="G1871">
        <v>2</v>
      </c>
      <c r="H1871" s="2" t="s">
        <v>64</v>
      </c>
      <c r="I1871">
        <v>141.88</v>
      </c>
      <c r="J1871">
        <v>0</v>
      </c>
      <c r="K1871">
        <v>0</v>
      </c>
      <c r="L1871">
        <v>51.28</v>
      </c>
      <c r="M1871">
        <v>76.11</v>
      </c>
      <c r="N1871">
        <v>21.28</v>
      </c>
      <c r="O1871">
        <v>4.41</v>
      </c>
      <c r="P1871" s="2" t="s">
        <v>42</v>
      </c>
      <c r="Q1871">
        <v>0</v>
      </c>
      <c r="R1871">
        <v>141.88</v>
      </c>
      <c r="S1871">
        <v>153.08000000000001</v>
      </c>
      <c r="T1871">
        <v>-11.2</v>
      </c>
      <c r="U1871">
        <f t="shared" si="29"/>
        <v>0</v>
      </c>
    </row>
    <row r="1872" spans="1:21" x14ac:dyDescent="0.25">
      <c r="A1872" s="2" t="s">
        <v>2653</v>
      </c>
      <c r="B1872" s="2" t="s">
        <v>882</v>
      </c>
      <c r="C1872" s="1">
        <v>45471</v>
      </c>
      <c r="D1872" s="2" t="s">
        <v>45</v>
      </c>
      <c r="E1872" s="2" t="s">
        <v>46</v>
      </c>
      <c r="F1872" s="2" t="s">
        <v>51</v>
      </c>
      <c r="G1872">
        <v>3</v>
      </c>
      <c r="H1872" s="2" t="s">
        <v>52</v>
      </c>
      <c r="I1872">
        <v>260.58999999999997</v>
      </c>
      <c r="J1872">
        <v>25</v>
      </c>
      <c r="K1872">
        <v>65.150000000000006</v>
      </c>
      <c r="L1872">
        <v>30.48</v>
      </c>
      <c r="M1872">
        <v>89.25</v>
      </c>
      <c r="N1872">
        <v>0</v>
      </c>
      <c r="O1872">
        <v>5.97</v>
      </c>
      <c r="P1872" s="2" t="s">
        <v>42</v>
      </c>
      <c r="Q1872">
        <v>0</v>
      </c>
      <c r="R1872">
        <v>195.44</v>
      </c>
      <c r="S1872">
        <v>125.7</v>
      </c>
      <c r="T1872">
        <v>69.739999999999995</v>
      </c>
      <c r="U1872">
        <f t="shared" si="29"/>
        <v>0</v>
      </c>
    </row>
    <row r="1873" spans="1:21" x14ac:dyDescent="0.25">
      <c r="A1873" s="2" t="s">
        <v>2654</v>
      </c>
      <c r="B1873" s="2" t="s">
        <v>1506</v>
      </c>
      <c r="C1873" s="1">
        <v>45511</v>
      </c>
      <c r="D1873" s="2" t="s">
        <v>38</v>
      </c>
      <c r="E1873" s="2" t="s">
        <v>46</v>
      </c>
      <c r="F1873" s="2" t="s">
        <v>85</v>
      </c>
      <c r="G1873">
        <v>1</v>
      </c>
      <c r="H1873" s="2" t="s">
        <v>52</v>
      </c>
      <c r="I1873">
        <v>46.8</v>
      </c>
      <c r="J1873">
        <v>15</v>
      </c>
      <c r="K1873">
        <v>7.02</v>
      </c>
      <c r="L1873">
        <v>9.9</v>
      </c>
      <c r="M1873">
        <v>19.21</v>
      </c>
      <c r="N1873">
        <v>0</v>
      </c>
      <c r="O1873">
        <v>1.45</v>
      </c>
      <c r="P1873" s="2" t="s">
        <v>42</v>
      </c>
      <c r="Q1873">
        <v>0</v>
      </c>
      <c r="R1873">
        <v>39.78</v>
      </c>
      <c r="S1873">
        <v>30.56</v>
      </c>
      <c r="T1873">
        <v>9.2200000000000006</v>
      </c>
      <c r="U1873">
        <f t="shared" si="29"/>
        <v>0</v>
      </c>
    </row>
    <row r="1874" spans="1:21" x14ac:dyDescent="0.25">
      <c r="A1874" s="2" t="s">
        <v>2655</v>
      </c>
      <c r="B1874" s="2" t="s">
        <v>2656</v>
      </c>
      <c r="C1874" s="1">
        <v>45465</v>
      </c>
      <c r="D1874" s="2" t="s">
        <v>38</v>
      </c>
      <c r="E1874" s="2" t="s">
        <v>46</v>
      </c>
      <c r="F1874" s="2" t="s">
        <v>47</v>
      </c>
      <c r="G1874">
        <v>3</v>
      </c>
      <c r="H1874" s="2" t="s">
        <v>52</v>
      </c>
      <c r="I1874">
        <v>69.290000000000006</v>
      </c>
      <c r="J1874">
        <v>0</v>
      </c>
      <c r="K1874">
        <v>0</v>
      </c>
      <c r="L1874">
        <v>54.14</v>
      </c>
      <c r="M1874">
        <v>30.56</v>
      </c>
      <c r="N1874">
        <v>0</v>
      </c>
      <c r="O1874">
        <v>2.31</v>
      </c>
      <c r="P1874" s="2" t="s">
        <v>42</v>
      </c>
      <c r="Q1874">
        <v>0</v>
      </c>
      <c r="R1874">
        <v>69.290000000000006</v>
      </c>
      <c r="S1874">
        <v>87.01</v>
      </c>
      <c r="T1874">
        <v>-17.72</v>
      </c>
      <c r="U1874">
        <f t="shared" si="29"/>
        <v>0</v>
      </c>
    </row>
    <row r="1875" spans="1:21" x14ac:dyDescent="0.25">
      <c r="A1875" s="2" t="s">
        <v>2657</v>
      </c>
      <c r="B1875" s="2" t="s">
        <v>1365</v>
      </c>
      <c r="C1875" s="1">
        <v>45554</v>
      </c>
      <c r="D1875" s="2" t="s">
        <v>38</v>
      </c>
      <c r="E1875" s="2" t="s">
        <v>71</v>
      </c>
      <c r="F1875" s="2" t="s">
        <v>47</v>
      </c>
      <c r="G1875">
        <v>1</v>
      </c>
      <c r="H1875" s="2" t="s">
        <v>56</v>
      </c>
      <c r="I1875">
        <v>47.4</v>
      </c>
      <c r="J1875">
        <v>20</v>
      </c>
      <c r="K1875">
        <v>9.48</v>
      </c>
      <c r="L1875">
        <v>11.98</v>
      </c>
      <c r="M1875">
        <v>32.39</v>
      </c>
      <c r="N1875">
        <v>0</v>
      </c>
      <c r="O1875">
        <v>1.4</v>
      </c>
      <c r="P1875" s="2" t="s">
        <v>42</v>
      </c>
      <c r="Q1875">
        <v>0</v>
      </c>
      <c r="R1875">
        <v>37.92</v>
      </c>
      <c r="S1875">
        <v>45.77</v>
      </c>
      <c r="T1875">
        <v>-7.85</v>
      </c>
      <c r="U1875">
        <f t="shared" si="29"/>
        <v>0</v>
      </c>
    </row>
    <row r="1876" spans="1:21" x14ac:dyDescent="0.25">
      <c r="A1876" s="2" t="s">
        <v>2658</v>
      </c>
      <c r="B1876" s="2" t="s">
        <v>2430</v>
      </c>
      <c r="C1876" s="1">
        <v>45494</v>
      </c>
      <c r="D1876" s="2" t="s">
        <v>45</v>
      </c>
      <c r="E1876" s="2" t="s">
        <v>46</v>
      </c>
      <c r="F1876" s="2" t="s">
        <v>94</v>
      </c>
      <c r="G1876">
        <v>4</v>
      </c>
      <c r="H1876" s="2" t="s">
        <v>56</v>
      </c>
      <c r="I1876">
        <v>944.64</v>
      </c>
      <c r="J1876">
        <v>10</v>
      </c>
      <c r="K1876">
        <v>94.46</v>
      </c>
      <c r="L1876">
        <v>85.52</v>
      </c>
      <c r="M1876">
        <v>319.79000000000002</v>
      </c>
      <c r="N1876">
        <v>0</v>
      </c>
      <c r="O1876">
        <v>24.96</v>
      </c>
      <c r="P1876" s="2" t="s">
        <v>42</v>
      </c>
      <c r="Q1876">
        <v>0</v>
      </c>
      <c r="R1876">
        <v>850.18</v>
      </c>
      <c r="S1876">
        <v>430.27</v>
      </c>
      <c r="T1876">
        <v>419.91</v>
      </c>
      <c r="U1876">
        <f t="shared" si="29"/>
        <v>0</v>
      </c>
    </row>
    <row r="1877" spans="1:21" x14ac:dyDescent="0.25">
      <c r="A1877" s="2" t="s">
        <v>2659</v>
      </c>
      <c r="B1877" s="2" t="s">
        <v>1060</v>
      </c>
      <c r="C1877" s="1">
        <v>45694</v>
      </c>
      <c r="D1877" s="2" t="s">
        <v>45</v>
      </c>
      <c r="E1877" s="2" t="s">
        <v>46</v>
      </c>
      <c r="F1877" s="2" t="s">
        <v>94</v>
      </c>
      <c r="G1877">
        <v>2</v>
      </c>
      <c r="H1877" s="2" t="s">
        <v>111</v>
      </c>
      <c r="I1877">
        <v>364.63</v>
      </c>
      <c r="J1877">
        <v>25</v>
      </c>
      <c r="K1877">
        <v>91.16</v>
      </c>
      <c r="L1877">
        <v>34.14</v>
      </c>
      <c r="M1877">
        <v>139.19</v>
      </c>
      <c r="N1877">
        <v>0</v>
      </c>
      <c r="O1877">
        <v>8.23</v>
      </c>
      <c r="P1877" s="2" t="s">
        <v>42</v>
      </c>
      <c r="Q1877">
        <v>0</v>
      </c>
      <c r="R1877">
        <v>273.47000000000003</v>
      </c>
      <c r="S1877">
        <v>181.56</v>
      </c>
      <c r="T1877">
        <v>91.91</v>
      </c>
      <c r="U1877">
        <f t="shared" si="29"/>
        <v>0</v>
      </c>
    </row>
    <row r="1878" spans="1:21" x14ac:dyDescent="0.25">
      <c r="A1878" s="2" t="s">
        <v>2660</v>
      </c>
      <c r="B1878" s="2" t="s">
        <v>2661</v>
      </c>
      <c r="C1878" s="1">
        <v>45640</v>
      </c>
      <c r="D1878" s="2" t="s">
        <v>38</v>
      </c>
      <c r="E1878" s="2" t="s">
        <v>67</v>
      </c>
      <c r="F1878" s="2" t="s">
        <v>85</v>
      </c>
      <c r="G1878">
        <v>2</v>
      </c>
      <c r="H1878" s="2" t="s">
        <v>41</v>
      </c>
      <c r="I1878">
        <v>216.18</v>
      </c>
      <c r="J1878">
        <v>20</v>
      </c>
      <c r="K1878">
        <v>43.24</v>
      </c>
      <c r="L1878">
        <v>39.92</v>
      </c>
      <c r="M1878">
        <v>64.7</v>
      </c>
      <c r="N1878">
        <v>0</v>
      </c>
      <c r="O1878">
        <v>5.32</v>
      </c>
      <c r="P1878" s="2" t="s">
        <v>42</v>
      </c>
      <c r="Q1878">
        <v>0</v>
      </c>
      <c r="R1878">
        <v>172.94</v>
      </c>
      <c r="S1878">
        <v>109.94</v>
      </c>
      <c r="T1878">
        <v>63</v>
      </c>
      <c r="U1878">
        <f t="shared" si="29"/>
        <v>0</v>
      </c>
    </row>
    <row r="1879" spans="1:21" x14ac:dyDescent="0.25">
      <c r="A1879" s="2" t="s">
        <v>2662</v>
      </c>
      <c r="B1879" s="2" t="s">
        <v>151</v>
      </c>
      <c r="C1879" s="1">
        <v>45416</v>
      </c>
      <c r="D1879" s="2" t="s">
        <v>45</v>
      </c>
      <c r="E1879" s="2" t="s">
        <v>46</v>
      </c>
      <c r="F1879" s="2" t="s">
        <v>94</v>
      </c>
      <c r="G1879">
        <v>1</v>
      </c>
      <c r="H1879" s="2" t="s">
        <v>52</v>
      </c>
      <c r="I1879">
        <v>124.51</v>
      </c>
      <c r="J1879">
        <v>20</v>
      </c>
      <c r="K1879">
        <v>24.9</v>
      </c>
      <c r="L1879">
        <v>5.98</v>
      </c>
      <c r="M1879">
        <v>38.53</v>
      </c>
      <c r="N1879">
        <v>0</v>
      </c>
      <c r="O1879">
        <v>3.19</v>
      </c>
      <c r="P1879" s="2" t="s">
        <v>42</v>
      </c>
      <c r="Q1879">
        <v>0</v>
      </c>
      <c r="R1879">
        <v>99.61</v>
      </c>
      <c r="S1879">
        <v>47.7</v>
      </c>
      <c r="T1879">
        <v>51.91</v>
      </c>
      <c r="U1879">
        <f t="shared" si="29"/>
        <v>0</v>
      </c>
    </row>
    <row r="1880" spans="1:21" x14ac:dyDescent="0.25">
      <c r="A1880" s="2" t="s">
        <v>2663</v>
      </c>
      <c r="B1880" s="2" t="s">
        <v>1604</v>
      </c>
      <c r="C1880" s="1">
        <v>45911</v>
      </c>
      <c r="D1880" s="2" t="s">
        <v>45</v>
      </c>
      <c r="E1880" s="2" t="s">
        <v>46</v>
      </c>
      <c r="F1880" s="2" t="s">
        <v>85</v>
      </c>
      <c r="G1880">
        <v>3</v>
      </c>
      <c r="H1880" s="2" t="s">
        <v>56</v>
      </c>
      <c r="I1880">
        <v>223.08</v>
      </c>
      <c r="J1880">
        <v>10</v>
      </c>
      <c r="K1880">
        <v>22.31</v>
      </c>
      <c r="L1880">
        <v>55.88</v>
      </c>
      <c r="M1880">
        <v>87.49</v>
      </c>
      <c r="N1880">
        <v>0</v>
      </c>
      <c r="O1880">
        <v>6.12</v>
      </c>
      <c r="P1880" s="2" t="s">
        <v>68</v>
      </c>
      <c r="Q1880">
        <v>200.77</v>
      </c>
      <c r="R1880">
        <v>0</v>
      </c>
      <c r="S1880">
        <v>149.49</v>
      </c>
      <c r="T1880">
        <v>-149.49</v>
      </c>
      <c r="U1880">
        <f t="shared" si="29"/>
        <v>0</v>
      </c>
    </row>
    <row r="1881" spans="1:21" x14ac:dyDescent="0.25">
      <c r="A1881" s="2" t="s">
        <v>2664</v>
      </c>
      <c r="B1881" s="2" t="s">
        <v>1070</v>
      </c>
      <c r="C1881" s="1">
        <v>45681</v>
      </c>
      <c r="D1881" s="2" t="s">
        <v>45</v>
      </c>
      <c r="E1881" s="2" t="s">
        <v>46</v>
      </c>
      <c r="F1881" s="2" t="s">
        <v>47</v>
      </c>
      <c r="G1881">
        <v>1</v>
      </c>
      <c r="H1881" s="2" t="s">
        <v>64</v>
      </c>
      <c r="I1881">
        <v>86.75</v>
      </c>
      <c r="J1881">
        <v>0</v>
      </c>
      <c r="K1881">
        <v>0</v>
      </c>
      <c r="L1881">
        <v>12.94</v>
      </c>
      <c r="M1881">
        <v>26.86</v>
      </c>
      <c r="N1881">
        <v>0</v>
      </c>
      <c r="O1881">
        <v>2.82</v>
      </c>
      <c r="P1881" s="2" t="s">
        <v>42</v>
      </c>
      <c r="Q1881">
        <v>0</v>
      </c>
      <c r="R1881">
        <v>86.75</v>
      </c>
      <c r="S1881">
        <v>42.62</v>
      </c>
      <c r="T1881">
        <v>44.13</v>
      </c>
      <c r="U1881">
        <f t="shared" si="29"/>
        <v>0</v>
      </c>
    </row>
    <row r="1882" spans="1:21" x14ac:dyDescent="0.25">
      <c r="A1882" s="2" t="s">
        <v>2665</v>
      </c>
      <c r="B1882" s="2" t="s">
        <v>295</v>
      </c>
      <c r="C1882" s="1">
        <v>45748</v>
      </c>
      <c r="D1882" s="2" t="s">
        <v>45</v>
      </c>
      <c r="E1882" s="2" t="s">
        <v>46</v>
      </c>
      <c r="F1882" s="2" t="s">
        <v>51</v>
      </c>
      <c r="G1882">
        <v>2</v>
      </c>
      <c r="H1882" s="2" t="s">
        <v>52</v>
      </c>
      <c r="I1882">
        <v>94.04</v>
      </c>
      <c r="J1882">
        <v>0</v>
      </c>
      <c r="K1882">
        <v>0</v>
      </c>
      <c r="L1882">
        <v>10.36</v>
      </c>
      <c r="M1882">
        <v>29.32</v>
      </c>
      <c r="N1882">
        <v>0</v>
      </c>
      <c r="O1882">
        <v>3.03</v>
      </c>
      <c r="P1882" s="2" t="s">
        <v>42</v>
      </c>
      <c r="Q1882">
        <v>0</v>
      </c>
      <c r="R1882">
        <v>94.04</v>
      </c>
      <c r="S1882">
        <v>42.71</v>
      </c>
      <c r="T1882">
        <v>51.33</v>
      </c>
      <c r="U1882">
        <f t="shared" si="29"/>
        <v>1</v>
      </c>
    </row>
    <row r="1883" spans="1:21" x14ac:dyDescent="0.25">
      <c r="A1883" s="2" t="s">
        <v>2666</v>
      </c>
      <c r="B1883" s="2" t="s">
        <v>408</v>
      </c>
      <c r="C1883" s="1">
        <v>45763</v>
      </c>
      <c r="D1883" s="2" t="s">
        <v>38</v>
      </c>
      <c r="E1883" s="2" t="s">
        <v>71</v>
      </c>
      <c r="F1883" s="2" t="s">
        <v>40</v>
      </c>
      <c r="G1883">
        <v>2</v>
      </c>
      <c r="H1883" s="2" t="s">
        <v>64</v>
      </c>
      <c r="I1883">
        <v>86.49</v>
      </c>
      <c r="J1883">
        <v>15</v>
      </c>
      <c r="K1883">
        <v>12.97</v>
      </c>
      <c r="L1883">
        <v>18.920000000000002</v>
      </c>
      <c r="M1883">
        <v>48.03</v>
      </c>
      <c r="N1883">
        <v>0</v>
      </c>
      <c r="O1883">
        <v>2.4300000000000002</v>
      </c>
      <c r="P1883" s="2" t="s">
        <v>42</v>
      </c>
      <c r="Q1883">
        <v>0</v>
      </c>
      <c r="R1883">
        <v>73.52</v>
      </c>
      <c r="S1883">
        <v>69.38</v>
      </c>
      <c r="T1883">
        <v>4.1399999999999997</v>
      </c>
      <c r="U1883">
        <f t="shared" si="29"/>
        <v>0</v>
      </c>
    </row>
    <row r="1884" spans="1:21" x14ac:dyDescent="0.25">
      <c r="A1884" s="2" t="s">
        <v>2667</v>
      </c>
      <c r="B1884" s="2" t="s">
        <v>1184</v>
      </c>
      <c r="C1884" s="1">
        <v>45850</v>
      </c>
      <c r="D1884" s="2" t="s">
        <v>38</v>
      </c>
      <c r="E1884" s="2" t="s">
        <v>55</v>
      </c>
      <c r="F1884" s="2" t="s">
        <v>94</v>
      </c>
      <c r="G1884">
        <v>2</v>
      </c>
      <c r="H1884" s="2" t="s">
        <v>74</v>
      </c>
      <c r="I1884">
        <v>119.94</v>
      </c>
      <c r="J1884">
        <v>0</v>
      </c>
      <c r="K1884">
        <v>0</v>
      </c>
      <c r="L1884">
        <v>27.4</v>
      </c>
      <c r="M1884">
        <v>41.49</v>
      </c>
      <c r="N1884">
        <v>0</v>
      </c>
      <c r="O1884">
        <v>3.78</v>
      </c>
      <c r="P1884" s="2" t="s">
        <v>42</v>
      </c>
      <c r="Q1884">
        <v>0</v>
      </c>
      <c r="R1884">
        <v>119.94</v>
      </c>
      <c r="S1884">
        <v>72.67</v>
      </c>
      <c r="T1884">
        <v>47.27</v>
      </c>
      <c r="U1884">
        <f t="shared" si="29"/>
        <v>0</v>
      </c>
    </row>
    <row r="1885" spans="1:21" x14ac:dyDescent="0.25">
      <c r="A1885" s="2" t="s">
        <v>2668</v>
      </c>
      <c r="B1885" s="2" t="s">
        <v>2297</v>
      </c>
      <c r="C1885" s="1">
        <v>45822</v>
      </c>
      <c r="D1885" s="2" t="s">
        <v>38</v>
      </c>
      <c r="E1885" s="2" t="s">
        <v>55</v>
      </c>
      <c r="F1885" s="2" t="s">
        <v>47</v>
      </c>
      <c r="G1885">
        <v>1</v>
      </c>
      <c r="H1885" s="2" t="s">
        <v>74</v>
      </c>
      <c r="I1885">
        <v>48.99</v>
      </c>
      <c r="J1885">
        <v>10</v>
      </c>
      <c r="K1885">
        <v>4.9000000000000004</v>
      </c>
      <c r="L1885">
        <v>34.979999999999997</v>
      </c>
      <c r="M1885">
        <v>32.07</v>
      </c>
      <c r="N1885">
        <v>0</v>
      </c>
      <c r="O1885">
        <v>1.58</v>
      </c>
      <c r="P1885" s="2" t="s">
        <v>42</v>
      </c>
      <c r="Q1885">
        <v>0</v>
      </c>
      <c r="R1885">
        <v>44.09</v>
      </c>
      <c r="S1885">
        <v>68.63</v>
      </c>
      <c r="T1885">
        <v>-24.54</v>
      </c>
      <c r="U1885">
        <f t="shared" si="29"/>
        <v>0</v>
      </c>
    </row>
    <row r="1886" spans="1:21" x14ac:dyDescent="0.25">
      <c r="A1886" s="2" t="s">
        <v>2669</v>
      </c>
      <c r="B1886" s="2" t="s">
        <v>2670</v>
      </c>
      <c r="C1886" s="1">
        <v>45995</v>
      </c>
      <c r="D1886" s="2" t="s">
        <v>38</v>
      </c>
      <c r="E1886" s="2" t="s">
        <v>67</v>
      </c>
      <c r="F1886" s="2" t="s">
        <v>47</v>
      </c>
      <c r="G1886">
        <v>2</v>
      </c>
      <c r="H1886" s="2" t="s">
        <v>56</v>
      </c>
      <c r="I1886">
        <v>207.88</v>
      </c>
      <c r="J1886">
        <v>10</v>
      </c>
      <c r="K1886">
        <v>20.79</v>
      </c>
      <c r="L1886">
        <v>49.2</v>
      </c>
      <c r="M1886">
        <v>73.8</v>
      </c>
      <c r="N1886">
        <v>0</v>
      </c>
      <c r="O1886">
        <v>5.73</v>
      </c>
      <c r="P1886" s="2" t="s">
        <v>42</v>
      </c>
      <c r="Q1886">
        <v>0</v>
      </c>
      <c r="R1886">
        <v>187.09</v>
      </c>
      <c r="S1886">
        <v>128.72999999999999</v>
      </c>
      <c r="T1886">
        <v>58.36</v>
      </c>
      <c r="U1886">
        <f t="shared" si="29"/>
        <v>0</v>
      </c>
    </row>
    <row r="1887" spans="1:21" x14ac:dyDescent="0.25">
      <c r="A1887" s="2" t="s">
        <v>2671</v>
      </c>
      <c r="B1887" s="2" t="s">
        <v>612</v>
      </c>
      <c r="C1887" s="1">
        <v>45753</v>
      </c>
      <c r="D1887" s="2" t="s">
        <v>38</v>
      </c>
      <c r="E1887" s="2" t="s">
        <v>46</v>
      </c>
      <c r="F1887" s="2" t="s">
        <v>51</v>
      </c>
      <c r="G1887">
        <v>2</v>
      </c>
      <c r="H1887" s="2" t="s">
        <v>74</v>
      </c>
      <c r="I1887">
        <v>144.09</v>
      </c>
      <c r="J1887">
        <v>5</v>
      </c>
      <c r="K1887">
        <v>7.2</v>
      </c>
      <c r="L1887">
        <v>40.020000000000003</v>
      </c>
      <c r="M1887">
        <v>53.76</v>
      </c>
      <c r="N1887">
        <v>0</v>
      </c>
      <c r="O1887">
        <v>4.2699999999999996</v>
      </c>
      <c r="P1887" s="2" t="s">
        <v>42</v>
      </c>
      <c r="Q1887">
        <v>0</v>
      </c>
      <c r="R1887">
        <v>136.88999999999999</v>
      </c>
      <c r="S1887">
        <v>98.05</v>
      </c>
      <c r="T1887">
        <v>38.840000000000003</v>
      </c>
      <c r="U1887">
        <f t="shared" si="29"/>
        <v>0</v>
      </c>
    </row>
    <row r="1888" spans="1:21" x14ac:dyDescent="0.25">
      <c r="A1888" s="2" t="s">
        <v>2672</v>
      </c>
      <c r="B1888" s="2" t="s">
        <v>562</v>
      </c>
      <c r="C1888" s="1">
        <v>45780</v>
      </c>
      <c r="D1888" s="2" t="s">
        <v>80</v>
      </c>
      <c r="E1888" s="2" t="s">
        <v>55</v>
      </c>
      <c r="F1888" s="2" t="s">
        <v>40</v>
      </c>
      <c r="G1888">
        <v>2</v>
      </c>
      <c r="H1888" s="2" t="s">
        <v>77</v>
      </c>
      <c r="I1888">
        <v>126.6</v>
      </c>
      <c r="J1888">
        <v>15</v>
      </c>
      <c r="K1888">
        <v>18.989999999999998</v>
      </c>
      <c r="L1888">
        <v>55.12</v>
      </c>
      <c r="M1888">
        <v>54.06</v>
      </c>
      <c r="N1888">
        <v>8.61</v>
      </c>
      <c r="O1888">
        <v>3.42</v>
      </c>
      <c r="P1888" s="2" t="s">
        <v>42</v>
      </c>
      <c r="Q1888">
        <v>0</v>
      </c>
      <c r="R1888">
        <v>107.61</v>
      </c>
      <c r="S1888">
        <v>121.21</v>
      </c>
      <c r="T1888">
        <v>-13.6</v>
      </c>
      <c r="U1888">
        <f t="shared" si="29"/>
        <v>0</v>
      </c>
    </row>
    <row r="1889" spans="1:21" x14ac:dyDescent="0.25">
      <c r="A1889" s="2" t="s">
        <v>2673</v>
      </c>
      <c r="B1889" s="2" t="s">
        <v>1517</v>
      </c>
      <c r="C1889" s="1">
        <v>45590</v>
      </c>
      <c r="D1889" s="2" t="s">
        <v>45</v>
      </c>
      <c r="E1889" s="2" t="s">
        <v>39</v>
      </c>
      <c r="F1889" s="2" t="s">
        <v>47</v>
      </c>
      <c r="G1889">
        <v>1</v>
      </c>
      <c r="H1889" s="2" t="s">
        <v>52</v>
      </c>
      <c r="I1889">
        <v>27.88</v>
      </c>
      <c r="J1889">
        <v>5</v>
      </c>
      <c r="K1889">
        <v>1.39</v>
      </c>
      <c r="L1889">
        <v>11.18</v>
      </c>
      <c r="M1889">
        <v>12.13</v>
      </c>
      <c r="N1889">
        <v>0</v>
      </c>
      <c r="O1889">
        <v>1.07</v>
      </c>
      <c r="P1889" s="2" t="s">
        <v>42</v>
      </c>
      <c r="Q1889">
        <v>0</v>
      </c>
      <c r="R1889">
        <v>26.49</v>
      </c>
      <c r="S1889">
        <v>24.38</v>
      </c>
      <c r="T1889">
        <v>2.11</v>
      </c>
      <c r="U1889">
        <f t="shared" si="29"/>
        <v>0</v>
      </c>
    </row>
    <row r="1890" spans="1:21" x14ac:dyDescent="0.25">
      <c r="A1890" s="2" t="s">
        <v>2674</v>
      </c>
      <c r="B1890" s="2" t="s">
        <v>585</v>
      </c>
      <c r="C1890" s="1">
        <v>45510</v>
      </c>
      <c r="D1890" s="2" t="s">
        <v>59</v>
      </c>
      <c r="E1890" s="2" t="s">
        <v>46</v>
      </c>
      <c r="F1890" s="2" t="s">
        <v>51</v>
      </c>
      <c r="G1890">
        <v>1</v>
      </c>
      <c r="H1890" s="2" t="s">
        <v>74</v>
      </c>
      <c r="I1890">
        <v>136.04</v>
      </c>
      <c r="J1890">
        <v>5</v>
      </c>
      <c r="K1890">
        <v>6.8</v>
      </c>
      <c r="L1890">
        <v>6.3</v>
      </c>
      <c r="M1890">
        <v>39.68</v>
      </c>
      <c r="N1890">
        <v>19.39</v>
      </c>
      <c r="O1890">
        <v>4.05</v>
      </c>
      <c r="P1890" s="2" t="s">
        <v>42</v>
      </c>
      <c r="Q1890">
        <v>0</v>
      </c>
      <c r="R1890">
        <v>129.24</v>
      </c>
      <c r="S1890">
        <v>69.42</v>
      </c>
      <c r="T1890">
        <v>59.82</v>
      </c>
      <c r="U1890">
        <f t="shared" si="29"/>
        <v>0</v>
      </c>
    </row>
    <row r="1891" spans="1:21" x14ac:dyDescent="0.25">
      <c r="A1891" s="2" t="s">
        <v>2675</v>
      </c>
      <c r="B1891" s="2" t="s">
        <v>481</v>
      </c>
      <c r="C1891" s="1">
        <v>45549</v>
      </c>
      <c r="D1891" s="2" t="s">
        <v>80</v>
      </c>
      <c r="E1891" s="2" t="s">
        <v>55</v>
      </c>
      <c r="F1891" s="2" t="s">
        <v>51</v>
      </c>
      <c r="G1891">
        <v>2</v>
      </c>
      <c r="H1891" s="2" t="s">
        <v>48</v>
      </c>
      <c r="I1891">
        <v>86.45</v>
      </c>
      <c r="J1891">
        <v>5</v>
      </c>
      <c r="K1891">
        <v>4.32</v>
      </c>
      <c r="L1891">
        <v>15</v>
      </c>
      <c r="M1891">
        <v>30.16</v>
      </c>
      <c r="N1891">
        <v>6.57</v>
      </c>
      <c r="O1891">
        <v>2.68</v>
      </c>
      <c r="P1891" s="2" t="s">
        <v>42</v>
      </c>
      <c r="Q1891">
        <v>0</v>
      </c>
      <c r="R1891">
        <v>82.13</v>
      </c>
      <c r="S1891">
        <v>54.41</v>
      </c>
      <c r="T1891">
        <v>27.72</v>
      </c>
      <c r="U1891">
        <f t="shared" si="29"/>
        <v>0</v>
      </c>
    </row>
    <row r="1892" spans="1:21" x14ac:dyDescent="0.25">
      <c r="A1892" s="2" t="s">
        <v>2676</v>
      </c>
      <c r="B1892" s="2" t="s">
        <v>1886</v>
      </c>
      <c r="C1892" s="1">
        <v>45800</v>
      </c>
      <c r="D1892" s="2" t="s">
        <v>80</v>
      </c>
      <c r="E1892" s="2" t="s">
        <v>46</v>
      </c>
      <c r="F1892" s="2" t="s">
        <v>94</v>
      </c>
      <c r="G1892">
        <v>1</v>
      </c>
      <c r="H1892" s="2" t="s">
        <v>111</v>
      </c>
      <c r="I1892">
        <v>134.18</v>
      </c>
      <c r="J1892">
        <v>20</v>
      </c>
      <c r="K1892">
        <v>26.84</v>
      </c>
      <c r="L1892">
        <v>21.08</v>
      </c>
      <c r="M1892">
        <v>53.92</v>
      </c>
      <c r="N1892">
        <v>8.59</v>
      </c>
      <c r="O1892">
        <v>3.41</v>
      </c>
      <c r="P1892" s="2" t="s">
        <v>42</v>
      </c>
      <c r="Q1892">
        <v>0</v>
      </c>
      <c r="R1892">
        <v>107.34</v>
      </c>
      <c r="S1892">
        <v>87</v>
      </c>
      <c r="T1892">
        <v>20.34</v>
      </c>
      <c r="U1892">
        <f t="shared" si="29"/>
        <v>0</v>
      </c>
    </row>
    <row r="1893" spans="1:21" x14ac:dyDescent="0.25">
      <c r="A1893" s="2" t="s">
        <v>2677</v>
      </c>
      <c r="B1893" s="2" t="s">
        <v>812</v>
      </c>
      <c r="C1893" s="1">
        <v>45563</v>
      </c>
      <c r="D1893" s="2" t="s">
        <v>45</v>
      </c>
      <c r="E1893" s="2" t="s">
        <v>46</v>
      </c>
      <c r="F1893" s="2" t="s">
        <v>85</v>
      </c>
      <c r="G1893">
        <v>3</v>
      </c>
      <c r="H1893" s="2" t="s">
        <v>74</v>
      </c>
      <c r="I1893">
        <v>105.91</v>
      </c>
      <c r="J1893">
        <v>10</v>
      </c>
      <c r="K1893">
        <v>10.59</v>
      </c>
      <c r="L1893">
        <v>44.24</v>
      </c>
      <c r="M1893">
        <v>61.82</v>
      </c>
      <c r="N1893">
        <v>0</v>
      </c>
      <c r="O1893">
        <v>3.06</v>
      </c>
      <c r="P1893" s="2" t="s">
        <v>42</v>
      </c>
      <c r="Q1893">
        <v>0</v>
      </c>
      <c r="R1893">
        <v>95.32</v>
      </c>
      <c r="S1893">
        <v>109.12</v>
      </c>
      <c r="T1893">
        <v>-13.8</v>
      </c>
      <c r="U1893">
        <f t="shared" si="29"/>
        <v>0</v>
      </c>
    </row>
    <row r="1894" spans="1:21" x14ac:dyDescent="0.25">
      <c r="A1894" s="2" t="s">
        <v>2678</v>
      </c>
      <c r="B1894" s="2" t="s">
        <v>297</v>
      </c>
      <c r="C1894" s="1">
        <v>45937</v>
      </c>
      <c r="D1894" s="2" t="s">
        <v>45</v>
      </c>
      <c r="E1894" s="2" t="s">
        <v>67</v>
      </c>
      <c r="F1894" s="2" t="s">
        <v>94</v>
      </c>
      <c r="G1894">
        <v>2</v>
      </c>
      <c r="H1894" s="2" t="s">
        <v>77</v>
      </c>
      <c r="I1894">
        <v>69.98</v>
      </c>
      <c r="J1894">
        <v>0</v>
      </c>
      <c r="K1894">
        <v>0</v>
      </c>
      <c r="L1894">
        <v>37.14</v>
      </c>
      <c r="M1894">
        <v>37.68</v>
      </c>
      <c r="N1894">
        <v>0</v>
      </c>
      <c r="O1894">
        <v>2.33</v>
      </c>
      <c r="P1894" s="2" t="s">
        <v>42</v>
      </c>
      <c r="Q1894">
        <v>0</v>
      </c>
      <c r="R1894">
        <v>69.98</v>
      </c>
      <c r="S1894">
        <v>77.150000000000006</v>
      </c>
      <c r="T1894">
        <v>-7.17</v>
      </c>
      <c r="U1894">
        <f t="shared" si="29"/>
        <v>0</v>
      </c>
    </row>
    <row r="1895" spans="1:21" x14ac:dyDescent="0.25">
      <c r="A1895" s="2" t="s">
        <v>2679</v>
      </c>
      <c r="B1895" s="2" t="s">
        <v>2680</v>
      </c>
      <c r="C1895" s="1">
        <v>45722</v>
      </c>
      <c r="D1895" s="2" t="s">
        <v>59</v>
      </c>
      <c r="E1895" s="2" t="s">
        <v>71</v>
      </c>
      <c r="F1895" s="2" t="s">
        <v>51</v>
      </c>
      <c r="G1895">
        <v>1</v>
      </c>
      <c r="H1895" s="2" t="s">
        <v>41</v>
      </c>
      <c r="I1895">
        <v>68.98</v>
      </c>
      <c r="J1895">
        <v>15</v>
      </c>
      <c r="K1895">
        <v>10.35</v>
      </c>
      <c r="L1895">
        <v>14.54</v>
      </c>
      <c r="M1895">
        <v>25.39</v>
      </c>
      <c r="N1895">
        <v>8.7899999999999991</v>
      </c>
      <c r="O1895">
        <v>2</v>
      </c>
      <c r="P1895" s="2" t="s">
        <v>42</v>
      </c>
      <c r="Q1895">
        <v>0</v>
      </c>
      <c r="R1895">
        <v>58.63</v>
      </c>
      <c r="S1895">
        <v>50.72</v>
      </c>
      <c r="T1895">
        <v>7.91</v>
      </c>
      <c r="U1895">
        <f t="shared" si="29"/>
        <v>0</v>
      </c>
    </row>
    <row r="1896" spans="1:21" x14ac:dyDescent="0.25">
      <c r="A1896" s="2" t="s">
        <v>2681</v>
      </c>
      <c r="B1896" s="2" t="s">
        <v>1096</v>
      </c>
      <c r="C1896" s="1">
        <v>45912</v>
      </c>
      <c r="D1896" s="2" t="s">
        <v>59</v>
      </c>
      <c r="E1896" s="2" t="s">
        <v>67</v>
      </c>
      <c r="F1896" s="2" t="s">
        <v>40</v>
      </c>
      <c r="G1896">
        <v>2</v>
      </c>
      <c r="H1896" s="2" t="s">
        <v>77</v>
      </c>
      <c r="I1896">
        <v>32.35</v>
      </c>
      <c r="J1896">
        <v>15</v>
      </c>
      <c r="K1896">
        <v>4.8499999999999996</v>
      </c>
      <c r="L1896">
        <v>39.299999999999997</v>
      </c>
      <c r="M1896">
        <v>12.84</v>
      </c>
      <c r="N1896">
        <v>4.12</v>
      </c>
      <c r="O1896">
        <v>1.1000000000000001</v>
      </c>
      <c r="P1896" s="2" t="s">
        <v>42</v>
      </c>
      <c r="Q1896">
        <v>0</v>
      </c>
      <c r="R1896">
        <v>27.5</v>
      </c>
      <c r="S1896">
        <v>57.36</v>
      </c>
      <c r="T1896">
        <v>-29.86</v>
      </c>
      <c r="U1896">
        <f t="shared" si="29"/>
        <v>0</v>
      </c>
    </row>
    <row r="1897" spans="1:21" x14ac:dyDescent="0.25">
      <c r="A1897" s="2" t="s">
        <v>2682</v>
      </c>
      <c r="B1897" s="2" t="s">
        <v>1458</v>
      </c>
      <c r="C1897" s="1">
        <v>45723</v>
      </c>
      <c r="D1897" s="2" t="s">
        <v>59</v>
      </c>
      <c r="E1897" s="2" t="s">
        <v>46</v>
      </c>
      <c r="F1897" s="2" t="s">
        <v>40</v>
      </c>
      <c r="G1897">
        <v>1</v>
      </c>
      <c r="H1897" s="2" t="s">
        <v>74</v>
      </c>
      <c r="I1897">
        <v>38.82</v>
      </c>
      <c r="J1897">
        <v>0</v>
      </c>
      <c r="K1897">
        <v>0</v>
      </c>
      <c r="L1897">
        <v>25.4</v>
      </c>
      <c r="M1897">
        <v>16.940000000000001</v>
      </c>
      <c r="N1897">
        <v>5.82</v>
      </c>
      <c r="O1897">
        <v>1.43</v>
      </c>
      <c r="P1897" s="2" t="s">
        <v>42</v>
      </c>
      <c r="Q1897">
        <v>0</v>
      </c>
      <c r="R1897">
        <v>38.82</v>
      </c>
      <c r="S1897">
        <v>49.59</v>
      </c>
      <c r="T1897">
        <v>-10.77</v>
      </c>
      <c r="U1897">
        <f t="shared" si="29"/>
        <v>0</v>
      </c>
    </row>
    <row r="1898" spans="1:21" x14ac:dyDescent="0.25">
      <c r="A1898" s="2" t="s">
        <v>2683</v>
      </c>
      <c r="B1898" s="2" t="s">
        <v>229</v>
      </c>
      <c r="C1898" s="1">
        <v>45610</v>
      </c>
      <c r="D1898" s="2" t="s">
        <v>38</v>
      </c>
      <c r="E1898" s="2" t="s">
        <v>67</v>
      </c>
      <c r="F1898" s="2" t="s">
        <v>47</v>
      </c>
      <c r="G1898">
        <v>3</v>
      </c>
      <c r="H1898" s="2" t="s">
        <v>111</v>
      </c>
      <c r="I1898">
        <v>170.2</v>
      </c>
      <c r="J1898">
        <v>10</v>
      </c>
      <c r="K1898">
        <v>17.02</v>
      </c>
      <c r="L1898">
        <v>24.1</v>
      </c>
      <c r="M1898">
        <v>63.26</v>
      </c>
      <c r="N1898">
        <v>0</v>
      </c>
      <c r="O1898">
        <v>4.74</v>
      </c>
      <c r="P1898" s="2" t="s">
        <v>42</v>
      </c>
      <c r="Q1898">
        <v>0</v>
      </c>
      <c r="R1898">
        <v>153.18</v>
      </c>
      <c r="S1898">
        <v>92.1</v>
      </c>
      <c r="T1898">
        <v>61.08</v>
      </c>
      <c r="U1898">
        <f t="shared" si="29"/>
        <v>0</v>
      </c>
    </row>
    <row r="1899" spans="1:21" x14ac:dyDescent="0.25">
      <c r="A1899" s="2" t="s">
        <v>2684</v>
      </c>
      <c r="B1899" s="2" t="s">
        <v>1632</v>
      </c>
      <c r="C1899" s="1">
        <v>45704</v>
      </c>
      <c r="D1899" s="2" t="s">
        <v>38</v>
      </c>
      <c r="E1899" s="2" t="s">
        <v>71</v>
      </c>
      <c r="F1899" s="2" t="s">
        <v>51</v>
      </c>
      <c r="G1899">
        <v>2</v>
      </c>
      <c r="H1899" s="2" t="s">
        <v>77</v>
      </c>
      <c r="I1899">
        <v>283.7</v>
      </c>
      <c r="J1899">
        <v>10</v>
      </c>
      <c r="K1899">
        <v>28.37</v>
      </c>
      <c r="L1899">
        <v>19.8</v>
      </c>
      <c r="M1899">
        <v>85.69</v>
      </c>
      <c r="N1899">
        <v>0</v>
      </c>
      <c r="O1899">
        <v>7.7</v>
      </c>
      <c r="P1899" s="2" t="s">
        <v>42</v>
      </c>
      <c r="Q1899">
        <v>0</v>
      </c>
      <c r="R1899">
        <v>255.33</v>
      </c>
      <c r="S1899">
        <v>113.19</v>
      </c>
      <c r="T1899">
        <v>142.13999999999999</v>
      </c>
      <c r="U1899">
        <f t="shared" si="29"/>
        <v>0</v>
      </c>
    </row>
    <row r="1900" spans="1:21" x14ac:dyDescent="0.25">
      <c r="A1900" s="2" t="s">
        <v>2685</v>
      </c>
      <c r="B1900" s="2" t="s">
        <v>1038</v>
      </c>
      <c r="C1900" s="1">
        <v>45641</v>
      </c>
      <c r="D1900" s="2" t="s">
        <v>59</v>
      </c>
      <c r="E1900" s="2" t="s">
        <v>71</v>
      </c>
      <c r="F1900" s="2" t="s">
        <v>47</v>
      </c>
      <c r="G1900">
        <v>2</v>
      </c>
      <c r="H1900" s="2" t="s">
        <v>41</v>
      </c>
      <c r="I1900">
        <v>155.03</v>
      </c>
      <c r="J1900">
        <v>20</v>
      </c>
      <c r="K1900">
        <v>31.01</v>
      </c>
      <c r="L1900">
        <v>18.440000000000001</v>
      </c>
      <c r="M1900">
        <v>59.68</v>
      </c>
      <c r="N1900">
        <v>18.600000000000001</v>
      </c>
      <c r="O1900">
        <v>3.9</v>
      </c>
      <c r="P1900" s="2" t="s">
        <v>42</v>
      </c>
      <c r="Q1900">
        <v>0</v>
      </c>
      <c r="R1900">
        <v>124.02</v>
      </c>
      <c r="S1900">
        <v>100.62</v>
      </c>
      <c r="T1900">
        <v>23.4</v>
      </c>
      <c r="U1900">
        <f t="shared" si="29"/>
        <v>0</v>
      </c>
    </row>
    <row r="1901" spans="1:21" x14ac:dyDescent="0.25">
      <c r="A1901" s="2" t="s">
        <v>2686</v>
      </c>
      <c r="B1901" s="2" t="s">
        <v>346</v>
      </c>
      <c r="C1901" s="1">
        <v>45799</v>
      </c>
      <c r="D1901" s="2" t="s">
        <v>38</v>
      </c>
      <c r="E1901" s="2" t="s">
        <v>46</v>
      </c>
      <c r="F1901" s="2" t="s">
        <v>47</v>
      </c>
      <c r="G1901">
        <v>1</v>
      </c>
      <c r="H1901" s="2" t="s">
        <v>77</v>
      </c>
      <c r="I1901">
        <v>36.54</v>
      </c>
      <c r="J1901">
        <v>20</v>
      </c>
      <c r="K1901">
        <v>7.31</v>
      </c>
      <c r="L1901">
        <v>18.52</v>
      </c>
      <c r="M1901">
        <v>22.9</v>
      </c>
      <c r="N1901">
        <v>0</v>
      </c>
      <c r="O1901">
        <v>1.1499999999999999</v>
      </c>
      <c r="P1901" s="2" t="s">
        <v>42</v>
      </c>
      <c r="Q1901">
        <v>0</v>
      </c>
      <c r="R1901">
        <v>29.23</v>
      </c>
      <c r="S1901">
        <v>42.57</v>
      </c>
      <c r="T1901">
        <v>-13.34</v>
      </c>
      <c r="U1901">
        <f t="shared" si="29"/>
        <v>0</v>
      </c>
    </row>
    <row r="1902" spans="1:21" x14ac:dyDescent="0.25">
      <c r="A1902" s="2" t="s">
        <v>2687</v>
      </c>
      <c r="B1902" s="2" t="s">
        <v>320</v>
      </c>
      <c r="C1902" s="1">
        <v>45619</v>
      </c>
      <c r="D1902" s="2" t="s">
        <v>80</v>
      </c>
      <c r="E1902" s="2" t="s">
        <v>46</v>
      </c>
      <c r="F1902" s="2" t="s">
        <v>40</v>
      </c>
      <c r="G1902">
        <v>2</v>
      </c>
      <c r="H1902" s="2" t="s">
        <v>77</v>
      </c>
      <c r="I1902">
        <v>235.04</v>
      </c>
      <c r="J1902">
        <v>20</v>
      </c>
      <c r="K1902">
        <v>47.01</v>
      </c>
      <c r="L1902">
        <v>59.74</v>
      </c>
      <c r="M1902">
        <v>82.07</v>
      </c>
      <c r="N1902">
        <v>15.04</v>
      </c>
      <c r="O1902">
        <v>5.75</v>
      </c>
      <c r="P1902" s="2" t="s">
        <v>42</v>
      </c>
      <c r="Q1902">
        <v>0</v>
      </c>
      <c r="R1902">
        <v>188.03</v>
      </c>
      <c r="S1902">
        <v>162.6</v>
      </c>
      <c r="T1902">
        <v>25.43</v>
      </c>
      <c r="U1902">
        <f t="shared" si="29"/>
        <v>0</v>
      </c>
    </row>
    <row r="1903" spans="1:21" x14ac:dyDescent="0.25">
      <c r="A1903" s="2" t="s">
        <v>2688</v>
      </c>
      <c r="B1903" s="2" t="s">
        <v>534</v>
      </c>
      <c r="C1903" s="1">
        <v>45547</v>
      </c>
      <c r="D1903" s="2" t="s">
        <v>59</v>
      </c>
      <c r="E1903" s="2" t="s">
        <v>46</v>
      </c>
      <c r="F1903" s="2" t="s">
        <v>94</v>
      </c>
      <c r="G1903">
        <v>1</v>
      </c>
      <c r="H1903" s="2" t="s">
        <v>56</v>
      </c>
      <c r="I1903">
        <v>192.7</v>
      </c>
      <c r="J1903">
        <v>25</v>
      </c>
      <c r="K1903">
        <v>48.17</v>
      </c>
      <c r="L1903">
        <v>7.64</v>
      </c>
      <c r="M1903">
        <v>77.22</v>
      </c>
      <c r="N1903">
        <v>21.68</v>
      </c>
      <c r="O1903">
        <v>4.49</v>
      </c>
      <c r="P1903" s="2" t="s">
        <v>42</v>
      </c>
      <c r="Q1903">
        <v>0</v>
      </c>
      <c r="R1903">
        <v>144.53</v>
      </c>
      <c r="S1903">
        <v>111.03</v>
      </c>
      <c r="T1903">
        <v>33.5</v>
      </c>
      <c r="U1903">
        <f t="shared" si="29"/>
        <v>0</v>
      </c>
    </row>
    <row r="1904" spans="1:21" x14ac:dyDescent="0.25">
      <c r="A1904" s="2" t="s">
        <v>2689</v>
      </c>
      <c r="B1904" s="2" t="s">
        <v>1721</v>
      </c>
      <c r="C1904" s="1">
        <v>45866</v>
      </c>
      <c r="D1904" s="2" t="s">
        <v>38</v>
      </c>
      <c r="E1904" s="2" t="s">
        <v>46</v>
      </c>
      <c r="F1904" s="2" t="s">
        <v>85</v>
      </c>
      <c r="G1904">
        <v>1</v>
      </c>
      <c r="H1904" s="2" t="s">
        <v>74</v>
      </c>
      <c r="I1904">
        <v>27.84</v>
      </c>
      <c r="J1904">
        <v>5</v>
      </c>
      <c r="K1904">
        <v>1.39</v>
      </c>
      <c r="L1904">
        <v>7.42</v>
      </c>
      <c r="M1904">
        <v>8.24</v>
      </c>
      <c r="N1904">
        <v>0</v>
      </c>
      <c r="O1904">
        <v>1.07</v>
      </c>
      <c r="P1904" s="2" t="s">
        <v>42</v>
      </c>
      <c r="Q1904">
        <v>0</v>
      </c>
      <c r="R1904">
        <v>26.45</v>
      </c>
      <c r="S1904">
        <v>16.73</v>
      </c>
      <c r="T1904">
        <v>9.7200000000000006</v>
      </c>
      <c r="U1904">
        <f t="shared" si="29"/>
        <v>0</v>
      </c>
    </row>
    <row r="1905" spans="1:21" x14ac:dyDescent="0.25">
      <c r="A1905" s="2" t="s">
        <v>2690</v>
      </c>
      <c r="B1905" s="2" t="s">
        <v>630</v>
      </c>
      <c r="C1905" s="1">
        <v>45899</v>
      </c>
      <c r="D1905" s="2" t="s">
        <v>45</v>
      </c>
      <c r="E1905" s="2" t="s">
        <v>71</v>
      </c>
      <c r="F1905" s="2" t="s">
        <v>47</v>
      </c>
      <c r="G1905">
        <v>2</v>
      </c>
      <c r="H1905" s="2" t="s">
        <v>111</v>
      </c>
      <c r="I1905">
        <v>36.299999999999997</v>
      </c>
      <c r="J1905">
        <v>15</v>
      </c>
      <c r="K1905">
        <v>5.45</v>
      </c>
      <c r="L1905">
        <v>16.36</v>
      </c>
      <c r="M1905">
        <v>17.690000000000001</v>
      </c>
      <c r="N1905">
        <v>0</v>
      </c>
      <c r="O1905">
        <v>1.19</v>
      </c>
      <c r="P1905" s="2" t="s">
        <v>42</v>
      </c>
      <c r="Q1905">
        <v>0</v>
      </c>
      <c r="R1905">
        <v>30.85</v>
      </c>
      <c r="S1905">
        <v>35.24</v>
      </c>
      <c r="T1905">
        <v>-4.3899999999999997</v>
      </c>
      <c r="U1905">
        <f t="shared" si="29"/>
        <v>0</v>
      </c>
    </row>
    <row r="1906" spans="1:21" x14ac:dyDescent="0.25">
      <c r="A1906" s="2" t="s">
        <v>2691</v>
      </c>
      <c r="B1906" s="2" t="s">
        <v>2228</v>
      </c>
      <c r="C1906" s="1">
        <v>45598</v>
      </c>
      <c r="D1906" s="2" t="s">
        <v>38</v>
      </c>
      <c r="E1906" s="2" t="s">
        <v>67</v>
      </c>
      <c r="F1906" s="2" t="s">
        <v>85</v>
      </c>
      <c r="G1906">
        <v>2</v>
      </c>
      <c r="H1906" s="2" t="s">
        <v>56</v>
      </c>
      <c r="I1906">
        <v>65.67</v>
      </c>
      <c r="J1906">
        <v>15</v>
      </c>
      <c r="K1906">
        <v>9.85</v>
      </c>
      <c r="L1906">
        <v>21.24</v>
      </c>
      <c r="M1906">
        <v>43.84</v>
      </c>
      <c r="N1906">
        <v>0</v>
      </c>
      <c r="O1906">
        <v>1.92</v>
      </c>
      <c r="P1906" s="2" t="s">
        <v>42</v>
      </c>
      <c r="Q1906">
        <v>0</v>
      </c>
      <c r="R1906">
        <v>55.82</v>
      </c>
      <c r="S1906">
        <v>67</v>
      </c>
      <c r="T1906">
        <v>-11.18</v>
      </c>
      <c r="U1906">
        <f t="shared" si="29"/>
        <v>0</v>
      </c>
    </row>
    <row r="1907" spans="1:21" x14ac:dyDescent="0.25">
      <c r="A1907" s="2" t="s">
        <v>2692</v>
      </c>
      <c r="B1907" s="2" t="s">
        <v>1640</v>
      </c>
      <c r="C1907" s="1">
        <v>45911</v>
      </c>
      <c r="D1907" s="2" t="s">
        <v>45</v>
      </c>
      <c r="E1907" s="2" t="s">
        <v>46</v>
      </c>
      <c r="F1907" s="2" t="s">
        <v>40</v>
      </c>
      <c r="G1907">
        <v>1</v>
      </c>
      <c r="H1907" s="2" t="s">
        <v>52</v>
      </c>
      <c r="I1907">
        <v>52.54</v>
      </c>
      <c r="J1907">
        <v>10</v>
      </c>
      <c r="K1907">
        <v>5.25</v>
      </c>
      <c r="L1907">
        <v>5.82</v>
      </c>
      <c r="M1907">
        <v>30.58</v>
      </c>
      <c r="N1907">
        <v>0</v>
      </c>
      <c r="O1907">
        <v>1.67</v>
      </c>
      <c r="P1907" s="2" t="s">
        <v>42</v>
      </c>
      <c r="Q1907">
        <v>0</v>
      </c>
      <c r="R1907">
        <v>47.29</v>
      </c>
      <c r="S1907">
        <v>38.07</v>
      </c>
      <c r="T1907">
        <v>9.2200000000000006</v>
      </c>
      <c r="U1907">
        <f t="shared" si="29"/>
        <v>0</v>
      </c>
    </row>
    <row r="1908" spans="1:21" x14ac:dyDescent="0.25">
      <c r="A1908" s="2" t="s">
        <v>2693</v>
      </c>
      <c r="B1908" s="2" t="s">
        <v>1546</v>
      </c>
      <c r="C1908" s="1">
        <v>45582</v>
      </c>
      <c r="D1908" s="2" t="s">
        <v>38</v>
      </c>
      <c r="E1908" s="2" t="s">
        <v>46</v>
      </c>
      <c r="F1908" s="2" t="s">
        <v>40</v>
      </c>
      <c r="G1908">
        <v>1</v>
      </c>
      <c r="H1908" s="2" t="s">
        <v>64</v>
      </c>
      <c r="I1908">
        <v>20.57</v>
      </c>
      <c r="J1908">
        <v>15</v>
      </c>
      <c r="K1908">
        <v>3.09</v>
      </c>
      <c r="L1908">
        <v>7.02</v>
      </c>
      <c r="M1908">
        <v>7.36</v>
      </c>
      <c r="N1908">
        <v>0</v>
      </c>
      <c r="O1908">
        <v>0.81</v>
      </c>
      <c r="P1908" s="2" t="s">
        <v>42</v>
      </c>
      <c r="Q1908">
        <v>0</v>
      </c>
      <c r="R1908">
        <v>17.48</v>
      </c>
      <c r="S1908">
        <v>15.19</v>
      </c>
      <c r="T1908">
        <v>2.29</v>
      </c>
      <c r="U1908">
        <f t="shared" si="29"/>
        <v>0</v>
      </c>
    </row>
    <row r="1909" spans="1:21" x14ac:dyDescent="0.25">
      <c r="A1909" s="2" t="s">
        <v>2694</v>
      </c>
      <c r="B1909" s="2" t="s">
        <v>2695</v>
      </c>
      <c r="C1909" s="1">
        <v>45750</v>
      </c>
      <c r="D1909" s="2" t="s">
        <v>45</v>
      </c>
      <c r="E1909" s="2" t="s">
        <v>39</v>
      </c>
      <c r="F1909" s="2" t="s">
        <v>51</v>
      </c>
      <c r="G1909">
        <v>1</v>
      </c>
      <c r="H1909" s="2" t="s">
        <v>64</v>
      </c>
      <c r="I1909">
        <v>62.7</v>
      </c>
      <c r="J1909">
        <v>0</v>
      </c>
      <c r="K1909">
        <v>0</v>
      </c>
      <c r="L1909">
        <v>7.5</v>
      </c>
      <c r="M1909">
        <v>20.79</v>
      </c>
      <c r="N1909">
        <v>0</v>
      </c>
      <c r="O1909">
        <v>2.12</v>
      </c>
      <c r="P1909" s="2" t="s">
        <v>42</v>
      </c>
      <c r="Q1909">
        <v>0</v>
      </c>
      <c r="R1909">
        <v>62.7</v>
      </c>
      <c r="S1909">
        <v>30.41</v>
      </c>
      <c r="T1909">
        <v>32.29</v>
      </c>
      <c r="U1909">
        <f t="shared" si="29"/>
        <v>0</v>
      </c>
    </row>
    <row r="1910" spans="1:21" x14ac:dyDescent="0.25">
      <c r="A1910" s="2" t="s">
        <v>2696</v>
      </c>
      <c r="B1910" s="2" t="s">
        <v>1055</v>
      </c>
      <c r="C1910" s="1">
        <v>45803</v>
      </c>
      <c r="D1910" s="2" t="s">
        <v>38</v>
      </c>
      <c r="E1910" s="2" t="s">
        <v>46</v>
      </c>
      <c r="F1910" s="2" t="s">
        <v>51</v>
      </c>
      <c r="G1910">
        <v>1</v>
      </c>
      <c r="H1910" s="2" t="s">
        <v>77</v>
      </c>
      <c r="I1910">
        <v>30.61</v>
      </c>
      <c r="J1910">
        <v>0</v>
      </c>
      <c r="K1910">
        <v>0</v>
      </c>
      <c r="L1910">
        <v>9.9</v>
      </c>
      <c r="M1910">
        <v>9.18</v>
      </c>
      <c r="N1910">
        <v>0</v>
      </c>
      <c r="O1910">
        <v>1.19</v>
      </c>
      <c r="P1910" s="2" t="s">
        <v>42</v>
      </c>
      <c r="Q1910">
        <v>0</v>
      </c>
      <c r="R1910">
        <v>30.61</v>
      </c>
      <c r="S1910">
        <v>20.27</v>
      </c>
      <c r="T1910">
        <v>10.34</v>
      </c>
      <c r="U1910">
        <f t="shared" si="29"/>
        <v>0</v>
      </c>
    </row>
    <row r="1911" spans="1:21" x14ac:dyDescent="0.25">
      <c r="A1911" s="2" t="s">
        <v>2697</v>
      </c>
      <c r="B1911" s="2" t="s">
        <v>481</v>
      </c>
      <c r="C1911" s="1">
        <v>45681</v>
      </c>
      <c r="D1911" s="2" t="s">
        <v>59</v>
      </c>
      <c r="E1911" s="2" t="s">
        <v>55</v>
      </c>
      <c r="F1911" s="2" t="s">
        <v>40</v>
      </c>
      <c r="G1911">
        <v>1</v>
      </c>
      <c r="H1911" s="2" t="s">
        <v>74</v>
      </c>
      <c r="I1911">
        <v>220.72</v>
      </c>
      <c r="J1911">
        <v>15</v>
      </c>
      <c r="K1911">
        <v>33.11</v>
      </c>
      <c r="L1911">
        <v>10.199999999999999</v>
      </c>
      <c r="M1911">
        <v>75.7</v>
      </c>
      <c r="N1911">
        <v>28.14</v>
      </c>
      <c r="O1911">
        <v>5.74</v>
      </c>
      <c r="P1911" s="2" t="s">
        <v>42</v>
      </c>
      <c r="Q1911">
        <v>0</v>
      </c>
      <c r="R1911">
        <v>187.61</v>
      </c>
      <c r="S1911">
        <v>119.78</v>
      </c>
      <c r="T1911">
        <v>67.83</v>
      </c>
      <c r="U1911">
        <f t="shared" si="29"/>
        <v>0</v>
      </c>
    </row>
    <row r="1912" spans="1:21" x14ac:dyDescent="0.25">
      <c r="A1912" s="2" t="s">
        <v>2698</v>
      </c>
      <c r="B1912" s="2" t="s">
        <v>2699</v>
      </c>
      <c r="C1912" s="1">
        <v>45634</v>
      </c>
      <c r="D1912" s="2" t="s">
        <v>45</v>
      </c>
      <c r="E1912" s="2" t="s">
        <v>71</v>
      </c>
      <c r="F1912" s="2" t="s">
        <v>51</v>
      </c>
      <c r="G1912">
        <v>2</v>
      </c>
      <c r="H1912" s="2" t="s">
        <v>77</v>
      </c>
      <c r="I1912">
        <v>79.040000000000006</v>
      </c>
      <c r="J1912">
        <v>10</v>
      </c>
      <c r="K1912">
        <v>7.9</v>
      </c>
      <c r="L1912">
        <v>57.68</v>
      </c>
      <c r="M1912">
        <v>43.34</v>
      </c>
      <c r="N1912">
        <v>0</v>
      </c>
      <c r="O1912">
        <v>2.36</v>
      </c>
      <c r="P1912" s="2" t="s">
        <v>42</v>
      </c>
      <c r="Q1912">
        <v>0</v>
      </c>
      <c r="R1912">
        <v>71.14</v>
      </c>
      <c r="S1912">
        <v>103.38</v>
      </c>
      <c r="T1912">
        <v>-32.24</v>
      </c>
      <c r="U1912">
        <f t="shared" si="29"/>
        <v>0</v>
      </c>
    </row>
    <row r="1913" spans="1:21" x14ac:dyDescent="0.25">
      <c r="A1913" s="2" t="s">
        <v>2700</v>
      </c>
      <c r="B1913" s="2" t="s">
        <v>299</v>
      </c>
      <c r="C1913" s="1">
        <v>45656</v>
      </c>
      <c r="D1913" s="2" t="s">
        <v>59</v>
      </c>
      <c r="E1913" s="2" t="s">
        <v>46</v>
      </c>
      <c r="F1913" s="2" t="s">
        <v>40</v>
      </c>
      <c r="G1913">
        <v>1</v>
      </c>
      <c r="H1913" s="2" t="s">
        <v>41</v>
      </c>
      <c r="I1913">
        <v>29.99</v>
      </c>
      <c r="J1913">
        <v>15</v>
      </c>
      <c r="K1913">
        <v>4.5</v>
      </c>
      <c r="L1913">
        <v>9.26</v>
      </c>
      <c r="M1913">
        <v>13.51</v>
      </c>
      <c r="N1913">
        <v>3.82</v>
      </c>
      <c r="O1913">
        <v>1.04</v>
      </c>
      <c r="P1913" s="2" t="s">
        <v>42</v>
      </c>
      <c r="Q1913">
        <v>0</v>
      </c>
      <c r="R1913">
        <v>25.49</v>
      </c>
      <c r="S1913">
        <v>27.63</v>
      </c>
      <c r="T1913">
        <v>-2.14</v>
      </c>
      <c r="U1913">
        <f t="shared" si="29"/>
        <v>0</v>
      </c>
    </row>
    <row r="1914" spans="1:21" x14ac:dyDescent="0.25">
      <c r="A1914" s="2" t="s">
        <v>2701</v>
      </c>
      <c r="B1914" s="2" t="s">
        <v>1886</v>
      </c>
      <c r="C1914" s="1">
        <v>45710</v>
      </c>
      <c r="D1914" s="2" t="s">
        <v>45</v>
      </c>
      <c r="E1914" s="2" t="s">
        <v>71</v>
      </c>
      <c r="F1914" s="2" t="s">
        <v>94</v>
      </c>
      <c r="G1914">
        <v>1</v>
      </c>
      <c r="H1914" s="2" t="s">
        <v>48</v>
      </c>
      <c r="I1914">
        <v>29.59</v>
      </c>
      <c r="J1914">
        <v>0</v>
      </c>
      <c r="K1914">
        <v>0</v>
      </c>
      <c r="L1914">
        <v>11.66</v>
      </c>
      <c r="M1914">
        <v>10.28</v>
      </c>
      <c r="N1914">
        <v>0</v>
      </c>
      <c r="O1914">
        <v>1.1599999999999999</v>
      </c>
      <c r="P1914" s="2" t="s">
        <v>42</v>
      </c>
      <c r="Q1914">
        <v>0</v>
      </c>
      <c r="R1914">
        <v>29.59</v>
      </c>
      <c r="S1914">
        <v>23.1</v>
      </c>
      <c r="T1914">
        <v>6.49</v>
      </c>
      <c r="U1914">
        <f t="shared" si="29"/>
        <v>0</v>
      </c>
    </row>
    <row r="1915" spans="1:21" x14ac:dyDescent="0.25">
      <c r="A1915" s="2" t="s">
        <v>2702</v>
      </c>
      <c r="B1915" s="2" t="s">
        <v>1718</v>
      </c>
      <c r="C1915" s="1">
        <v>45899</v>
      </c>
      <c r="D1915" s="2" t="s">
        <v>59</v>
      </c>
      <c r="E1915" s="2" t="s">
        <v>46</v>
      </c>
      <c r="F1915" s="2" t="s">
        <v>85</v>
      </c>
      <c r="G1915">
        <v>1</v>
      </c>
      <c r="H1915" s="2" t="s">
        <v>111</v>
      </c>
      <c r="I1915">
        <v>104.73</v>
      </c>
      <c r="J1915">
        <v>20</v>
      </c>
      <c r="K1915">
        <v>20.95</v>
      </c>
      <c r="L1915">
        <v>14.94</v>
      </c>
      <c r="M1915">
        <v>34.15</v>
      </c>
      <c r="N1915">
        <v>12.57</v>
      </c>
      <c r="O1915">
        <v>2.73</v>
      </c>
      <c r="P1915" s="2" t="s">
        <v>42</v>
      </c>
      <c r="Q1915">
        <v>0</v>
      </c>
      <c r="R1915">
        <v>83.78</v>
      </c>
      <c r="S1915">
        <v>64.39</v>
      </c>
      <c r="T1915">
        <v>19.39</v>
      </c>
      <c r="U1915">
        <f t="shared" si="29"/>
        <v>0</v>
      </c>
    </row>
    <row r="1916" spans="1:21" x14ac:dyDescent="0.25">
      <c r="A1916" s="2" t="s">
        <v>2703</v>
      </c>
      <c r="B1916" s="2" t="s">
        <v>729</v>
      </c>
      <c r="C1916" s="1">
        <v>45603</v>
      </c>
      <c r="D1916" s="2" t="s">
        <v>45</v>
      </c>
      <c r="E1916" s="2" t="s">
        <v>46</v>
      </c>
      <c r="F1916" s="2" t="s">
        <v>47</v>
      </c>
      <c r="G1916">
        <v>2</v>
      </c>
      <c r="H1916" s="2" t="s">
        <v>52</v>
      </c>
      <c r="I1916">
        <v>102.06</v>
      </c>
      <c r="J1916">
        <v>15</v>
      </c>
      <c r="K1916">
        <v>15.31</v>
      </c>
      <c r="L1916">
        <v>20.440000000000001</v>
      </c>
      <c r="M1916">
        <v>52.43</v>
      </c>
      <c r="N1916">
        <v>0</v>
      </c>
      <c r="O1916">
        <v>2.82</v>
      </c>
      <c r="P1916" s="2" t="s">
        <v>42</v>
      </c>
      <c r="Q1916">
        <v>0</v>
      </c>
      <c r="R1916">
        <v>86.75</v>
      </c>
      <c r="S1916">
        <v>75.69</v>
      </c>
      <c r="T1916">
        <v>11.06</v>
      </c>
      <c r="U1916">
        <f t="shared" si="29"/>
        <v>0</v>
      </c>
    </row>
    <row r="1917" spans="1:21" x14ac:dyDescent="0.25">
      <c r="A1917" s="2" t="s">
        <v>2704</v>
      </c>
      <c r="B1917" s="2" t="s">
        <v>2705</v>
      </c>
      <c r="C1917" s="1">
        <v>45787</v>
      </c>
      <c r="D1917" s="2" t="s">
        <v>38</v>
      </c>
      <c r="E1917" s="2" t="s">
        <v>71</v>
      </c>
      <c r="F1917" s="2" t="s">
        <v>47</v>
      </c>
      <c r="G1917">
        <v>1</v>
      </c>
      <c r="H1917" s="2" t="s">
        <v>41</v>
      </c>
      <c r="I1917">
        <v>192.38</v>
      </c>
      <c r="J1917">
        <v>5</v>
      </c>
      <c r="K1917">
        <v>9.6199999999999992</v>
      </c>
      <c r="L1917">
        <v>10.06</v>
      </c>
      <c r="M1917">
        <v>72.59</v>
      </c>
      <c r="N1917">
        <v>0</v>
      </c>
      <c r="O1917">
        <v>5.6</v>
      </c>
      <c r="P1917" s="2" t="s">
        <v>42</v>
      </c>
      <c r="Q1917">
        <v>0</v>
      </c>
      <c r="R1917">
        <v>182.76</v>
      </c>
      <c r="S1917">
        <v>88.25</v>
      </c>
      <c r="T1917">
        <v>94.51</v>
      </c>
      <c r="U1917">
        <f t="shared" si="29"/>
        <v>0</v>
      </c>
    </row>
    <row r="1918" spans="1:21" x14ac:dyDescent="0.25">
      <c r="A1918" s="2" t="s">
        <v>2706</v>
      </c>
      <c r="B1918" s="2" t="s">
        <v>1508</v>
      </c>
      <c r="C1918" s="1">
        <v>45869</v>
      </c>
      <c r="D1918" s="2" t="s">
        <v>38</v>
      </c>
      <c r="E1918" s="2" t="s">
        <v>67</v>
      </c>
      <c r="F1918" s="2" t="s">
        <v>94</v>
      </c>
      <c r="G1918">
        <v>1</v>
      </c>
      <c r="H1918" s="2" t="s">
        <v>77</v>
      </c>
      <c r="I1918">
        <v>38.619999999999997</v>
      </c>
      <c r="J1918">
        <v>0</v>
      </c>
      <c r="K1918">
        <v>0</v>
      </c>
      <c r="L1918">
        <v>11.8</v>
      </c>
      <c r="M1918">
        <v>12.46</v>
      </c>
      <c r="N1918">
        <v>0</v>
      </c>
      <c r="O1918">
        <v>1.42</v>
      </c>
      <c r="P1918" s="2" t="s">
        <v>42</v>
      </c>
      <c r="Q1918">
        <v>0</v>
      </c>
      <c r="R1918">
        <v>38.619999999999997</v>
      </c>
      <c r="S1918">
        <v>25.68</v>
      </c>
      <c r="T1918">
        <v>12.94</v>
      </c>
      <c r="U1918">
        <f t="shared" si="29"/>
        <v>0</v>
      </c>
    </row>
    <row r="1919" spans="1:21" x14ac:dyDescent="0.25">
      <c r="A1919" s="2" t="s">
        <v>2707</v>
      </c>
      <c r="B1919" s="2" t="s">
        <v>342</v>
      </c>
      <c r="C1919" s="1">
        <v>45594</v>
      </c>
      <c r="D1919" s="2" t="s">
        <v>38</v>
      </c>
      <c r="E1919" s="2" t="s">
        <v>46</v>
      </c>
      <c r="F1919" s="2" t="s">
        <v>40</v>
      </c>
      <c r="G1919">
        <v>1</v>
      </c>
      <c r="H1919" s="2" t="s">
        <v>56</v>
      </c>
      <c r="I1919">
        <v>45.69</v>
      </c>
      <c r="J1919">
        <v>5</v>
      </c>
      <c r="K1919">
        <v>2.2799999999999998</v>
      </c>
      <c r="L1919">
        <v>11.58</v>
      </c>
      <c r="M1919">
        <v>28.21</v>
      </c>
      <c r="N1919">
        <v>0</v>
      </c>
      <c r="O1919">
        <v>1.56</v>
      </c>
      <c r="P1919" s="2" t="s">
        <v>68</v>
      </c>
      <c r="Q1919">
        <v>43.41</v>
      </c>
      <c r="R1919">
        <v>0</v>
      </c>
      <c r="S1919">
        <v>41.35</v>
      </c>
      <c r="T1919">
        <v>-41.35</v>
      </c>
      <c r="U1919">
        <f t="shared" si="29"/>
        <v>0</v>
      </c>
    </row>
    <row r="1920" spans="1:21" x14ac:dyDescent="0.25">
      <c r="A1920" s="2" t="s">
        <v>2708</v>
      </c>
      <c r="B1920" s="2" t="s">
        <v>174</v>
      </c>
      <c r="C1920" s="1">
        <v>45945</v>
      </c>
      <c r="D1920" s="2" t="s">
        <v>45</v>
      </c>
      <c r="E1920" s="2" t="s">
        <v>39</v>
      </c>
      <c r="F1920" s="2" t="s">
        <v>47</v>
      </c>
      <c r="G1920">
        <v>1</v>
      </c>
      <c r="H1920" s="2" t="s">
        <v>64</v>
      </c>
      <c r="I1920">
        <v>89.1</v>
      </c>
      <c r="J1920">
        <v>20</v>
      </c>
      <c r="K1920">
        <v>17.82</v>
      </c>
      <c r="L1920">
        <v>6.78</v>
      </c>
      <c r="M1920">
        <v>32.549999999999997</v>
      </c>
      <c r="N1920">
        <v>0</v>
      </c>
      <c r="O1920">
        <v>2.37</v>
      </c>
      <c r="P1920" s="2" t="s">
        <v>42</v>
      </c>
      <c r="Q1920">
        <v>0</v>
      </c>
      <c r="R1920">
        <v>71.28</v>
      </c>
      <c r="S1920">
        <v>41.7</v>
      </c>
      <c r="T1920">
        <v>29.58</v>
      </c>
      <c r="U1920">
        <f t="shared" si="29"/>
        <v>0</v>
      </c>
    </row>
    <row r="1921" spans="1:21" x14ac:dyDescent="0.25">
      <c r="A1921" s="2" t="s">
        <v>2709</v>
      </c>
      <c r="B1921" s="2" t="s">
        <v>382</v>
      </c>
      <c r="C1921" s="1">
        <v>45872</v>
      </c>
      <c r="D1921" s="2" t="s">
        <v>80</v>
      </c>
      <c r="E1921" s="2" t="s">
        <v>55</v>
      </c>
      <c r="F1921" s="2" t="s">
        <v>94</v>
      </c>
      <c r="G1921">
        <v>1</v>
      </c>
      <c r="H1921" s="2" t="s">
        <v>52</v>
      </c>
      <c r="I1921">
        <v>11.84</v>
      </c>
      <c r="J1921">
        <v>0</v>
      </c>
      <c r="K1921">
        <v>0</v>
      </c>
      <c r="L1921">
        <v>11.5</v>
      </c>
      <c r="M1921">
        <v>5.71</v>
      </c>
      <c r="N1921">
        <v>0.95</v>
      </c>
      <c r="O1921">
        <v>0.64</v>
      </c>
      <c r="P1921" s="2" t="s">
        <v>42</v>
      </c>
      <c r="Q1921">
        <v>0</v>
      </c>
      <c r="R1921">
        <v>11.84</v>
      </c>
      <c r="S1921">
        <v>18.8</v>
      </c>
      <c r="T1921">
        <v>-6.96</v>
      </c>
      <c r="U1921">
        <f t="shared" si="29"/>
        <v>1</v>
      </c>
    </row>
    <row r="1922" spans="1:21" x14ac:dyDescent="0.25">
      <c r="A1922" s="2" t="s">
        <v>2710</v>
      </c>
      <c r="B1922" s="2" t="s">
        <v>2250</v>
      </c>
      <c r="C1922" s="1">
        <v>45622</v>
      </c>
      <c r="D1922" s="2" t="s">
        <v>45</v>
      </c>
      <c r="E1922" s="2" t="s">
        <v>67</v>
      </c>
      <c r="F1922" s="2" t="s">
        <v>51</v>
      </c>
      <c r="G1922">
        <v>2</v>
      </c>
      <c r="H1922" s="2" t="s">
        <v>64</v>
      </c>
      <c r="I1922">
        <v>175.78</v>
      </c>
      <c r="J1922">
        <v>5</v>
      </c>
      <c r="K1922">
        <v>8.7899999999999991</v>
      </c>
      <c r="L1922">
        <v>29.62</v>
      </c>
      <c r="M1922">
        <v>63.15</v>
      </c>
      <c r="N1922">
        <v>0</v>
      </c>
      <c r="O1922">
        <v>5.14</v>
      </c>
      <c r="P1922" s="2" t="s">
        <v>42</v>
      </c>
      <c r="Q1922">
        <v>0</v>
      </c>
      <c r="R1922">
        <v>166.99</v>
      </c>
      <c r="S1922">
        <v>97.91</v>
      </c>
      <c r="T1922">
        <v>69.08</v>
      </c>
      <c r="U1922">
        <f t="shared" si="29"/>
        <v>0</v>
      </c>
    </row>
    <row r="1923" spans="1:21" x14ac:dyDescent="0.25">
      <c r="A1923" s="2" t="s">
        <v>2711</v>
      </c>
      <c r="B1923" s="2" t="s">
        <v>1106</v>
      </c>
      <c r="C1923" s="1">
        <v>45483</v>
      </c>
      <c r="D1923" s="2" t="s">
        <v>38</v>
      </c>
      <c r="E1923" s="2" t="s">
        <v>71</v>
      </c>
      <c r="F1923" s="2" t="s">
        <v>85</v>
      </c>
      <c r="G1923">
        <v>2</v>
      </c>
      <c r="H1923" s="2" t="s">
        <v>56</v>
      </c>
      <c r="I1923">
        <v>143.94999999999999</v>
      </c>
      <c r="J1923">
        <v>15</v>
      </c>
      <c r="K1923">
        <v>21.59</v>
      </c>
      <c r="L1923">
        <v>32.26</v>
      </c>
      <c r="M1923">
        <v>75.81</v>
      </c>
      <c r="N1923">
        <v>0</v>
      </c>
      <c r="O1923">
        <v>3.85</v>
      </c>
      <c r="P1923" s="2" t="s">
        <v>42</v>
      </c>
      <c r="Q1923">
        <v>0</v>
      </c>
      <c r="R1923">
        <v>122.36</v>
      </c>
      <c r="S1923">
        <v>111.92</v>
      </c>
      <c r="T1923">
        <v>10.44</v>
      </c>
      <c r="U1923">
        <f t="shared" si="29"/>
        <v>0</v>
      </c>
    </row>
    <row r="1924" spans="1:21" x14ac:dyDescent="0.25">
      <c r="A1924" s="2" t="s">
        <v>2712</v>
      </c>
      <c r="B1924" s="2" t="s">
        <v>50</v>
      </c>
      <c r="C1924" s="1">
        <v>45781</v>
      </c>
      <c r="D1924" s="2" t="s">
        <v>38</v>
      </c>
      <c r="E1924" s="2" t="s">
        <v>71</v>
      </c>
      <c r="F1924" s="2" t="s">
        <v>85</v>
      </c>
      <c r="G1924">
        <v>4</v>
      </c>
      <c r="H1924" s="2" t="s">
        <v>48</v>
      </c>
      <c r="I1924">
        <v>138.13999999999999</v>
      </c>
      <c r="J1924">
        <v>0</v>
      </c>
      <c r="K1924">
        <v>0</v>
      </c>
      <c r="L1924">
        <v>57.56</v>
      </c>
      <c r="M1924">
        <v>55.06</v>
      </c>
      <c r="N1924">
        <v>0</v>
      </c>
      <c r="O1924">
        <v>4.3099999999999996</v>
      </c>
      <c r="P1924" s="2" t="s">
        <v>42</v>
      </c>
      <c r="Q1924">
        <v>0</v>
      </c>
      <c r="R1924">
        <v>138.13999999999999</v>
      </c>
      <c r="S1924">
        <v>116.93</v>
      </c>
      <c r="T1924">
        <v>21.21</v>
      </c>
      <c r="U1924">
        <f t="shared" si="29"/>
        <v>0</v>
      </c>
    </row>
    <row r="1925" spans="1:21" x14ac:dyDescent="0.25">
      <c r="A1925" s="2" t="s">
        <v>2713</v>
      </c>
      <c r="B1925" s="2" t="s">
        <v>1443</v>
      </c>
      <c r="C1925" s="1">
        <v>45743</v>
      </c>
      <c r="D1925" s="2" t="s">
        <v>80</v>
      </c>
      <c r="E1925" s="2" t="s">
        <v>46</v>
      </c>
      <c r="F1925" s="2" t="s">
        <v>85</v>
      </c>
      <c r="G1925">
        <v>1</v>
      </c>
      <c r="H1925" s="2" t="s">
        <v>52</v>
      </c>
      <c r="I1925">
        <v>176.91</v>
      </c>
      <c r="J1925">
        <v>5</v>
      </c>
      <c r="K1925">
        <v>8.85</v>
      </c>
      <c r="L1925">
        <v>18.66</v>
      </c>
      <c r="M1925">
        <v>70.53</v>
      </c>
      <c r="N1925">
        <v>13.44</v>
      </c>
      <c r="O1925">
        <v>5.17</v>
      </c>
      <c r="P1925" s="2" t="s">
        <v>42</v>
      </c>
      <c r="Q1925">
        <v>0</v>
      </c>
      <c r="R1925">
        <v>168.06</v>
      </c>
      <c r="S1925">
        <v>107.8</v>
      </c>
      <c r="T1925">
        <v>60.26</v>
      </c>
      <c r="U1925">
        <f t="shared" ref="U1925:U1988" si="30">IF(P1923="Yes", 1, 0)</f>
        <v>0</v>
      </c>
    </row>
    <row r="1926" spans="1:21" x14ac:dyDescent="0.25">
      <c r="A1926" s="2" t="s">
        <v>2714</v>
      </c>
      <c r="B1926" s="2" t="s">
        <v>1343</v>
      </c>
      <c r="C1926" s="1">
        <v>45590</v>
      </c>
      <c r="D1926" s="2" t="s">
        <v>45</v>
      </c>
      <c r="E1926" s="2" t="s">
        <v>55</v>
      </c>
      <c r="F1926" s="2" t="s">
        <v>47</v>
      </c>
      <c r="G1926">
        <v>3</v>
      </c>
      <c r="H1926" s="2" t="s">
        <v>64</v>
      </c>
      <c r="I1926">
        <v>232.04</v>
      </c>
      <c r="J1926">
        <v>0</v>
      </c>
      <c r="K1926">
        <v>0</v>
      </c>
      <c r="L1926">
        <v>40.479999999999997</v>
      </c>
      <c r="M1926">
        <v>92.58</v>
      </c>
      <c r="N1926">
        <v>0</v>
      </c>
      <c r="O1926">
        <v>7.03</v>
      </c>
      <c r="P1926" s="2" t="s">
        <v>68</v>
      </c>
      <c r="Q1926">
        <v>232.04</v>
      </c>
      <c r="R1926">
        <v>0</v>
      </c>
      <c r="S1926">
        <v>140.09</v>
      </c>
      <c r="T1926">
        <v>-140.09</v>
      </c>
      <c r="U1926">
        <f t="shared" si="30"/>
        <v>0</v>
      </c>
    </row>
    <row r="1927" spans="1:21" x14ac:dyDescent="0.25">
      <c r="A1927" s="2" t="s">
        <v>2715</v>
      </c>
      <c r="B1927" s="2" t="s">
        <v>1355</v>
      </c>
      <c r="C1927" s="1">
        <v>45640</v>
      </c>
      <c r="D1927" s="2" t="s">
        <v>59</v>
      </c>
      <c r="E1927" s="2" t="s">
        <v>55</v>
      </c>
      <c r="F1927" s="2" t="s">
        <v>51</v>
      </c>
      <c r="G1927">
        <v>1</v>
      </c>
      <c r="H1927" s="2" t="s">
        <v>52</v>
      </c>
      <c r="I1927">
        <v>217.68</v>
      </c>
      <c r="J1927">
        <v>25</v>
      </c>
      <c r="K1927">
        <v>54.42</v>
      </c>
      <c r="L1927">
        <v>26.1</v>
      </c>
      <c r="M1927">
        <v>107.43</v>
      </c>
      <c r="N1927">
        <v>24.49</v>
      </c>
      <c r="O1927">
        <v>5.03</v>
      </c>
      <c r="P1927" s="2" t="s">
        <v>42</v>
      </c>
      <c r="Q1927">
        <v>0</v>
      </c>
      <c r="R1927">
        <v>163.26</v>
      </c>
      <c r="S1927">
        <v>163.05000000000001</v>
      </c>
      <c r="T1927">
        <v>0.21</v>
      </c>
      <c r="U1927">
        <f t="shared" si="30"/>
        <v>0</v>
      </c>
    </row>
    <row r="1928" spans="1:21" x14ac:dyDescent="0.25">
      <c r="A1928" s="2" t="s">
        <v>2716</v>
      </c>
      <c r="B1928" s="2" t="s">
        <v>2171</v>
      </c>
      <c r="C1928" s="1">
        <v>45850</v>
      </c>
      <c r="D1928" s="2" t="s">
        <v>45</v>
      </c>
      <c r="E1928" s="2" t="s">
        <v>71</v>
      </c>
      <c r="F1928" s="2" t="s">
        <v>85</v>
      </c>
      <c r="G1928">
        <v>2</v>
      </c>
      <c r="H1928" s="2" t="s">
        <v>48</v>
      </c>
      <c r="I1928">
        <v>146</v>
      </c>
      <c r="J1928">
        <v>0</v>
      </c>
      <c r="K1928">
        <v>0</v>
      </c>
      <c r="L1928">
        <v>12.42</v>
      </c>
      <c r="M1928">
        <v>52.66</v>
      </c>
      <c r="N1928">
        <v>0</v>
      </c>
      <c r="O1928">
        <v>4.53</v>
      </c>
      <c r="P1928" s="2" t="s">
        <v>42</v>
      </c>
      <c r="Q1928">
        <v>0</v>
      </c>
      <c r="R1928">
        <v>146</v>
      </c>
      <c r="S1928">
        <v>69.61</v>
      </c>
      <c r="T1928">
        <v>76.39</v>
      </c>
      <c r="U1928">
        <f t="shared" si="30"/>
        <v>1</v>
      </c>
    </row>
    <row r="1929" spans="1:21" x14ac:dyDescent="0.25">
      <c r="A1929" s="2" t="s">
        <v>2717</v>
      </c>
      <c r="B1929" s="2" t="s">
        <v>1679</v>
      </c>
      <c r="C1929" s="1">
        <v>45645</v>
      </c>
      <c r="D1929" s="2" t="s">
        <v>38</v>
      </c>
      <c r="E1929" s="2" t="s">
        <v>67</v>
      </c>
      <c r="F1929" s="2" t="s">
        <v>51</v>
      </c>
      <c r="G1929">
        <v>1</v>
      </c>
      <c r="H1929" s="2" t="s">
        <v>74</v>
      </c>
      <c r="I1929">
        <v>115.09</v>
      </c>
      <c r="J1929">
        <v>0</v>
      </c>
      <c r="K1929">
        <v>0</v>
      </c>
      <c r="L1929">
        <v>8.2200000000000006</v>
      </c>
      <c r="M1929">
        <v>33.950000000000003</v>
      </c>
      <c r="N1929">
        <v>0</v>
      </c>
      <c r="O1929">
        <v>3.64</v>
      </c>
      <c r="P1929" s="2" t="s">
        <v>42</v>
      </c>
      <c r="Q1929">
        <v>0</v>
      </c>
      <c r="R1929">
        <v>115.09</v>
      </c>
      <c r="S1929">
        <v>45.81</v>
      </c>
      <c r="T1929">
        <v>69.28</v>
      </c>
      <c r="U1929">
        <f t="shared" si="30"/>
        <v>0</v>
      </c>
    </row>
    <row r="1930" spans="1:21" x14ac:dyDescent="0.25">
      <c r="A1930" s="2" t="s">
        <v>2718</v>
      </c>
      <c r="B1930" s="2" t="s">
        <v>1817</v>
      </c>
      <c r="C1930" s="1">
        <v>45888</v>
      </c>
      <c r="D1930" s="2" t="s">
        <v>59</v>
      </c>
      <c r="E1930" s="2" t="s">
        <v>39</v>
      </c>
      <c r="F1930" s="2" t="s">
        <v>40</v>
      </c>
      <c r="G1930">
        <v>1</v>
      </c>
      <c r="H1930" s="2" t="s">
        <v>41</v>
      </c>
      <c r="I1930">
        <v>37.71</v>
      </c>
      <c r="J1930">
        <v>20</v>
      </c>
      <c r="K1930">
        <v>7.54</v>
      </c>
      <c r="L1930">
        <v>14.46</v>
      </c>
      <c r="M1930">
        <v>11.89</v>
      </c>
      <c r="N1930">
        <v>4.53</v>
      </c>
      <c r="O1930">
        <v>1.17</v>
      </c>
      <c r="P1930" s="2" t="s">
        <v>42</v>
      </c>
      <c r="Q1930">
        <v>0</v>
      </c>
      <c r="R1930">
        <v>30.17</v>
      </c>
      <c r="S1930">
        <v>32.049999999999997</v>
      </c>
      <c r="T1930">
        <v>-1.88</v>
      </c>
      <c r="U1930">
        <f t="shared" si="30"/>
        <v>0</v>
      </c>
    </row>
    <row r="1931" spans="1:21" x14ac:dyDescent="0.25">
      <c r="A1931" s="2" t="s">
        <v>2719</v>
      </c>
      <c r="B1931" s="2" t="s">
        <v>1876</v>
      </c>
      <c r="C1931" s="1">
        <v>45702</v>
      </c>
      <c r="D1931" s="2" t="s">
        <v>45</v>
      </c>
      <c r="E1931" s="2" t="s">
        <v>55</v>
      </c>
      <c r="F1931" s="2" t="s">
        <v>47</v>
      </c>
      <c r="G1931">
        <v>3</v>
      </c>
      <c r="H1931" s="2" t="s">
        <v>64</v>
      </c>
      <c r="I1931">
        <v>123.62</v>
      </c>
      <c r="J1931">
        <v>15</v>
      </c>
      <c r="K1931">
        <v>18.54</v>
      </c>
      <c r="L1931">
        <v>29.22</v>
      </c>
      <c r="M1931">
        <v>56.97</v>
      </c>
      <c r="N1931">
        <v>0</v>
      </c>
      <c r="O1931">
        <v>3.35</v>
      </c>
      <c r="P1931" s="2" t="s">
        <v>42</v>
      </c>
      <c r="Q1931">
        <v>0</v>
      </c>
      <c r="R1931">
        <v>105.08</v>
      </c>
      <c r="S1931">
        <v>89.54</v>
      </c>
      <c r="T1931">
        <v>15.54</v>
      </c>
      <c r="U1931">
        <f t="shared" si="30"/>
        <v>0</v>
      </c>
    </row>
    <row r="1932" spans="1:21" x14ac:dyDescent="0.25">
      <c r="A1932" s="2" t="s">
        <v>2720</v>
      </c>
      <c r="B1932" s="2" t="s">
        <v>91</v>
      </c>
      <c r="C1932" s="1">
        <v>45810</v>
      </c>
      <c r="D1932" s="2" t="s">
        <v>59</v>
      </c>
      <c r="E1932" s="2" t="s">
        <v>46</v>
      </c>
      <c r="F1932" s="2" t="s">
        <v>40</v>
      </c>
      <c r="G1932">
        <v>1</v>
      </c>
      <c r="H1932" s="2" t="s">
        <v>111</v>
      </c>
      <c r="I1932">
        <v>164.85</v>
      </c>
      <c r="J1932">
        <v>10</v>
      </c>
      <c r="K1932">
        <v>16.48</v>
      </c>
      <c r="L1932">
        <v>4.7</v>
      </c>
      <c r="M1932">
        <v>49.88</v>
      </c>
      <c r="N1932">
        <v>22.26</v>
      </c>
      <c r="O1932">
        <v>4.5999999999999996</v>
      </c>
      <c r="P1932" s="2" t="s">
        <v>42</v>
      </c>
      <c r="Q1932">
        <v>0</v>
      </c>
      <c r="R1932">
        <v>148.37</v>
      </c>
      <c r="S1932">
        <v>81.44</v>
      </c>
      <c r="T1932">
        <v>66.930000000000007</v>
      </c>
      <c r="U1932">
        <f t="shared" si="30"/>
        <v>0</v>
      </c>
    </row>
    <row r="1933" spans="1:21" x14ac:dyDescent="0.25">
      <c r="A1933" s="2" t="s">
        <v>2721</v>
      </c>
      <c r="B1933" s="2" t="s">
        <v>658</v>
      </c>
      <c r="C1933" s="1">
        <v>45840</v>
      </c>
      <c r="D1933" s="2" t="s">
        <v>38</v>
      </c>
      <c r="E1933" s="2" t="s">
        <v>71</v>
      </c>
      <c r="F1933" s="2" t="s">
        <v>47</v>
      </c>
      <c r="G1933">
        <v>2</v>
      </c>
      <c r="H1933" s="2" t="s">
        <v>64</v>
      </c>
      <c r="I1933">
        <v>179.64</v>
      </c>
      <c r="J1933">
        <v>10</v>
      </c>
      <c r="K1933">
        <v>17.96</v>
      </c>
      <c r="L1933">
        <v>32.340000000000003</v>
      </c>
      <c r="M1933">
        <v>80.53</v>
      </c>
      <c r="N1933">
        <v>0</v>
      </c>
      <c r="O1933">
        <v>4.99</v>
      </c>
      <c r="P1933" s="2" t="s">
        <v>42</v>
      </c>
      <c r="Q1933">
        <v>0</v>
      </c>
      <c r="R1933">
        <v>161.68</v>
      </c>
      <c r="S1933">
        <v>117.86</v>
      </c>
      <c r="T1933">
        <v>43.82</v>
      </c>
      <c r="U1933">
        <f t="shared" si="30"/>
        <v>0</v>
      </c>
    </row>
    <row r="1934" spans="1:21" x14ac:dyDescent="0.25">
      <c r="A1934" s="2" t="s">
        <v>2722</v>
      </c>
      <c r="B1934" s="2" t="s">
        <v>621</v>
      </c>
      <c r="C1934" s="1">
        <v>45688</v>
      </c>
      <c r="D1934" s="2" t="s">
        <v>38</v>
      </c>
      <c r="E1934" s="2" t="s">
        <v>46</v>
      </c>
      <c r="F1934" s="2" t="s">
        <v>94</v>
      </c>
      <c r="G1934">
        <v>1</v>
      </c>
      <c r="H1934" s="2" t="s">
        <v>77</v>
      </c>
      <c r="I1934">
        <v>46.4</v>
      </c>
      <c r="J1934">
        <v>0</v>
      </c>
      <c r="K1934">
        <v>0</v>
      </c>
      <c r="L1934">
        <v>15.96</v>
      </c>
      <c r="M1934">
        <v>13.54</v>
      </c>
      <c r="N1934">
        <v>0</v>
      </c>
      <c r="O1934">
        <v>1.65</v>
      </c>
      <c r="P1934" s="2" t="s">
        <v>42</v>
      </c>
      <c r="Q1934">
        <v>0</v>
      </c>
      <c r="R1934">
        <v>46.4</v>
      </c>
      <c r="S1934">
        <v>31.15</v>
      </c>
      <c r="T1934">
        <v>15.25</v>
      </c>
      <c r="U1934">
        <f t="shared" si="30"/>
        <v>0</v>
      </c>
    </row>
    <row r="1935" spans="1:21" x14ac:dyDescent="0.25">
      <c r="A1935" s="2" t="s">
        <v>2723</v>
      </c>
      <c r="B1935" s="2" t="s">
        <v>983</v>
      </c>
      <c r="C1935" s="1">
        <v>45775</v>
      </c>
      <c r="D1935" s="2" t="s">
        <v>80</v>
      </c>
      <c r="E1935" s="2" t="s">
        <v>46</v>
      </c>
      <c r="F1935" s="2" t="s">
        <v>94</v>
      </c>
      <c r="G1935">
        <v>1</v>
      </c>
      <c r="H1935" s="2" t="s">
        <v>56</v>
      </c>
      <c r="I1935">
        <v>13.9</v>
      </c>
      <c r="J1935">
        <v>15</v>
      </c>
      <c r="K1935">
        <v>2.08</v>
      </c>
      <c r="L1935">
        <v>15.96</v>
      </c>
      <c r="M1935">
        <v>9.6999999999999993</v>
      </c>
      <c r="N1935">
        <v>0.95</v>
      </c>
      <c r="O1935">
        <v>0.64</v>
      </c>
      <c r="P1935" s="2" t="s">
        <v>68</v>
      </c>
      <c r="Q1935">
        <v>11.82</v>
      </c>
      <c r="R1935">
        <v>0</v>
      </c>
      <c r="S1935">
        <v>27.25</v>
      </c>
      <c r="T1935">
        <v>-27.25</v>
      </c>
      <c r="U1935">
        <f t="shared" si="30"/>
        <v>0</v>
      </c>
    </row>
    <row r="1936" spans="1:21" x14ac:dyDescent="0.25">
      <c r="A1936" s="2" t="s">
        <v>2724</v>
      </c>
      <c r="B1936" s="2" t="s">
        <v>564</v>
      </c>
      <c r="C1936" s="1">
        <v>45951</v>
      </c>
      <c r="D1936" s="2" t="s">
        <v>38</v>
      </c>
      <c r="E1936" s="2" t="s">
        <v>46</v>
      </c>
      <c r="F1936" s="2" t="s">
        <v>94</v>
      </c>
      <c r="G1936">
        <v>1</v>
      </c>
      <c r="H1936" s="2" t="s">
        <v>52</v>
      </c>
      <c r="I1936">
        <v>93.6</v>
      </c>
      <c r="J1936">
        <v>5</v>
      </c>
      <c r="K1936">
        <v>4.68</v>
      </c>
      <c r="L1936">
        <v>19.8</v>
      </c>
      <c r="M1936">
        <v>38.42</v>
      </c>
      <c r="N1936">
        <v>0</v>
      </c>
      <c r="O1936">
        <v>2.88</v>
      </c>
      <c r="P1936" s="2" t="s">
        <v>42</v>
      </c>
      <c r="Q1936">
        <v>0</v>
      </c>
      <c r="R1936">
        <v>88.92</v>
      </c>
      <c r="S1936">
        <v>61.1</v>
      </c>
      <c r="T1936">
        <v>27.82</v>
      </c>
      <c r="U1936">
        <f t="shared" si="30"/>
        <v>0</v>
      </c>
    </row>
    <row r="1937" spans="1:21" x14ac:dyDescent="0.25">
      <c r="A1937" s="2" t="s">
        <v>2725</v>
      </c>
      <c r="B1937" s="2" t="s">
        <v>1176</v>
      </c>
      <c r="C1937" s="1">
        <v>45919</v>
      </c>
      <c r="D1937" s="2" t="s">
        <v>38</v>
      </c>
      <c r="E1937" s="2" t="s">
        <v>39</v>
      </c>
      <c r="F1937" s="2" t="s">
        <v>94</v>
      </c>
      <c r="G1937">
        <v>1</v>
      </c>
      <c r="H1937" s="2" t="s">
        <v>74</v>
      </c>
      <c r="I1937">
        <v>27.16</v>
      </c>
      <c r="J1937">
        <v>0</v>
      </c>
      <c r="K1937">
        <v>0</v>
      </c>
      <c r="L1937">
        <v>11.34</v>
      </c>
      <c r="M1937">
        <v>13.64</v>
      </c>
      <c r="N1937">
        <v>0</v>
      </c>
      <c r="O1937">
        <v>1.0900000000000001</v>
      </c>
      <c r="P1937" s="2" t="s">
        <v>42</v>
      </c>
      <c r="Q1937">
        <v>0</v>
      </c>
      <c r="R1937">
        <v>27.16</v>
      </c>
      <c r="S1937">
        <v>26.07</v>
      </c>
      <c r="T1937">
        <v>1.0900000000000001</v>
      </c>
      <c r="U1937">
        <f t="shared" si="30"/>
        <v>1</v>
      </c>
    </row>
    <row r="1938" spans="1:21" x14ac:dyDescent="0.25">
      <c r="A1938" s="2" t="s">
        <v>2726</v>
      </c>
      <c r="B1938" s="2" t="s">
        <v>1135</v>
      </c>
      <c r="C1938" s="1">
        <v>45699</v>
      </c>
      <c r="D1938" s="2" t="s">
        <v>80</v>
      </c>
      <c r="E1938" s="2" t="s">
        <v>55</v>
      </c>
      <c r="F1938" s="2" t="s">
        <v>40</v>
      </c>
      <c r="G1938">
        <v>1</v>
      </c>
      <c r="H1938" s="2" t="s">
        <v>41</v>
      </c>
      <c r="I1938">
        <v>68.98</v>
      </c>
      <c r="J1938">
        <v>0</v>
      </c>
      <c r="K1938">
        <v>0</v>
      </c>
      <c r="L1938">
        <v>14.54</v>
      </c>
      <c r="M1938">
        <v>25.39</v>
      </c>
      <c r="N1938">
        <v>5.52</v>
      </c>
      <c r="O1938">
        <v>2.2999999999999998</v>
      </c>
      <c r="P1938" s="2" t="s">
        <v>42</v>
      </c>
      <c r="Q1938">
        <v>0</v>
      </c>
      <c r="R1938">
        <v>68.98</v>
      </c>
      <c r="S1938">
        <v>47.75</v>
      </c>
      <c r="T1938">
        <v>21.23</v>
      </c>
      <c r="U1938">
        <f t="shared" si="30"/>
        <v>0</v>
      </c>
    </row>
    <row r="1939" spans="1:21" x14ac:dyDescent="0.25">
      <c r="A1939" s="2" t="s">
        <v>2727</v>
      </c>
      <c r="B1939" s="2" t="s">
        <v>1296</v>
      </c>
      <c r="C1939" s="1">
        <v>45953</v>
      </c>
      <c r="D1939" s="2" t="s">
        <v>45</v>
      </c>
      <c r="E1939" s="2" t="s">
        <v>55</v>
      </c>
      <c r="F1939" s="2" t="s">
        <v>94</v>
      </c>
      <c r="G1939">
        <v>1</v>
      </c>
      <c r="H1939" s="2" t="s">
        <v>74</v>
      </c>
      <c r="I1939">
        <v>255.18</v>
      </c>
      <c r="J1939">
        <v>0</v>
      </c>
      <c r="K1939">
        <v>0</v>
      </c>
      <c r="L1939">
        <v>35.46</v>
      </c>
      <c r="M1939">
        <v>110.16</v>
      </c>
      <c r="N1939">
        <v>0</v>
      </c>
      <c r="O1939">
        <v>7.7</v>
      </c>
      <c r="P1939" s="2" t="s">
        <v>42</v>
      </c>
      <c r="Q1939">
        <v>0</v>
      </c>
      <c r="R1939">
        <v>255.18</v>
      </c>
      <c r="S1939">
        <v>153.32</v>
      </c>
      <c r="T1939">
        <v>101.86</v>
      </c>
      <c r="U1939">
        <f t="shared" si="30"/>
        <v>0</v>
      </c>
    </row>
    <row r="1940" spans="1:21" x14ac:dyDescent="0.25">
      <c r="A1940" s="2" t="s">
        <v>2728</v>
      </c>
      <c r="B1940" s="2" t="s">
        <v>1674</v>
      </c>
      <c r="C1940" s="1">
        <v>45782</v>
      </c>
      <c r="D1940" s="2" t="s">
        <v>38</v>
      </c>
      <c r="E1940" s="2" t="s">
        <v>71</v>
      </c>
      <c r="F1940" s="2" t="s">
        <v>51</v>
      </c>
      <c r="G1940">
        <v>1</v>
      </c>
      <c r="H1940" s="2" t="s">
        <v>77</v>
      </c>
      <c r="I1940">
        <v>17.64</v>
      </c>
      <c r="J1940">
        <v>0</v>
      </c>
      <c r="K1940">
        <v>0</v>
      </c>
      <c r="L1940">
        <v>15.42</v>
      </c>
      <c r="M1940">
        <v>10.55</v>
      </c>
      <c r="N1940">
        <v>0</v>
      </c>
      <c r="O1940">
        <v>0.81</v>
      </c>
      <c r="P1940" s="2" t="s">
        <v>42</v>
      </c>
      <c r="Q1940">
        <v>0</v>
      </c>
      <c r="R1940">
        <v>17.64</v>
      </c>
      <c r="S1940">
        <v>26.78</v>
      </c>
      <c r="T1940">
        <v>-9.14</v>
      </c>
      <c r="U1940">
        <f t="shared" si="30"/>
        <v>0</v>
      </c>
    </row>
    <row r="1941" spans="1:21" x14ac:dyDescent="0.25">
      <c r="A1941" s="2" t="s">
        <v>2729</v>
      </c>
      <c r="B1941" s="2" t="s">
        <v>2541</v>
      </c>
      <c r="C1941" s="1">
        <v>45886</v>
      </c>
      <c r="D1941" s="2" t="s">
        <v>38</v>
      </c>
      <c r="E1941" s="2" t="s">
        <v>39</v>
      </c>
      <c r="F1941" s="2" t="s">
        <v>47</v>
      </c>
      <c r="G1941">
        <v>2</v>
      </c>
      <c r="H1941" s="2" t="s">
        <v>64</v>
      </c>
      <c r="I1941">
        <v>140.22999999999999</v>
      </c>
      <c r="J1941">
        <v>0</v>
      </c>
      <c r="K1941">
        <v>0</v>
      </c>
      <c r="L1941">
        <v>34.020000000000003</v>
      </c>
      <c r="M1941">
        <v>54.08</v>
      </c>
      <c r="N1941">
        <v>0</v>
      </c>
      <c r="O1941">
        <v>4.37</v>
      </c>
      <c r="P1941" s="2" t="s">
        <v>42</v>
      </c>
      <c r="Q1941">
        <v>0</v>
      </c>
      <c r="R1941">
        <v>140.22999999999999</v>
      </c>
      <c r="S1941">
        <v>92.47</v>
      </c>
      <c r="T1941">
        <v>47.76</v>
      </c>
      <c r="U1941">
        <f t="shared" si="30"/>
        <v>0</v>
      </c>
    </row>
    <row r="1942" spans="1:21" x14ac:dyDescent="0.25">
      <c r="A1942" s="2" t="s">
        <v>2730</v>
      </c>
      <c r="B1942" s="2" t="s">
        <v>1282</v>
      </c>
      <c r="C1942" s="1">
        <v>45514</v>
      </c>
      <c r="D1942" s="2" t="s">
        <v>45</v>
      </c>
      <c r="E1942" s="2" t="s">
        <v>71</v>
      </c>
      <c r="F1942" s="2" t="s">
        <v>94</v>
      </c>
      <c r="G1942">
        <v>3</v>
      </c>
      <c r="H1942" s="2" t="s">
        <v>64</v>
      </c>
      <c r="I1942">
        <v>327.51</v>
      </c>
      <c r="J1942">
        <v>10</v>
      </c>
      <c r="K1942">
        <v>32.75</v>
      </c>
      <c r="L1942">
        <v>42.14</v>
      </c>
      <c r="M1942">
        <v>115.5</v>
      </c>
      <c r="N1942">
        <v>0</v>
      </c>
      <c r="O1942">
        <v>8.85</v>
      </c>
      <c r="P1942" s="2" t="s">
        <v>42</v>
      </c>
      <c r="Q1942">
        <v>0</v>
      </c>
      <c r="R1942">
        <v>294.76</v>
      </c>
      <c r="S1942">
        <v>166.49</v>
      </c>
      <c r="T1942">
        <v>128.27000000000001</v>
      </c>
      <c r="U1942">
        <f t="shared" si="30"/>
        <v>0</v>
      </c>
    </row>
    <row r="1943" spans="1:21" x14ac:dyDescent="0.25">
      <c r="A1943" s="2" t="s">
        <v>2731</v>
      </c>
      <c r="B1943" s="2" t="s">
        <v>1106</v>
      </c>
      <c r="C1943" s="1">
        <v>45681</v>
      </c>
      <c r="D1943" s="2" t="s">
        <v>59</v>
      </c>
      <c r="E1943" s="2" t="s">
        <v>39</v>
      </c>
      <c r="F1943" s="2" t="s">
        <v>47</v>
      </c>
      <c r="G1943">
        <v>4</v>
      </c>
      <c r="H1943" s="2" t="s">
        <v>41</v>
      </c>
      <c r="I1943">
        <v>343.46</v>
      </c>
      <c r="J1943">
        <v>5</v>
      </c>
      <c r="K1943">
        <v>17.170000000000002</v>
      </c>
      <c r="L1943">
        <v>98.02</v>
      </c>
      <c r="M1943">
        <v>145.13</v>
      </c>
      <c r="N1943">
        <v>48.94</v>
      </c>
      <c r="O1943">
        <v>9.76</v>
      </c>
      <c r="P1943" s="2" t="s">
        <v>42</v>
      </c>
      <c r="Q1943">
        <v>0</v>
      </c>
      <c r="R1943">
        <v>326.29000000000002</v>
      </c>
      <c r="S1943">
        <v>301.85000000000002</v>
      </c>
      <c r="T1943">
        <v>24.44</v>
      </c>
      <c r="U1943">
        <f t="shared" si="30"/>
        <v>0</v>
      </c>
    </row>
    <row r="1944" spans="1:21" x14ac:dyDescent="0.25">
      <c r="A1944" s="2" t="s">
        <v>2732</v>
      </c>
      <c r="B1944" s="2" t="s">
        <v>916</v>
      </c>
      <c r="C1944" s="1">
        <v>45608</v>
      </c>
      <c r="D1944" s="2" t="s">
        <v>80</v>
      </c>
      <c r="E1944" s="2" t="s">
        <v>55</v>
      </c>
      <c r="F1944" s="2" t="s">
        <v>94</v>
      </c>
      <c r="G1944">
        <v>3</v>
      </c>
      <c r="H1944" s="2" t="s">
        <v>48</v>
      </c>
      <c r="I1944">
        <v>313.12</v>
      </c>
      <c r="J1944">
        <v>15</v>
      </c>
      <c r="K1944">
        <v>46.97</v>
      </c>
      <c r="L1944">
        <v>72.7</v>
      </c>
      <c r="M1944">
        <v>101.78</v>
      </c>
      <c r="N1944">
        <v>21.29</v>
      </c>
      <c r="O1944">
        <v>8.02</v>
      </c>
      <c r="P1944" s="2" t="s">
        <v>42</v>
      </c>
      <c r="Q1944">
        <v>0</v>
      </c>
      <c r="R1944">
        <v>266.14999999999998</v>
      </c>
      <c r="S1944">
        <v>203.79</v>
      </c>
      <c r="T1944">
        <v>62.36</v>
      </c>
      <c r="U1944">
        <f t="shared" si="30"/>
        <v>0</v>
      </c>
    </row>
    <row r="1945" spans="1:21" x14ac:dyDescent="0.25">
      <c r="A1945" s="2" t="s">
        <v>2733</v>
      </c>
      <c r="B1945" s="2" t="s">
        <v>392</v>
      </c>
      <c r="C1945" s="1">
        <v>45651</v>
      </c>
      <c r="D1945" s="2" t="s">
        <v>38</v>
      </c>
      <c r="E1945" s="2" t="s">
        <v>71</v>
      </c>
      <c r="F1945" s="2" t="s">
        <v>40</v>
      </c>
      <c r="G1945">
        <v>4</v>
      </c>
      <c r="H1945" s="2" t="s">
        <v>52</v>
      </c>
      <c r="I1945">
        <v>404.27</v>
      </c>
      <c r="J1945">
        <v>10</v>
      </c>
      <c r="K1945">
        <v>40.43</v>
      </c>
      <c r="L1945">
        <v>39.26</v>
      </c>
      <c r="M1945">
        <v>126.86</v>
      </c>
      <c r="N1945">
        <v>0</v>
      </c>
      <c r="O1945">
        <v>10.85</v>
      </c>
      <c r="P1945" s="2" t="s">
        <v>42</v>
      </c>
      <c r="Q1945">
        <v>0</v>
      </c>
      <c r="R1945">
        <v>363.84</v>
      </c>
      <c r="S1945">
        <v>176.97</v>
      </c>
      <c r="T1945">
        <v>186.87</v>
      </c>
      <c r="U1945">
        <f t="shared" si="30"/>
        <v>0</v>
      </c>
    </row>
    <row r="1946" spans="1:21" x14ac:dyDescent="0.25">
      <c r="A1946" s="2" t="s">
        <v>2734</v>
      </c>
      <c r="B1946" s="2" t="s">
        <v>1759</v>
      </c>
      <c r="C1946" s="1">
        <v>45881</v>
      </c>
      <c r="D1946" s="2" t="s">
        <v>45</v>
      </c>
      <c r="E1946" s="2" t="s">
        <v>46</v>
      </c>
      <c r="F1946" s="2" t="s">
        <v>85</v>
      </c>
      <c r="G1946">
        <v>1</v>
      </c>
      <c r="H1946" s="2" t="s">
        <v>111</v>
      </c>
      <c r="I1946">
        <v>28.43</v>
      </c>
      <c r="J1946">
        <v>0</v>
      </c>
      <c r="K1946">
        <v>0</v>
      </c>
      <c r="L1946">
        <v>3.74</v>
      </c>
      <c r="M1946">
        <v>16.12</v>
      </c>
      <c r="N1946">
        <v>0</v>
      </c>
      <c r="O1946">
        <v>1.1200000000000001</v>
      </c>
      <c r="P1946" s="2" t="s">
        <v>42</v>
      </c>
      <c r="Q1946">
        <v>0</v>
      </c>
      <c r="R1946">
        <v>28.43</v>
      </c>
      <c r="S1946">
        <v>20.98</v>
      </c>
      <c r="T1946">
        <v>7.45</v>
      </c>
      <c r="U1946">
        <f t="shared" si="30"/>
        <v>0</v>
      </c>
    </row>
    <row r="1947" spans="1:21" x14ac:dyDescent="0.25">
      <c r="A1947" s="2" t="s">
        <v>2735</v>
      </c>
      <c r="B1947" s="2" t="s">
        <v>241</v>
      </c>
      <c r="C1947" s="1">
        <v>45648</v>
      </c>
      <c r="D1947" s="2" t="s">
        <v>45</v>
      </c>
      <c r="E1947" s="2" t="s">
        <v>71</v>
      </c>
      <c r="F1947" s="2" t="s">
        <v>51</v>
      </c>
      <c r="G1947">
        <v>3</v>
      </c>
      <c r="H1947" s="2" t="s">
        <v>48</v>
      </c>
      <c r="I1947">
        <v>252.5</v>
      </c>
      <c r="J1947">
        <v>0</v>
      </c>
      <c r="K1947">
        <v>0</v>
      </c>
      <c r="L1947">
        <v>56.86</v>
      </c>
      <c r="M1947">
        <v>105.02</v>
      </c>
      <c r="N1947">
        <v>0</v>
      </c>
      <c r="O1947">
        <v>7.62</v>
      </c>
      <c r="P1947" s="2" t="s">
        <v>42</v>
      </c>
      <c r="Q1947">
        <v>0</v>
      </c>
      <c r="R1947">
        <v>252.5</v>
      </c>
      <c r="S1947">
        <v>169.5</v>
      </c>
      <c r="T1947">
        <v>83</v>
      </c>
      <c r="U1947">
        <f t="shared" si="30"/>
        <v>0</v>
      </c>
    </row>
    <row r="1948" spans="1:21" x14ac:dyDescent="0.25">
      <c r="A1948" s="2" t="s">
        <v>2736</v>
      </c>
      <c r="B1948" s="2" t="s">
        <v>1506</v>
      </c>
      <c r="C1948" s="1">
        <v>45855</v>
      </c>
      <c r="D1948" s="2" t="s">
        <v>38</v>
      </c>
      <c r="E1948" s="2" t="s">
        <v>46</v>
      </c>
      <c r="F1948" s="2" t="s">
        <v>51</v>
      </c>
      <c r="G1948">
        <v>1</v>
      </c>
      <c r="H1948" s="2" t="s">
        <v>41</v>
      </c>
      <c r="I1948">
        <v>260.5</v>
      </c>
      <c r="J1948">
        <v>0</v>
      </c>
      <c r="K1948">
        <v>0</v>
      </c>
      <c r="L1948">
        <v>11.82</v>
      </c>
      <c r="M1948">
        <v>78.92</v>
      </c>
      <c r="N1948">
        <v>0</v>
      </c>
      <c r="O1948">
        <v>7.85</v>
      </c>
      <c r="P1948" s="2" t="s">
        <v>42</v>
      </c>
      <c r="Q1948">
        <v>0</v>
      </c>
      <c r="R1948">
        <v>260.5</v>
      </c>
      <c r="S1948">
        <v>98.59</v>
      </c>
      <c r="T1948">
        <v>161.91</v>
      </c>
      <c r="U1948">
        <f t="shared" si="30"/>
        <v>0</v>
      </c>
    </row>
    <row r="1949" spans="1:21" x14ac:dyDescent="0.25">
      <c r="A1949" s="2" t="s">
        <v>2737</v>
      </c>
      <c r="B1949" s="2" t="s">
        <v>37</v>
      </c>
      <c r="C1949" s="1">
        <v>45674</v>
      </c>
      <c r="D1949" s="2" t="s">
        <v>38</v>
      </c>
      <c r="E1949" s="2" t="s">
        <v>71</v>
      </c>
      <c r="F1949" s="2" t="s">
        <v>85</v>
      </c>
      <c r="G1949">
        <v>3</v>
      </c>
      <c r="H1949" s="2" t="s">
        <v>52</v>
      </c>
      <c r="I1949">
        <v>129.9</v>
      </c>
      <c r="J1949">
        <v>0</v>
      </c>
      <c r="K1949">
        <v>0</v>
      </c>
      <c r="L1949">
        <v>27.86</v>
      </c>
      <c r="M1949">
        <v>60.67</v>
      </c>
      <c r="N1949">
        <v>0</v>
      </c>
      <c r="O1949">
        <v>4.07</v>
      </c>
      <c r="P1949" s="2" t="s">
        <v>68</v>
      </c>
      <c r="Q1949">
        <v>129.9</v>
      </c>
      <c r="R1949">
        <v>0</v>
      </c>
      <c r="S1949">
        <v>92.6</v>
      </c>
      <c r="T1949">
        <v>-92.6</v>
      </c>
      <c r="U1949">
        <f t="shared" si="30"/>
        <v>0</v>
      </c>
    </row>
    <row r="1950" spans="1:21" x14ac:dyDescent="0.25">
      <c r="A1950" s="2" t="s">
        <v>2738</v>
      </c>
      <c r="B1950" s="2" t="s">
        <v>1147</v>
      </c>
      <c r="C1950" s="1">
        <v>45555</v>
      </c>
      <c r="D1950" s="2" t="s">
        <v>59</v>
      </c>
      <c r="E1950" s="2" t="s">
        <v>55</v>
      </c>
      <c r="F1950" s="2" t="s">
        <v>47</v>
      </c>
      <c r="G1950">
        <v>3</v>
      </c>
      <c r="H1950" s="2" t="s">
        <v>56</v>
      </c>
      <c r="I1950">
        <v>163.52000000000001</v>
      </c>
      <c r="J1950">
        <v>0</v>
      </c>
      <c r="K1950">
        <v>0</v>
      </c>
      <c r="L1950">
        <v>35.14</v>
      </c>
      <c r="M1950">
        <v>60.24</v>
      </c>
      <c r="N1950">
        <v>24.53</v>
      </c>
      <c r="O1950">
        <v>5.04</v>
      </c>
      <c r="P1950" s="2" t="s">
        <v>42</v>
      </c>
      <c r="Q1950">
        <v>0</v>
      </c>
      <c r="R1950">
        <v>163.52000000000001</v>
      </c>
      <c r="S1950">
        <v>124.95</v>
      </c>
      <c r="T1950">
        <v>38.57</v>
      </c>
      <c r="U1950">
        <f t="shared" si="30"/>
        <v>0</v>
      </c>
    </row>
    <row r="1951" spans="1:21" x14ac:dyDescent="0.25">
      <c r="A1951" s="2" t="s">
        <v>2739</v>
      </c>
      <c r="B1951" s="2" t="s">
        <v>1725</v>
      </c>
      <c r="C1951" s="1">
        <v>45694</v>
      </c>
      <c r="D1951" s="2" t="s">
        <v>38</v>
      </c>
      <c r="E1951" s="2" t="s">
        <v>46</v>
      </c>
      <c r="F1951" s="2" t="s">
        <v>47</v>
      </c>
      <c r="G1951">
        <v>4</v>
      </c>
      <c r="H1951" s="2" t="s">
        <v>64</v>
      </c>
      <c r="I1951">
        <v>423.98</v>
      </c>
      <c r="J1951">
        <v>0</v>
      </c>
      <c r="K1951">
        <v>0</v>
      </c>
      <c r="L1951">
        <v>74.239999999999995</v>
      </c>
      <c r="M1951">
        <v>156.06</v>
      </c>
      <c r="N1951">
        <v>0</v>
      </c>
      <c r="O1951">
        <v>12.6</v>
      </c>
      <c r="P1951" s="2" t="s">
        <v>42</v>
      </c>
      <c r="Q1951">
        <v>0</v>
      </c>
      <c r="R1951">
        <v>423.98</v>
      </c>
      <c r="S1951">
        <v>242.9</v>
      </c>
      <c r="T1951">
        <v>181.08</v>
      </c>
      <c r="U1951">
        <f t="shared" si="30"/>
        <v>1</v>
      </c>
    </row>
    <row r="1952" spans="1:21" x14ac:dyDescent="0.25">
      <c r="A1952" s="2" t="s">
        <v>2740</v>
      </c>
      <c r="B1952" s="2" t="s">
        <v>283</v>
      </c>
      <c r="C1952" s="1">
        <v>45640</v>
      </c>
      <c r="D1952" s="2" t="s">
        <v>59</v>
      </c>
      <c r="E1952" s="2" t="s">
        <v>46</v>
      </c>
      <c r="F1952" s="2" t="s">
        <v>94</v>
      </c>
      <c r="G1952">
        <v>1</v>
      </c>
      <c r="H1952" s="2" t="s">
        <v>41</v>
      </c>
      <c r="I1952">
        <v>192.38</v>
      </c>
      <c r="J1952">
        <v>5</v>
      </c>
      <c r="K1952">
        <v>9.6199999999999992</v>
      </c>
      <c r="L1952">
        <v>10.06</v>
      </c>
      <c r="M1952">
        <v>72.59</v>
      </c>
      <c r="N1952">
        <v>27.41</v>
      </c>
      <c r="O1952">
        <v>5.6</v>
      </c>
      <c r="P1952" s="2" t="s">
        <v>42</v>
      </c>
      <c r="Q1952">
        <v>0</v>
      </c>
      <c r="R1952">
        <v>182.76</v>
      </c>
      <c r="S1952">
        <v>115.66</v>
      </c>
      <c r="T1952">
        <v>67.099999999999994</v>
      </c>
      <c r="U1952">
        <f t="shared" si="30"/>
        <v>0</v>
      </c>
    </row>
    <row r="1953" spans="1:21" x14ac:dyDescent="0.25">
      <c r="A1953" s="2" t="s">
        <v>2741</v>
      </c>
      <c r="B1953" s="2" t="s">
        <v>2048</v>
      </c>
      <c r="C1953" s="1">
        <v>45807</v>
      </c>
      <c r="D1953" s="2" t="s">
        <v>45</v>
      </c>
      <c r="E1953" s="2" t="s">
        <v>71</v>
      </c>
      <c r="F1953" s="2" t="s">
        <v>94</v>
      </c>
      <c r="G1953">
        <v>3</v>
      </c>
      <c r="H1953" s="2" t="s">
        <v>41</v>
      </c>
      <c r="I1953">
        <v>145.81</v>
      </c>
      <c r="J1953">
        <v>5</v>
      </c>
      <c r="K1953">
        <v>7.29</v>
      </c>
      <c r="L1953">
        <v>28.42</v>
      </c>
      <c r="M1953">
        <v>63.27</v>
      </c>
      <c r="N1953">
        <v>0</v>
      </c>
      <c r="O1953">
        <v>4.32</v>
      </c>
      <c r="P1953" s="2" t="s">
        <v>42</v>
      </c>
      <c r="Q1953">
        <v>0</v>
      </c>
      <c r="R1953">
        <v>138.52000000000001</v>
      </c>
      <c r="S1953">
        <v>96.01</v>
      </c>
      <c r="T1953">
        <v>42.51</v>
      </c>
      <c r="U1953">
        <f t="shared" si="30"/>
        <v>0</v>
      </c>
    </row>
    <row r="1954" spans="1:21" x14ac:dyDescent="0.25">
      <c r="A1954" s="2" t="s">
        <v>2742</v>
      </c>
      <c r="B1954" s="2" t="s">
        <v>1106</v>
      </c>
      <c r="C1954" s="1">
        <v>45380</v>
      </c>
      <c r="D1954" s="2" t="s">
        <v>38</v>
      </c>
      <c r="E1954" s="2" t="s">
        <v>67</v>
      </c>
      <c r="F1954" s="2" t="s">
        <v>85</v>
      </c>
      <c r="G1954">
        <v>3</v>
      </c>
      <c r="H1954" s="2" t="s">
        <v>48</v>
      </c>
      <c r="I1954">
        <v>113.82</v>
      </c>
      <c r="J1954">
        <v>10</v>
      </c>
      <c r="K1954">
        <v>11.38</v>
      </c>
      <c r="L1954">
        <v>36.340000000000003</v>
      </c>
      <c r="M1954">
        <v>42.4</v>
      </c>
      <c r="N1954">
        <v>0</v>
      </c>
      <c r="O1954">
        <v>3.27</v>
      </c>
      <c r="P1954" s="2" t="s">
        <v>42</v>
      </c>
      <c r="Q1954">
        <v>0</v>
      </c>
      <c r="R1954">
        <v>102.44</v>
      </c>
      <c r="S1954">
        <v>82.01</v>
      </c>
      <c r="T1954">
        <v>20.43</v>
      </c>
      <c r="U1954">
        <f t="shared" si="30"/>
        <v>0</v>
      </c>
    </row>
    <row r="1955" spans="1:21" x14ac:dyDescent="0.25">
      <c r="A1955" s="2" t="s">
        <v>2743</v>
      </c>
      <c r="B1955" s="2" t="s">
        <v>1992</v>
      </c>
      <c r="C1955" s="1">
        <v>45673</v>
      </c>
      <c r="D1955" s="2" t="s">
        <v>38</v>
      </c>
      <c r="E1955" s="2" t="s">
        <v>71</v>
      </c>
      <c r="F1955" s="2" t="s">
        <v>94</v>
      </c>
      <c r="G1955">
        <v>1</v>
      </c>
      <c r="H1955" s="2" t="s">
        <v>52</v>
      </c>
      <c r="I1955">
        <v>135.47999999999999</v>
      </c>
      <c r="J1955">
        <v>0</v>
      </c>
      <c r="K1955">
        <v>0</v>
      </c>
      <c r="L1955">
        <v>29.7</v>
      </c>
      <c r="M1955">
        <v>65.58</v>
      </c>
      <c r="N1955">
        <v>0</v>
      </c>
      <c r="O1955">
        <v>4.2300000000000004</v>
      </c>
      <c r="P1955" s="2" t="s">
        <v>42</v>
      </c>
      <c r="Q1955">
        <v>0</v>
      </c>
      <c r="R1955">
        <v>135.47999999999999</v>
      </c>
      <c r="S1955">
        <v>99.51</v>
      </c>
      <c r="T1955">
        <v>35.97</v>
      </c>
      <c r="U1955">
        <f t="shared" si="30"/>
        <v>0</v>
      </c>
    </row>
    <row r="1956" spans="1:21" x14ac:dyDescent="0.25">
      <c r="A1956" s="2" t="s">
        <v>2744</v>
      </c>
      <c r="B1956" s="2" t="s">
        <v>50</v>
      </c>
      <c r="C1956" s="1">
        <v>45745</v>
      </c>
      <c r="D1956" s="2" t="s">
        <v>38</v>
      </c>
      <c r="E1956" s="2" t="s">
        <v>46</v>
      </c>
      <c r="F1956" s="2" t="s">
        <v>47</v>
      </c>
      <c r="G1956">
        <v>2</v>
      </c>
      <c r="H1956" s="2" t="s">
        <v>64</v>
      </c>
      <c r="I1956">
        <v>132.51</v>
      </c>
      <c r="J1956">
        <v>15</v>
      </c>
      <c r="K1956">
        <v>19.88</v>
      </c>
      <c r="L1956">
        <v>17.940000000000001</v>
      </c>
      <c r="M1956">
        <v>45.27</v>
      </c>
      <c r="N1956">
        <v>0</v>
      </c>
      <c r="O1956">
        <v>3.57</v>
      </c>
      <c r="P1956" s="2" t="s">
        <v>42</v>
      </c>
      <c r="Q1956">
        <v>0</v>
      </c>
      <c r="R1956">
        <v>112.63</v>
      </c>
      <c r="S1956">
        <v>66.78</v>
      </c>
      <c r="T1956">
        <v>45.85</v>
      </c>
      <c r="U1956">
        <f t="shared" si="30"/>
        <v>0</v>
      </c>
    </row>
    <row r="1957" spans="1:21" x14ac:dyDescent="0.25">
      <c r="A1957" s="2" t="s">
        <v>2745</v>
      </c>
      <c r="B1957" s="2" t="s">
        <v>975</v>
      </c>
      <c r="C1957" s="1">
        <v>45960</v>
      </c>
      <c r="D1957" s="2" t="s">
        <v>45</v>
      </c>
      <c r="E1957" s="2" t="s">
        <v>67</v>
      </c>
      <c r="F1957" s="2" t="s">
        <v>94</v>
      </c>
      <c r="G1957">
        <v>3</v>
      </c>
      <c r="H1957" s="2" t="s">
        <v>64</v>
      </c>
      <c r="I1957">
        <v>316.13</v>
      </c>
      <c r="J1957">
        <v>25</v>
      </c>
      <c r="K1957">
        <v>79.03</v>
      </c>
      <c r="L1957">
        <v>49.74</v>
      </c>
      <c r="M1957">
        <v>102.05</v>
      </c>
      <c r="N1957">
        <v>0</v>
      </c>
      <c r="O1957">
        <v>7.18</v>
      </c>
      <c r="P1957" s="2" t="s">
        <v>42</v>
      </c>
      <c r="Q1957">
        <v>0</v>
      </c>
      <c r="R1957">
        <v>237.1</v>
      </c>
      <c r="S1957">
        <v>158.97</v>
      </c>
      <c r="T1957">
        <v>78.13</v>
      </c>
      <c r="U1957">
        <f t="shared" si="30"/>
        <v>0</v>
      </c>
    </row>
    <row r="1958" spans="1:21" x14ac:dyDescent="0.25">
      <c r="A1958" s="2" t="s">
        <v>2746</v>
      </c>
      <c r="B1958" s="2" t="s">
        <v>1969</v>
      </c>
      <c r="C1958" s="1">
        <v>45543</v>
      </c>
      <c r="D1958" s="2" t="s">
        <v>45</v>
      </c>
      <c r="E1958" s="2" t="s">
        <v>46</v>
      </c>
      <c r="F1958" s="2" t="s">
        <v>85</v>
      </c>
      <c r="G1958">
        <v>1</v>
      </c>
      <c r="H1958" s="2" t="s">
        <v>77</v>
      </c>
      <c r="I1958">
        <v>23.18</v>
      </c>
      <c r="J1958">
        <v>10</v>
      </c>
      <c r="K1958">
        <v>2.3199999999999998</v>
      </c>
      <c r="L1958">
        <v>9.26</v>
      </c>
      <c r="M1958">
        <v>9.5500000000000007</v>
      </c>
      <c r="N1958">
        <v>0</v>
      </c>
      <c r="O1958">
        <v>0.9</v>
      </c>
      <c r="P1958" s="2" t="s">
        <v>42</v>
      </c>
      <c r="Q1958">
        <v>0</v>
      </c>
      <c r="R1958">
        <v>20.86</v>
      </c>
      <c r="S1958">
        <v>19.71</v>
      </c>
      <c r="T1958">
        <v>1.1499999999999999</v>
      </c>
      <c r="U1958">
        <f t="shared" si="30"/>
        <v>0</v>
      </c>
    </row>
    <row r="1959" spans="1:21" x14ac:dyDescent="0.25">
      <c r="A1959" s="2" t="s">
        <v>2747</v>
      </c>
      <c r="B1959" s="2" t="s">
        <v>560</v>
      </c>
      <c r="C1959" s="1">
        <v>45887</v>
      </c>
      <c r="D1959" s="2" t="s">
        <v>45</v>
      </c>
      <c r="E1959" s="2" t="s">
        <v>71</v>
      </c>
      <c r="F1959" s="2" t="s">
        <v>51</v>
      </c>
      <c r="G1959">
        <v>1</v>
      </c>
      <c r="H1959" s="2" t="s">
        <v>64</v>
      </c>
      <c r="I1959">
        <v>81.78</v>
      </c>
      <c r="J1959">
        <v>0</v>
      </c>
      <c r="K1959">
        <v>0</v>
      </c>
      <c r="L1959">
        <v>30.2</v>
      </c>
      <c r="M1959">
        <v>32.42</v>
      </c>
      <c r="N1959">
        <v>0</v>
      </c>
      <c r="O1959">
        <v>2.67</v>
      </c>
      <c r="P1959" s="2" t="s">
        <v>42</v>
      </c>
      <c r="Q1959">
        <v>0</v>
      </c>
      <c r="R1959">
        <v>81.78</v>
      </c>
      <c r="S1959">
        <v>65.290000000000006</v>
      </c>
      <c r="T1959">
        <v>16.489999999999998</v>
      </c>
      <c r="U1959">
        <f t="shared" si="30"/>
        <v>0</v>
      </c>
    </row>
    <row r="1960" spans="1:21" x14ac:dyDescent="0.25">
      <c r="A1960" s="2" t="s">
        <v>2748</v>
      </c>
      <c r="B1960" s="2" t="s">
        <v>143</v>
      </c>
      <c r="C1960" s="1">
        <v>45975</v>
      </c>
      <c r="D1960" s="2" t="s">
        <v>45</v>
      </c>
      <c r="E1960" s="2" t="s">
        <v>46</v>
      </c>
      <c r="F1960" s="2" t="s">
        <v>94</v>
      </c>
      <c r="G1960">
        <v>3</v>
      </c>
      <c r="H1960" s="2" t="s">
        <v>56</v>
      </c>
      <c r="I1960">
        <v>115.78</v>
      </c>
      <c r="J1960">
        <v>25</v>
      </c>
      <c r="K1960">
        <v>28.95</v>
      </c>
      <c r="L1960">
        <v>68.2</v>
      </c>
      <c r="M1960">
        <v>44.36</v>
      </c>
      <c r="N1960">
        <v>0</v>
      </c>
      <c r="O1960">
        <v>2.82</v>
      </c>
      <c r="P1960" s="2" t="s">
        <v>42</v>
      </c>
      <c r="Q1960">
        <v>0</v>
      </c>
      <c r="R1960">
        <v>86.83</v>
      </c>
      <c r="S1960">
        <v>115.38</v>
      </c>
      <c r="T1960">
        <v>-28.55</v>
      </c>
      <c r="U1960">
        <f t="shared" si="30"/>
        <v>0</v>
      </c>
    </row>
    <row r="1961" spans="1:21" x14ac:dyDescent="0.25">
      <c r="A1961" s="2" t="s">
        <v>2749</v>
      </c>
      <c r="B1961" s="2" t="s">
        <v>1173</v>
      </c>
      <c r="C1961" s="1">
        <v>45502</v>
      </c>
      <c r="D1961" s="2" t="s">
        <v>80</v>
      </c>
      <c r="E1961" s="2" t="s">
        <v>71</v>
      </c>
      <c r="F1961" s="2" t="s">
        <v>40</v>
      </c>
      <c r="G1961">
        <v>5</v>
      </c>
      <c r="H1961" s="2" t="s">
        <v>52</v>
      </c>
      <c r="I1961">
        <v>420.17</v>
      </c>
      <c r="J1961">
        <v>0</v>
      </c>
      <c r="K1961">
        <v>0</v>
      </c>
      <c r="L1961">
        <v>66.959999999999994</v>
      </c>
      <c r="M1961">
        <v>142.07</v>
      </c>
      <c r="N1961">
        <v>33.61</v>
      </c>
      <c r="O1961">
        <v>12.48</v>
      </c>
      <c r="P1961" s="2" t="s">
        <v>42</v>
      </c>
      <c r="Q1961">
        <v>0</v>
      </c>
      <c r="R1961">
        <v>420.17</v>
      </c>
      <c r="S1961">
        <v>255.12</v>
      </c>
      <c r="T1961">
        <v>165.05</v>
      </c>
      <c r="U1961">
        <f t="shared" si="30"/>
        <v>0</v>
      </c>
    </row>
    <row r="1962" spans="1:21" x14ac:dyDescent="0.25">
      <c r="A1962" s="2" t="s">
        <v>2750</v>
      </c>
      <c r="B1962" s="2" t="s">
        <v>1447</v>
      </c>
      <c r="C1962" s="1">
        <v>45899</v>
      </c>
      <c r="D1962" s="2" t="s">
        <v>59</v>
      </c>
      <c r="E1962" s="2" t="s">
        <v>67</v>
      </c>
      <c r="F1962" s="2" t="s">
        <v>85</v>
      </c>
      <c r="G1962">
        <v>2</v>
      </c>
      <c r="H1962" s="2" t="s">
        <v>48</v>
      </c>
      <c r="I1962">
        <v>40.56</v>
      </c>
      <c r="J1962">
        <v>10</v>
      </c>
      <c r="K1962">
        <v>4.0599999999999996</v>
      </c>
      <c r="L1962">
        <v>26.52</v>
      </c>
      <c r="M1962">
        <v>14.42</v>
      </c>
      <c r="N1962">
        <v>5.47</v>
      </c>
      <c r="O1962">
        <v>1.36</v>
      </c>
      <c r="P1962" s="2" t="s">
        <v>42</v>
      </c>
      <c r="Q1962">
        <v>0</v>
      </c>
      <c r="R1962">
        <v>36.5</v>
      </c>
      <c r="S1962">
        <v>47.77</v>
      </c>
      <c r="T1962">
        <v>-11.27</v>
      </c>
      <c r="U1962">
        <f t="shared" si="30"/>
        <v>0</v>
      </c>
    </row>
    <row r="1963" spans="1:21" x14ac:dyDescent="0.25">
      <c r="A1963" s="2" t="s">
        <v>2751</v>
      </c>
      <c r="B1963" s="2" t="s">
        <v>1331</v>
      </c>
      <c r="C1963" s="1">
        <v>45488</v>
      </c>
      <c r="D1963" s="2" t="s">
        <v>45</v>
      </c>
      <c r="E1963" s="2" t="s">
        <v>46</v>
      </c>
      <c r="F1963" s="2" t="s">
        <v>40</v>
      </c>
      <c r="G1963">
        <v>4</v>
      </c>
      <c r="H1963" s="2" t="s">
        <v>41</v>
      </c>
      <c r="I1963">
        <v>776.74</v>
      </c>
      <c r="J1963">
        <v>10</v>
      </c>
      <c r="K1963">
        <v>77.67</v>
      </c>
      <c r="L1963">
        <v>94.46</v>
      </c>
      <c r="M1963">
        <v>251.49</v>
      </c>
      <c r="N1963">
        <v>0</v>
      </c>
      <c r="O1963">
        <v>20.57</v>
      </c>
      <c r="P1963" s="2" t="s">
        <v>42</v>
      </c>
      <c r="Q1963">
        <v>0</v>
      </c>
      <c r="R1963">
        <v>699.07</v>
      </c>
      <c r="S1963">
        <v>366.52</v>
      </c>
      <c r="T1963">
        <v>332.55</v>
      </c>
      <c r="U1963">
        <f t="shared" si="30"/>
        <v>0</v>
      </c>
    </row>
    <row r="1964" spans="1:21" x14ac:dyDescent="0.25">
      <c r="A1964" s="2" t="s">
        <v>2752</v>
      </c>
      <c r="B1964" s="2" t="s">
        <v>2753</v>
      </c>
      <c r="C1964" s="1">
        <v>45978</v>
      </c>
      <c r="D1964" s="2" t="s">
        <v>45</v>
      </c>
      <c r="E1964" s="2" t="s">
        <v>46</v>
      </c>
      <c r="F1964" s="2" t="s">
        <v>85</v>
      </c>
      <c r="G1964">
        <v>1</v>
      </c>
      <c r="H1964" s="2" t="s">
        <v>52</v>
      </c>
      <c r="I1964">
        <v>45.27</v>
      </c>
      <c r="J1964">
        <v>10</v>
      </c>
      <c r="K1964">
        <v>4.53</v>
      </c>
      <c r="L1964">
        <v>12.78</v>
      </c>
      <c r="M1964">
        <v>23.99</v>
      </c>
      <c r="N1964">
        <v>0</v>
      </c>
      <c r="O1964">
        <v>1.48</v>
      </c>
      <c r="P1964" s="2" t="s">
        <v>42</v>
      </c>
      <c r="Q1964">
        <v>0</v>
      </c>
      <c r="R1964">
        <v>40.74</v>
      </c>
      <c r="S1964">
        <v>38.25</v>
      </c>
      <c r="T1964">
        <v>2.4900000000000002</v>
      </c>
      <c r="U1964">
        <f t="shared" si="30"/>
        <v>0</v>
      </c>
    </row>
    <row r="1965" spans="1:21" x14ac:dyDescent="0.25">
      <c r="A1965" s="2" t="s">
        <v>2754</v>
      </c>
      <c r="B1965" s="2" t="s">
        <v>683</v>
      </c>
      <c r="C1965" s="1">
        <v>45909</v>
      </c>
      <c r="D1965" s="2" t="s">
        <v>80</v>
      </c>
      <c r="E1965" s="2" t="s">
        <v>67</v>
      </c>
      <c r="F1965" s="2" t="s">
        <v>51</v>
      </c>
      <c r="G1965">
        <v>1</v>
      </c>
      <c r="H1965" s="2" t="s">
        <v>64</v>
      </c>
      <c r="I1965">
        <v>63.94</v>
      </c>
      <c r="J1965">
        <v>0</v>
      </c>
      <c r="K1965">
        <v>0</v>
      </c>
      <c r="L1965">
        <v>8.4600000000000009</v>
      </c>
      <c r="M1965">
        <v>20.51</v>
      </c>
      <c r="N1965">
        <v>5.12</v>
      </c>
      <c r="O1965">
        <v>2.15</v>
      </c>
      <c r="P1965" s="2" t="s">
        <v>68</v>
      </c>
      <c r="Q1965">
        <v>63.94</v>
      </c>
      <c r="R1965">
        <v>0</v>
      </c>
      <c r="S1965">
        <v>36.24</v>
      </c>
      <c r="T1965">
        <v>-36.24</v>
      </c>
      <c r="U1965">
        <f t="shared" si="30"/>
        <v>0</v>
      </c>
    </row>
    <row r="1966" spans="1:21" x14ac:dyDescent="0.25">
      <c r="A1966" s="2" t="s">
        <v>2755</v>
      </c>
      <c r="B1966" s="2" t="s">
        <v>2024</v>
      </c>
      <c r="C1966" s="1">
        <v>45722</v>
      </c>
      <c r="D1966" s="2" t="s">
        <v>45</v>
      </c>
      <c r="E1966" s="2" t="s">
        <v>67</v>
      </c>
      <c r="F1966" s="2" t="s">
        <v>51</v>
      </c>
      <c r="G1966">
        <v>3</v>
      </c>
      <c r="H1966" s="2" t="s">
        <v>111</v>
      </c>
      <c r="I1966">
        <v>336.13</v>
      </c>
      <c r="J1966">
        <v>0</v>
      </c>
      <c r="K1966">
        <v>0</v>
      </c>
      <c r="L1966">
        <v>46.46</v>
      </c>
      <c r="M1966">
        <v>202.14</v>
      </c>
      <c r="N1966">
        <v>0</v>
      </c>
      <c r="O1966">
        <v>10.050000000000001</v>
      </c>
      <c r="P1966" s="2" t="s">
        <v>68</v>
      </c>
      <c r="Q1966">
        <v>336.13</v>
      </c>
      <c r="R1966">
        <v>0</v>
      </c>
      <c r="S1966">
        <v>258.64999999999998</v>
      </c>
      <c r="T1966">
        <v>-258.64999999999998</v>
      </c>
      <c r="U1966">
        <f t="shared" si="30"/>
        <v>0</v>
      </c>
    </row>
    <row r="1967" spans="1:21" x14ac:dyDescent="0.25">
      <c r="A1967" s="2" t="s">
        <v>2756</v>
      </c>
      <c r="B1967" s="2" t="s">
        <v>1839</v>
      </c>
      <c r="C1967" s="1">
        <v>45537</v>
      </c>
      <c r="D1967" s="2" t="s">
        <v>38</v>
      </c>
      <c r="E1967" s="2" t="s">
        <v>67</v>
      </c>
      <c r="F1967" s="2" t="s">
        <v>40</v>
      </c>
      <c r="G1967">
        <v>2</v>
      </c>
      <c r="H1967" s="2" t="s">
        <v>41</v>
      </c>
      <c r="I1967">
        <v>61.33</v>
      </c>
      <c r="J1967">
        <v>0</v>
      </c>
      <c r="K1967">
        <v>0</v>
      </c>
      <c r="L1967">
        <v>21.56</v>
      </c>
      <c r="M1967">
        <v>28.35</v>
      </c>
      <c r="N1967">
        <v>0</v>
      </c>
      <c r="O1967">
        <v>2.08</v>
      </c>
      <c r="P1967" s="2" t="s">
        <v>42</v>
      </c>
      <c r="Q1967">
        <v>0</v>
      </c>
      <c r="R1967">
        <v>61.33</v>
      </c>
      <c r="S1967">
        <v>51.99</v>
      </c>
      <c r="T1967">
        <v>9.34</v>
      </c>
      <c r="U1967">
        <f t="shared" si="30"/>
        <v>1</v>
      </c>
    </row>
    <row r="1968" spans="1:21" x14ac:dyDescent="0.25">
      <c r="A1968" s="2" t="s">
        <v>2757</v>
      </c>
      <c r="B1968" s="2" t="s">
        <v>155</v>
      </c>
      <c r="C1968" s="1">
        <v>45853</v>
      </c>
      <c r="D1968" s="2" t="s">
        <v>45</v>
      </c>
      <c r="E1968" s="2" t="s">
        <v>67</v>
      </c>
      <c r="F1968" s="2" t="s">
        <v>85</v>
      </c>
      <c r="G1968">
        <v>1</v>
      </c>
      <c r="H1968" s="2" t="s">
        <v>52</v>
      </c>
      <c r="I1968">
        <v>52.54</v>
      </c>
      <c r="J1968">
        <v>15</v>
      </c>
      <c r="K1968">
        <v>7.88</v>
      </c>
      <c r="L1968">
        <v>5.82</v>
      </c>
      <c r="M1968">
        <v>30.58</v>
      </c>
      <c r="N1968">
        <v>0</v>
      </c>
      <c r="O1968">
        <v>1.6</v>
      </c>
      <c r="P1968" s="2" t="s">
        <v>42</v>
      </c>
      <c r="Q1968">
        <v>0</v>
      </c>
      <c r="R1968">
        <v>44.66</v>
      </c>
      <c r="S1968">
        <v>38</v>
      </c>
      <c r="T1968">
        <v>6.66</v>
      </c>
      <c r="U1968">
        <f t="shared" si="30"/>
        <v>1</v>
      </c>
    </row>
    <row r="1969" spans="1:21" x14ac:dyDescent="0.25">
      <c r="A1969" s="2" t="s">
        <v>2758</v>
      </c>
      <c r="B1969" s="2" t="s">
        <v>526</v>
      </c>
      <c r="C1969" s="1">
        <v>45532</v>
      </c>
      <c r="D1969" s="2" t="s">
        <v>38</v>
      </c>
      <c r="E1969" s="2" t="s">
        <v>71</v>
      </c>
      <c r="F1969" s="2" t="s">
        <v>85</v>
      </c>
      <c r="G1969">
        <v>1</v>
      </c>
      <c r="H1969" s="2" t="s">
        <v>77</v>
      </c>
      <c r="I1969">
        <v>9.77</v>
      </c>
      <c r="J1969">
        <v>10</v>
      </c>
      <c r="K1969">
        <v>0.98</v>
      </c>
      <c r="L1969">
        <v>11.74</v>
      </c>
      <c r="M1969">
        <v>4.49</v>
      </c>
      <c r="N1969">
        <v>0</v>
      </c>
      <c r="O1969">
        <v>0.55000000000000004</v>
      </c>
      <c r="P1969" s="2" t="s">
        <v>42</v>
      </c>
      <c r="Q1969">
        <v>0</v>
      </c>
      <c r="R1969">
        <v>8.7899999999999991</v>
      </c>
      <c r="S1969">
        <v>16.78</v>
      </c>
      <c r="T1969">
        <v>-7.99</v>
      </c>
      <c r="U1969">
        <f t="shared" si="30"/>
        <v>0</v>
      </c>
    </row>
    <row r="1970" spans="1:21" x14ac:dyDescent="0.25">
      <c r="A1970" s="2" t="s">
        <v>2759</v>
      </c>
      <c r="B1970" s="2" t="s">
        <v>1541</v>
      </c>
      <c r="C1970" s="1">
        <v>45441</v>
      </c>
      <c r="D1970" s="2" t="s">
        <v>45</v>
      </c>
      <c r="E1970" s="2" t="s">
        <v>46</v>
      </c>
      <c r="F1970" s="2" t="s">
        <v>51</v>
      </c>
      <c r="G1970">
        <v>3</v>
      </c>
      <c r="H1970" s="2" t="s">
        <v>56</v>
      </c>
      <c r="I1970">
        <v>70.650000000000006</v>
      </c>
      <c r="J1970">
        <v>5</v>
      </c>
      <c r="K1970">
        <v>3.53</v>
      </c>
      <c r="L1970">
        <v>29.54</v>
      </c>
      <c r="M1970">
        <v>29</v>
      </c>
      <c r="N1970">
        <v>0</v>
      </c>
      <c r="O1970">
        <v>2.25</v>
      </c>
      <c r="P1970" s="2" t="s">
        <v>42</v>
      </c>
      <c r="Q1970">
        <v>0</v>
      </c>
      <c r="R1970">
        <v>67.12</v>
      </c>
      <c r="S1970">
        <v>60.79</v>
      </c>
      <c r="T1970">
        <v>6.33</v>
      </c>
      <c r="U1970">
        <f t="shared" si="30"/>
        <v>0</v>
      </c>
    </row>
    <row r="1971" spans="1:21" x14ac:dyDescent="0.25">
      <c r="A1971" s="2" t="s">
        <v>2760</v>
      </c>
      <c r="B1971" s="2" t="s">
        <v>283</v>
      </c>
      <c r="C1971" s="1">
        <v>45847</v>
      </c>
      <c r="D1971" s="2" t="s">
        <v>38</v>
      </c>
      <c r="E1971" s="2" t="s">
        <v>71</v>
      </c>
      <c r="F1971" s="2" t="s">
        <v>51</v>
      </c>
      <c r="G1971">
        <v>1</v>
      </c>
      <c r="H1971" s="2" t="s">
        <v>48</v>
      </c>
      <c r="I1971">
        <v>11.82</v>
      </c>
      <c r="J1971">
        <v>10</v>
      </c>
      <c r="K1971">
        <v>1.18</v>
      </c>
      <c r="L1971">
        <v>11.9</v>
      </c>
      <c r="M1971">
        <v>5.81</v>
      </c>
      <c r="N1971">
        <v>0</v>
      </c>
      <c r="O1971">
        <v>0.61</v>
      </c>
      <c r="P1971" s="2" t="s">
        <v>42</v>
      </c>
      <c r="Q1971">
        <v>0</v>
      </c>
      <c r="R1971">
        <v>10.64</v>
      </c>
      <c r="S1971">
        <v>18.32</v>
      </c>
      <c r="T1971">
        <v>-7.68</v>
      </c>
      <c r="U1971">
        <f t="shared" si="30"/>
        <v>0</v>
      </c>
    </row>
    <row r="1972" spans="1:21" x14ac:dyDescent="0.25">
      <c r="A1972" s="2" t="s">
        <v>2761</v>
      </c>
      <c r="B1972" s="2" t="s">
        <v>322</v>
      </c>
      <c r="C1972" s="1">
        <v>45631</v>
      </c>
      <c r="D1972" s="2" t="s">
        <v>80</v>
      </c>
      <c r="E1972" s="2" t="s">
        <v>71</v>
      </c>
      <c r="F1972" s="2" t="s">
        <v>85</v>
      </c>
      <c r="G1972">
        <v>1</v>
      </c>
      <c r="H1972" s="2" t="s">
        <v>74</v>
      </c>
      <c r="I1972">
        <v>50.95</v>
      </c>
      <c r="J1972">
        <v>20</v>
      </c>
      <c r="K1972">
        <v>10.19</v>
      </c>
      <c r="L1972">
        <v>14.38</v>
      </c>
      <c r="M1972">
        <v>18.739999999999998</v>
      </c>
      <c r="N1972">
        <v>3.26</v>
      </c>
      <c r="O1972">
        <v>1.48</v>
      </c>
      <c r="P1972" s="2" t="s">
        <v>42</v>
      </c>
      <c r="Q1972">
        <v>0</v>
      </c>
      <c r="R1972">
        <v>40.76</v>
      </c>
      <c r="S1972">
        <v>37.86</v>
      </c>
      <c r="T1972">
        <v>2.9</v>
      </c>
      <c r="U1972">
        <f t="shared" si="30"/>
        <v>0</v>
      </c>
    </row>
    <row r="1973" spans="1:21" x14ac:dyDescent="0.25">
      <c r="A1973" s="2" t="s">
        <v>2762</v>
      </c>
      <c r="B1973" s="2" t="s">
        <v>916</v>
      </c>
      <c r="C1973" s="1">
        <v>45697</v>
      </c>
      <c r="D1973" s="2" t="s">
        <v>38</v>
      </c>
      <c r="E1973" s="2" t="s">
        <v>39</v>
      </c>
      <c r="F1973" s="2" t="s">
        <v>51</v>
      </c>
      <c r="G1973">
        <v>3</v>
      </c>
      <c r="H1973" s="2" t="s">
        <v>111</v>
      </c>
      <c r="I1973">
        <v>127.47</v>
      </c>
      <c r="J1973">
        <v>0</v>
      </c>
      <c r="K1973">
        <v>0</v>
      </c>
      <c r="L1973">
        <v>32.72</v>
      </c>
      <c r="M1973">
        <v>51.05</v>
      </c>
      <c r="N1973">
        <v>0</v>
      </c>
      <c r="O1973">
        <v>4</v>
      </c>
      <c r="P1973" s="2" t="s">
        <v>42</v>
      </c>
      <c r="Q1973">
        <v>0</v>
      </c>
      <c r="R1973">
        <v>127.47</v>
      </c>
      <c r="S1973">
        <v>87.77</v>
      </c>
      <c r="T1973">
        <v>39.700000000000003</v>
      </c>
      <c r="U1973">
        <f t="shared" si="30"/>
        <v>0</v>
      </c>
    </row>
    <row r="1974" spans="1:21" x14ac:dyDescent="0.25">
      <c r="A1974" s="2" t="s">
        <v>2763</v>
      </c>
      <c r="B1974" s="2" t="s">
        <v>1119</v>
      </c>
      <c r="C1974" s="1">
        <v>45652</v>
      </c>
      <c r="D1974" s="2" t="s">
        <v>80</v>
      </c>
      <c r="E1974" s="2" t="s">
        <v>55</v>
      </c>
      <c r="F1974" s="2" t="s">
        <v>51</v>
      </c>
      <c r="G1974">
        <v>2</v>
      </c>
      <c r="H1974" s="2" t="s">
        <v>52</v>
      </c>
      <c r="I1974">
        <v>240.64</v>
      </c>
      <c r="J1974">
        <v>15</v>
      </c>
      <c r="K1974">
        <v>36.1</v>
      </c>
      <c r="L1974">
        <v>17.14</v>
      </c>
      <c r="M1974">
        <v>87.75</v>
      </c>
      <c r="N1974">
        <v>16.36</v>
      </c>
      <c r="O1974">
        <v>6.23</v>
      </c>
      <c r="P1974" s="2" t="s">
        <v>68</v>
      </c>
      <c r="Q1974">
        <v>204.54</v>
      </c>
      <c r="R1974">
        <v>0</v>
      </c>
      <c r="S1974">
        <v>127.48</v>
      </c>
      <c r="T1974">
        <v>-127.48</v>
      </c>
      <c r="U1974">
        <f t="shared" si="30"/>
        <v>0</v>
      </c>
    </row>
    <row r="1975" spans="1:21" x14ac:dyDescent="0.25">
      <c r="A1975" s="2" t="s">
        <v>2764</v>
      </c>
      <c r="B1975" s="2" t="s">
        <v>1836</v>
      </c>
      <c r="C1975" s="1">
        <v>45986</v>
      </c>
      <c r="D1975" s="2" t="s">
        <v>59</v>
      </c>
      <c r="E1975" s="2" t="s">
        <v>55</v>
      </c>
      <c r="F1975" s="2" t="s">
        <v>51</v>
      </c>
      <c r="G1975">
        <v>5</v>
      </c>
      <c r="H1975" s="2" t="s">
        <v>48</v>
      </c>
      <c r="I1975">
        <v>419.08</v>
      </c>
      <c r="J1975">
        <v>10</v>
      </c>
      <c r="K1975">
        <v>41.91</v>
      </c>
      <c r="L1975">
        <v>67.06</v>
      </c>
      <c r="M1975">
        <v>141.41</v>
      </c>
      <c r="N1975">
        <v>56.58</v>
      </c>
      <c r="O1975">
        <v>11.24</v>
      </c>
      <c r="P1975" s="2" t="s">
        <v>42</v>
      </c>
      <c r="Q1975">
        <v>0</v>
      </c>
      <c r="R1975">
        <v>377.17</v>
      </c>
      <c r="S1975">
        <v>276.29000000000002</v>
      </c>
      <c r="T1975">
        <v>100.88</v>
      </c>
      <c r="U1975">
        <f t="shared" si="30"/>
        <v>0</v>
      </c>
    </row>
    <row r="1976" spans="1:21" x14ac:dyDescent="0.25">
      <c r="A1976" s="2" t="s">
        <v>2765</v>
      </c>
      <c r="B1976" s="2" t="s">
        <v>1167</v>
      </c>
      <c r="C1976" s="1">
        <v>45973</v>
      </c>
      <c r="D1976" s="2" t="s">
        <v>45</v>
      </c>
      <c r="E1976" s="2" t="s">
        <v>55</v>
      </c>
      <c r="F1976" s="2" t="s">
        <v>40</v>
      </c>
      <c r="G1976">
        <v>1</v>
      </c>
      <c r="H1976" s="2" t="s">
        <v>64</v>
      </c>
      <c r="I1976">
        <v>93.89</v>
      </c>
      <c r="J1976">
        <v>10</v>
      </c>
      <c r="K1976">
        <v>9.39</v>
      </c>
      <c r="L1976">
        <v>6.14</v>
      </c>
      <c r="M1976">
        <v>32.81</v>
      </c>
      <c r="N1976">
        <v>0</v>
      </c>
      <c r="O1976">
        <v>2.75</v>
      </c>
      <c r="P1976" s="2" t="s">
        <v>42</v>
      </c>
      <c r="Q1976">
        <v>0</v>
      </c>
      <c r="R1976">
        <v>84.5</v>
      </c>
      <c r="S1976">
        <v>41.7</v>
      </c>
      <c r="T1976">
        <v>42.8</v>
      </c>
      <c r="U1976">
        <f t="shared" si="30"/>
        <v>1</v>
      </c>
    </row>
    <row r="1977" spans="1:21" x14ac:dyDescent="0.25">
      <c r="A1977" s="2" t="s">
        <v>2766</v>
      </c>
      <c r="B1977" s="2" t="s">
        <v>836</v>
      </c>
      <c r="C1977" s="1">
        <v>45839</v>
      </c>
      <c r="D1977" s="2" t="s">
        <v>38</v>
      </c>
      <c r="E1977" s="2" t="s">
        <v>46</v>
      </c>
      <c r="F1977" s="2" t="s">
        <v>47</v>
      </c>
      <c r="G1977">
        <v>1</v>
      </c>
      <c r="H1977" s="2" t="s">
        <v>64</v>
      </c>
      <c r="I1977">
        <v>13.66</v>
      </c>
      <c r="J1977">
        <v>0</v>
      </c>
      <c r="K1977">
        <v>0</v>
      </c>
      <c r="L1977">
        <v>10.62</v>
      </c>
      <c r="M1977">
        <v>4.6900000000000004</v>
      </c>
      <c r="N1977">
        <v>0</v>
      </c>
      <c r="O1977">
        <v>0.7</v>
      </c>
      <c r="P1977" s="2" t="s">
        <v>42</v>
      </c>
      <c r="Q1977">
        <v>0</v>
      </c>
      <c r="R1977">
        <v>13.66</v>
      </c>
      <c r="S1977">
        <v>16.010000000000002</v>
      </c>
      <c r="T1977">
        <v>-2.35</v>
      </c>
      <c r="U1977">
        <f t="shared" si="30"/>
        <v>0</v>
      </c>
    </row>
    <row r="1978" spans="1:21" x14ac:dyDescent="0.25">
      <c r="A1978" s="2" t="s">
        <v>2767</v>
      </c>
      <c r="B1978" s="2" t="s">
        <v>2582</v>
      </c>
      <c r="C1978" s="1">
        <v>45855</v>
      </c>
      <c r="D1978" s="2" t="s">
        <v>38</v>
      </c>
      <c r="E1978" s="2" t="s">
        <v>46</v>
      </c>
      <c r="F1978" s="2" t="s">
        <v>47</v>
      </c>
      <c r="G1978">
        <v>1</v>
      </c>
      <c r="H1978" s="2" t="s">
        <v>52</v>
      </c>
      <c r="I1978">
        <v>69.12</v>
      </c>
      <c r="J1978">
        <v>20</v>
      </c>
      <c r="K1978">
        <v>13.82</v>
      </c>
      <c r="L1978">
        <v>9.1</v>
      </c>
      <c r="M1978">
        <v>20.88</v>
      </c>
      <c r="N1978">
        <v>0</v>
      </c>
      <c r="O1978">
        <v>1.9</v>
      </c>
      <c r="P1978" s="2" t="s">
        <v>42</v>
      </c>
      <c r="Q1978">
        <v>0</v>
      </c>
      <c r="R1978">
        <v>55.3</v>
      </c>
      <c r="S1978">
        <v>31.88</v>
      </c>
      <c r="T1978">
        <v>23.42</v>
      </c>
      <c r="U1978">
        <f t="shared" si="30"/>
        <v>0</v>
      </c>
    </row>
    <row r="1979" spans="1:21" x14ac:dyDescent="0.25">
      <c r="A1979" s="2" t="s">
        <v>2768</v>
      </c>
      <c r="B1979" s="2" t="s">
        <v>209</v>
      </c>
      <c r="C1979" s="1">
        <v>45464</v>
      </c>
      <c r="D1979" s="2" t="s">
        <v>45</v>
      </c>
      <c r="E1979" s="2" t="s">
        <v>71</v>
      </c>
      <c r="F1979" s="2" t="s">
        <v>94</v>
      </c>
      <c r="G1979">
        <v>2</v>
      </c>
      <c r="H1979" s="2" t="s">
        <v>77</v>
      </c>
      <c r="I1979">
        <v>94.67</v>
      </c>
      <c r="J1979">
        <v>5</v>
      </c>
      <c r="K1979">
        <v>4.7300000000000004</v>
      </c>
      <c r="L1979">
        <v>29.46</v>
      </c>
      <c r="M1979">
        <v>37.97</v>
      </c>
      <c r="N1979">
        <v>0</v>
      </c>
      <c r="O1979">
        <v>2.91</v>
      </c>
      <c r="P1979" s="2" t="s">
        <v>42</v>
      </c>
      <c r="Q1979">
        <v>0</v>
      </c>
      <c r="R1979">
        <v>89.94</v>
      </c>
      <c r="S1979">
        <v>70.34</v>
      </c>
      <c r="T1979">
        <v>19.600000000000001</v>
      </c>
      <c r="U1979">
        <f t="shared" si="30"/>
        <v>0</v>
      </c>
    </row>
    <row r="1980" spans="1:21" x14ac:dyDescent="0.25">
      <c r="A1980" s="2" t="s">
        <v>2769</v>
      </c>
      <c r="B1980" s="2" t="s">
        <v>336</v>
      </c>
      <c r="C1980" s="1">
        <v>45753</v>
      </c>
      <c r="D1980" s="2" t="s">
        <v>45</v>
      </c>
      <c r="E1980" s="2" t="s">
        <v>46</v>
      </c>
      <c r="F1980" s="2" t="s">
        <v>85</v>
      </c>
      <c r="G1980">
        <v>1</v>
      </c>
      <c r="H1980" s="2" t="s">
        <v>74</v>
      </c>
      <c r="I1980">
        <v>32.04</v>
      </c>
      <c r="J1980">
        <v>10</v>
      </c>
      <c r="K1980">
        <v>3.2</v>
      </c>
      <c r="L1980">
        <v>14.22</v>
      </c>
      <c r="M1980">
        <v>19.989999999999998</v>
      </c>
      <c r="N1980">
        <v>0</v>
      </c>
      <c r="O1980">
        <v>1.1399999999999999</v>
      </c>
      <c r="P1980" s="2" t="s">
        <v>42</v>
      </c>
      <c r="Q1980">
        <v>0</v>
      </c>
      <c r="R1980">
        <v>28.84</v>
      </c>
      <c r="S1980">
        <v>35.35</v>
      </c>
      <c r="T1980">
        <v>-6.51</v>
      </c>
      <c r="U1980">
        <f t="shared" si="30"/>
        <v>0</v>
      </c>
    </row>
    <row r="1981" spans="1:21" x14ac:dyDescent="0.25">
      <c r="A1981" s="2" t="s">
        <v>2770</v>
      </c>
      <c r="B1981" s="2" t="s">
        <v>392</v>
      </c>
      <c r="C1981" s="1">
        <v>45658</v>
      </c>
      <c r="D1981" s="2" t="s">
        <v>59</v>
      </c>
      <c r="E1981" s="2" t="s">
        <v>39</v>
      </c>
      <c r="F1981" s="2" t="s">
        <v>47</v>
      </c>
      <c r="G1981">
        <v>2</v>
      </c>
      <c r="H1981" s="2" t="s">
        <v>64</v>
      </c>
      <c r="I1981">
        <v>110.74</v>
      </c>
      <c r="J1981">
        <v>0</v>
      </c>
      <c r="K1981">
        <v>0</v>
      </c>
      <c r="L1981">
        <v>37.979999999999997</v>
      </c>
      <c r="M1981">
        <v>35.03</v>
      </c>
      <c r="N1981">
        <v>16.61</v>
      </c>
      <c r="O1981">
        <v>3.51</v>
      </c>
      <c r="P1981" s="2" t="s">
        <v>42</v>
      </c>
      <c r="Q1981">
        <v>0</v>
      </c>
      <c r="R1981">
        <v>110.74</v>
      </c>
      <c r="S1981">
        <v>93.13</v>
      </c>
      <c r="T1981">
        <v>17.61</v>
      </c>
      <c r="U1981">
        <f t="shared" si="30"/>
        <v>0</v>
      </c>
    </row>
    <row r="1982" spans="1:21" x14ac:dyDescent="0.25">
      <c r="A1982" s="2" t="s">
        <v>2771</v>
      </c>
      <c r="B1982" s="2" t="s">
        <v>2772</v>
      </c>
      <c r="C1982" s="1">
        <v>45571</v>
      </c>
      <c r="D1982" s="2" t="s">
        <v>80</v>
      </c>
      <c r="E1982" s="2" t="s">
        <v>46</v>
      </c>
      <c r="F1982" s="2" t="s">
        <v>94</v>
      </c>
      <c r="G1982">
        <v>1</v>
      </c>
      <c r="H1982" s="2" t="s">
        <v>64</v>
      </c>
      <c r="I1982">
        <v>7.77</v>
      </c>
      <c r="J1982">
        <v>0</v>
      </c>
      <c r="K1982">
        <v>0</v>
      </c>
      <c r="L1982">
        <v>4.7</v>
      </c>
      <c r="M1982">
        <v>4.58</v>
      </c>
      <c r="N1982">
        <v>0.62</v>
      </c>
      <c r="O1982">
        <v>0.53</v>
      </c>
      <c r="P1982" s="2" t="s">
        <v>68</v>
      </c>
      <c r="Q1982">
        <v>7.77</v>
      </c>
      <c r="R1982">
        <v>0</v>
      </c>
      <c r="S1982">
        <v>10.43</v>
      </c>
      <c r="T1982">
        <v>-10.43</v>
      </c>
      <c r="U1982">
        <f t="shared" si="30"/>
        <v>0</v>
      </c>
    </row>
    <row r="1983" spans="1:21" x14ac:dyDescent="0.25">
      <c r="A1983" s="2" t="s">
        <v>2773</v>
      </c>
      <c r="B1983" s="2" t="s">
        <v>1412</v>
      </c>
      <c r="C1983" s="1">
        <v>45796</v>
      </c>
      <c r="D1983" s="2" t="s">
        <v>45</v>
      </c>
      <c r="E1983" s="2" t="s">
        <v>71</v>
      </c>
      <c r="F1983" s="2" t="s">
        <v>40</v>
      </c>
      <c r="G1983">
        <v>1</v>
      </c>
      <c r="H1983" s="2" t="s">
        <v>64</v>
      </c>
      <c r="I1983">
        <v>62.28</v>
      </c>
      <c r="J1983">
        <v>10</v>
      </c>
      <c r="K1983">
        <v>6.23</v>
      </c>
      <c r="L1983">
        <v>10.54</v>
      </c>
      <c r="M1983">
        <v>23.32</v>
      </c>
      <c r="N1983">
        <v>0</v>
      </c>
      <c r="O1983">
        <v>1.93</v>
      </c>
      <c r="P1983" s="2" t="s">
        <v>42</v>
      </c>
      <c r="Q1983">
        <v>0</v>
      </c>
      <c r="R1983">
        <v>56.05</v>
      </c>
      <c r="S1983">
        <v>35.79</v>
      </c>
      <c r="T1983">
        <v>20.260000000000002</v>
      </c>
      <c r="U1983">
        <f t="shared" si="30"/>
        <v>0</v>
      </c>
    </row>
    <row r="1984" spans="1:21" x14ac:dyDescent="0.25">
      <c r="A1984" s="2" t="s">
        <v>2774</v>
      </c>
      <c r="B1984" s="2" t="s">
        <v>1372</v>
      </c>
      <c r="C1984" s="1">
        <v>45629</v>
      </c>
      <c r="D1984" s="2" t="s">
        <v>59</v>
      </c>
      <c r="E1984" s="2" t="s">
        <v>71</v>
      </c>
      <c r="F1984" s="2" t="s">
        <v>51</v>
      </c>
      <c r="G1984">
        <v>3</v>
      </c>
      <c r="H1984" s="2" t="s">
        <v>48</v>
      </c>
      <c r="I1984">
        <v>245.52</v>
      </c>
      <c r="J1984">
        <v>5</v>
      </c>
      <c r="K1984">
        <v>12.28</v>
      </c>
      <c r="L1984">
        <v>44.82</v>
      </c>
      <c r="M1984">
        <v>96.89</v>
      </c>
      <c r="N1984">
        <v>34.99</v>
      </c>
      <c r="O1984">
        <v>7.06</v>
      </c>
      <c r="P1984" s="2" t="s">
        <v>42</v>
      </c>
      <c r="Q1984">
        <v>0</v>
      </c>
      <c r="R1984">
        <v>233.24</v>
      </c>
      <c r="S1984">
        <v>183.76</v>
      </c>
      <c r="T1984">
        <v>49.48</v>
      </c>
      <c r="U1984">
        <f t="shared" si="30"/>
        <v>1</v>
      </c>
    </row>
    <row r="1985" spans="1:21" x14ac:dyDescent="0.25">
      <c r="A1985" s="2" t="s">
        <v>2775</v>
      </c>
      <c r="B1985" s="2" t="s">
        <v>2322</v>
      </c>
      <c r="C1985" s="1">
        <v>45494</v>
      </c>
      <c r="D1985" s="2" t="s">
        <v>45</v>
      </c>
      <c r="E1985" s="2" t="s">
        <v>46</v>
      </c>
      <c r="F1985" s="2" t="s">
        <v>51</v>
      </c>
      <c r="G1985">
        <v>2</v>
      </c>
      <c r="H1985" s="2" t="s">
        <v>64</v>
      </c>
      <c r="I1985">
        <v>119.58</v>
      </c>
      <c r="J1985">
        <v>0</v>
      </c>
      <c r="K1985">
        <v>0</v>
      </c>
      <c r="L1985">
        <v>35.46</v>
      </c>
      <c r="M1985">
        <v>55.23</v>
      </c>
      <c r="N1985">
        <v>0</v>
      </c>
      <c r="O1985">
        <v>3.77</v>
      </c>
      <c r="P1985" s="2" t="s">
        <v>42</v>
      </c>
      <c r="Q1985">
        <v>0</v>
      </c>
      <c r="R1985">
        <v>119.58</v>
      </c>
      <c r="S1985">
        <v>94.46</v>
      </c>
      <c r="T1985">
        <v>25.12</v>
      </c>
      <c r="U1985">
        <f t="shared" si="30"/>
        <v>0</v>
      </c>
    </row>
    <row r="1986" spans="1:21" x14ac:dyDescent="0.25">
      <c r="A1986" s="2" t="s">
        <v>2776</v>
      </c>
      <c r="B1986" s="2" t="s">
        <v>1490</v>
      </c>
      <c r="C1986" s="1">
        <v>45794</v>
      </c>
      <c r="D1986" s="2" t="s">
        <v>38</v>
      </c>
      <c r="E1986" s="2" t="s">
        <v>46</v>
      </c>
      <c r="F1986" s="2" t="s">
        <v>94</v>
      </c>
      <c r="G1986">
        <v>1</v>
      </c>
      <c r="H1986" s="2" t="s">
        <v>111</v>
      </c>
      <c r="I1986">
        <v>83.78</v>
      </c>
      <c r="J1986">
        <v>0</v>
      </c>
      <c r="K1986">
        <v>0</v>
      </c>
      <c r="L1986">
        <v>14.22</v>
      </c>
      <c r="M1986">
        <v>25.22</v>
      </c>
      <c r="N1986">
        <v>0</v>
      </c>
      <c r="O1986">
        <v>2.73</v>
      </c>
      <c r="P1986" s="2" t="s">
        <v>42</v>
      </c>
      <c r="Q1986">
        <v>0</v>
      </c>
      <c r="R1986">
        <v>83.78</v>
      </c>
      <c r="S1986">
        <v>42.17</v>
      </c>
      <c r="T1986">
        <v>41.61</v>
      </c>
      <c r="U1986">
        <f t="shared" si="30"/>
        <v>0</v>
      </c>
    </row>
    <row r="1987" spans="1:21" x14ac:dyDescent="0.25">
      <c r="A1987" s="2" t="s">
        <v>2777</v>
      </c>
      <c r="B1987" s="2" t="s">
        <v>2753</v>
      </c>
      <c r="C1987" s="1">
        <v>45872</v>
      </c>
      <c r="D1987" s="2" t="s">
        <v>38</v>
      </c>
      <c r="E1987" s="2" t="s">
        <v>67</v>
      </c>
      <c r="F1987" s="2" t="s">
        <v>85</v>
      </c>
      <c r="G1987">
        <v>3</v>
      </c>
      <c r="H1987" s="2" t="s">
        <v>77</v>
      </c>
      <c r="I1987">
        <v>141.74</v>
      </c>
      <c r="J1987">
        <v>10</v>
      </c>
      <c r="K1987">
        <v>14.17</v>
      </c>
      <c r="L1987">
        <v>42.48</v>
      </c>
      <c r="M1987">
        <v>76.83</v>
      </c>
      <c r="N1987">
        <v>0</v>
      </c>
      <c r="O1987">
        <v>4</v>
      </c>
      <c r="P1987" s="2" t="s">
        <v>42</v>
      </c>
      <c r="Q1987">
        <v>0</v>
      </c>
      <c r="R1987">
        <v>127.57</v>
      </c>
      <c r="S1987">
        <v>123.31</v>
      </c>
      <c r="T1987">
        <v>4.26</v>
      </c>
      <c r="U1987">
        <f t="shared" si="30"/>
        <v>0</v>
      </c>
    </row>
    <row r="1988" spans="1:21" x14ac:dyDescent="0.25">
      <c r="A1988" s="2" t="s">
        <v>2778</v>
      </c>
      <c r="B1988" s="2" t="s">
        <v>2779</v>
      </c>
      <c r="C1988" s="1">
        <v>45900</v>
      </c>
      <c r="D1988" s="2" t="s">
        <v>38</v>
      </c>
      <c r="E1988" s="2" t="s">
        <v>46</v>
      </c>
      <c r="F1988" s="2" t="s">
        <v>85</v>
      </c>
      <c r="G1988">
        <v>1</v>
      </c>
      <c r="H1988" s="2" t="s">
        <v>56</v>
      </c>
      <c r="I1988">
        <v>48.46</v>
      </c>
      <c r="J1988">
        <v>0</v>
      </c>
      <c r="K1988">
        <v>0</v>
      </c>
      <c r="L1988">
        <v>13.4</v>
      </c>
      <c r="M1988">
        <v>25.94</v>
      </c>
      <c r="N1988">
        <v>0</v>
      </c>
      <c r="O1988">
        <v>1.71</v>
      </c>
      <c r="P1988" s="2" t="s">
        <v>68</v>
      </c>
      <c r="Q1988">
        <v>48.46</v>
      </c>
      <c r="R1988">
        <v>0</v>
      </c>
      <c r="S1988">
        <v>41.05</v>
      </c>
      <c r="T1988">
        <v>-41.05</v>
      </c>
      <c r="U1988">
        <f t="shared" si="30"/>
        <v>0</v>
      </c>
    </row>
    <row r="1989" spans="1:21" x14ac:dyDescent="0.25">
      <c r="A1989" s="2" t="s">
        <v>2780</v>
      </c>
      <c r="B1989" s="2" t="s">
        <v>394</v>
      </c>
      <c r="C1989" s="1">
        <v>45756</v>
      </c>
      <c r="D1989" s="2" t="s">
        <v>38</v>
      </c>
      <c r="E1989" s="2" t="s">
        <v>71</v>
      </c>
      <c r="F1989" s="2" t="s">
        <v>85</v>
      </c>
      <c r="G1989">
        <v>1</v>
      </c>
      <c r="H1989" s="2" t="s">
        <v>56</v>
      </c>
      <c r="I1989">
        <v>77.62</v>
      </c>
      <c r="J1989">
        <v>10</v>
      </c>
      <c r="K1989">
        <v>7.76</v>
      </c>
      <c r="L1989">
        <v>22.84</v>
      </c>
      <c r="M1989">
        <v>33.1</v>
      </c>
      <c r="N1989">
        <v>0</v>
      </c>
      <c r="O1989">
        <v>2.33</v>
      </c>
      <c r="P1989" s="2" t="s">
        <v>42</v>
      </c>
      <c r="Q1989">
        <v>0</v>
      </c>
      <c r="R1989">
        <v>69.86</v>
      </c>
      <c r="S1989">
        <v>58.27</v>
      </c>
      <c r="T1989">
        <v>11.59</v>
      </c>
      <c r="U1989">
        <f t="shared" ref="U1989:U2003" si="31">IF(P1987="Yes", 1, 0)</f>
        <v>0</v>
      </c>
    </row>
    <row r="1990" spans="1:21" x14ac:dyDescent="0.25">
      <c r="A1990" s="2" t="s">
        <v>2781</v>
      </c>
      <c r="B1990" s="2" t="s">
        <v>301</v>
      </c>
      <c r="C1990" s="1">
        <v>45342</v>
      </c>
      <c r="D1990" s="2" t="s">
        <v>45</v>
      </c>
      <c r="E1990" s="2" t="s">
        <v>71</v>
      </c>
      <c r="F1990" s="2" t="s">
        <v>85</v>
      </c>
      <c r="G1990">
        <v>2</v>
      </c>
      <c r="H1990" s="2" t="s">
        <v>77</v>
      </c>
      <c r="I1990">
        <v>187.72</v>
      </c>
      <c r="J1990">
        <v>10</v>
      </c>
      <c r="K1990">
        <v>18.77</v>
      </c>
      <c r="L1990">
        <v>34.42</v>
      </c>
      <c r="M1990">
        <v>57.52</v>
      </c>
      <c r="N1990">
        <v>0</v>
      </c>
      <c r="O1990">
        <v>5.2</v>
      </c>
      <c r="P1990" s="2" t="s">
        <v>42</v>
      </c>
      <c r="Q1990">
        <v>0</v>
      </c>
      <c r="R1990">
        <v>168.95</v>
      </c>
      <c r="S1990">
        <v>97.14</v>
      </c>
      <c r="T1990">
        <v>71.81</v>
      </c>
      <c r="U1990">
        <f t="shared" si="31"/>
        <v>1</v>
      </c>
    </row>
    <row r="1991" spans="1:21" x14ac:dyDescent="0.25">
      <c r="A1991" s="2" t="s">
        <v>2782</v>
      </c>
      <c r="B1991" s="2" t="s">
        <v>1211</v>
      </c>
      <c r="C1991" s="1">
        <v>45785</v>
      </c>
      <c r="D1991" s="2" t="s">
        <v>38</v>
      </c>
      <c r="E1991" s="2" t="s">
        <v>46</v>
      </c>
      <c r="F1991" s="2" t="s">
        <v>40</v>
      </c>
      <c r="G1991">
        <v>1</v>
      </c>
      <c r="H1991" s="2" t="s">
        <v>48</v>
      </c>
      <c r="I1991">
        <v>116.46</v>
      </c>
      <c r="J1991">
        <v>10</v>
      </c>
      <c r="K1991">
        <v>11.65</v>
      </c>
      <c r="L1991">
        <v>26.84</v>
      </c>
      <c r="M1991">
        <v>44.84</v>
      </c>
      <c r="N1991">
        <v>0</v>
      </c>
      <c r="O1991">
        <v>3.34</v>
      </c>
      <c r="P1991" s="2" t="s">
        <v>68</v>
      </c>
      <c r="Q1991">
        <v>104.81</v>
      </c>
      <c r="R1991">
        <v>0</v>
      </c>
      <c r="S1991">
        <v>75.02</v>
      </c>
      <c r="T1991">
        <v>-75.02</v>
      </c>
      <c r="U1991">
        <f t="shared" si="31"/>
        <v>0</v>
      </c>
    </row>
    <row r="1992" spans="1:21" x14ac:dyDescent="0.25">
      <c r="A1992" s="2" t="s">
        <v>2783</v>
      </c>
      <c r="B1992" s="2" t="s">
        <v>547</v>
      </c>
      <c r="C1992" s="1">
        <v>45689</v>
      </c>
      <c r="D1992" s="2" t="s">
        <v>38</v>
      </c>
      <c r="E1992" s="2" t="s">
        <v>46</v>
      </c>
      <c r="F1992" s="2" t="s">
        <v>94</v>
      </c>
      <c r="G1992">
        <v>2</v>
      </c>
      <c r="H1992" s="2" t="s">
        <v>56</v>
      </c>
      <c r="I1992">
        <v>176.77</v>
      </c>
      <c r="J1992">
        <v>0</v>
      </c>
      <c r="K1992">
        <v>0</v>
      </c>
      <c r="L1992">
        <v>40.5</v>
      </c>
      <c r="M1992">
        <v>67.33</v>
      </c>
      <c r="N1992">
        <v>0</v>
      </c>
      <c r="O1992">
        <v>5.43</v>
      </c>
      <c r="P1992" s="2" t="s">
        <v>42</v>
      </c>
      <c r="Q1992">
        <v>0</v>
      </c>
      <c r="R1992">
        <v>176.77</v>
      </c>
      <c r="S1992">
        <v>113.26</v>
      </c>
      <c r="T1992">
        <v>63.51</v>
      </c>
      <c r="U1992">
        <f t="shared" si="31"/>
        <v>0</v>
      </c>
    </row>
    <row r="1993" spans="1:21" x14ac:dyDescent="0.25">
      <c r="A1993" s="2" t="s">
        <v>2784</v>
      </c>
      <c r="B1993" s="2" t="s">
        <v>688</v>
      </c>
      <c r="C1993" s="1">
        <v>45489</v>
      </c>
      <c r="D1993" s="2" t="s">
        <v>80</v>
      </c>
      <c r="E1993" s="2" t="s">
        <v>67</v>
      </c>
      <c r="F1993" s="2" t="s">
        <v>51</v>
      </c>
      <c r="G1993">
        <v>1</v>
      </c>
      <c r="H1993" s="2" t="s">
        <v>74</v>
      </c>
      <c r="I1993">
        <v>111.64</v>
      </c>
      <c r="J1993">
        <v>0</v>
      </c>
      <c r="K1993">
        <v>0</v>
      </c>
      <c r="L1993">
        <v>14.22</v>
      </c>
      <c r="M1993">
        <v>37.840000000000003</v>
      </c>
      <c r="N1993">
        <v>8.93</v>
      </c>
      <c r="O1993">
        <v>3.54</v>
      </c>
      <c r="P1993" s="2" t="s">
        <v>68</v>
      </c>
      <c r="Q1993">
        <v>111.64</v>
      </c>
      <c r="R1993">
        <v>0</v>
      </c>
      <c r="S1993">
        <v>64.53</v>
      </c>
      <c r="T1993">
        <v>-64.53</v>
      </c>
      <c r="U1993">
        <f t="shared" si="31"/>
        <v>1</v>
      </c>
    </row>
    <row r="1994" spans="1:21" x14ac:dyDescent="0.25">
      <c r="A1994" s="2" t="s">
        <v>2785</v>
      </c>
      <c r="B1994" s="2" t="s">
        <v>1742</v>
      </c>
      <c r="C1994" s="1">
        <v>45894</v>
      </c>
      <c r="D1994" s="2" t="s">
        <v>45</v>
      </c>
      <c r="E1994" s="2" t="s">
        <v>39</v>
      </c>
      <c r="F1994" s="2" t="s">
        <v>51</v>
      </c>
      <c r="G1994">
        <v>1</v>
      </c>
      <c r="H1994" s="2" t="s">
        <v>64</v>
      </c>
      <c r="I1994">
        <v>90.19</v>
      </c>
      <c r="J1994">
        <v>5</v>
      </c>
      <c r="K1994">
        <v>4.51</v>
      </c>
      <c r="L1994">
        <v>13.42</v>
      </c>
      <c r="M1994">
        <v>33.04</v>
      </c>
      <c r="N1994">
        <v>0</v>
      </c>
      <c r="O1994">
        <v>2.78</v>
      </c>
      <c r="P1994" s="2" t="s">
        <v>42</v>
      </c>
      <c r="Q1994">
        <v>0</v>
      </c>
      <c r="R1994">
        <v>85.68</v>
      </c>
      <c r="S1994">
        <v>49.24</v>
      </c>
      <c r="T1994">
        <v>36.44</v>
      </c>
      <c r="U1994">
        <f t="shared" si="31"/>
        <v>0</v>
      </c>
    </row>
    <row r="1995" spans="1:21" x14ac:dyDescent="0.25">
      <c r="A1995" s="2" t="s">
        <v>2786</v>
      </c>
      <c r="B1995" s="2" t="s">
        <v>455</v>
      </c>
      <c r="C1995" s="1">
        <v>45636</v>
      </c>
      <c r="D1995" s="2" t="s">
        <v>45</v>
      </c>
      <c r="E1995" s="2" t="s">
        <v>46</v>
      </c>
      <c r="F1995" s="2" t="s">
        <v>47</v>
      </c>
      <c r="G1995">
        <v>4</v>
      </c>
      <c r="H1995" s="2" t="s">
        <v>64</v>
      </c>
      <c r="I1995">
        <v>368.42</v>
      </c>
      <c r="J1995">
        <v>15</v>
      </c>
      <c r="K1995">
        <v>55.26</v>
      </c>
      <c r="L1995">
        <v>37.119999999999997</v>
      </c>
      <c r="M1995">
        <v>121.25</v>
      </c>
      <c r="N1995">
        <v>0</v>
      </c>
      <c r="O1995">
        <v>9.3800000000000008</v>
      </c>
      <c r="P1995" s="2" t="s">
        <v>42</v>
      </c>
      <c r="Q1995">
        <v>0</v>
      </c>
      <c r="R1995">
        <v>313.16000000000003</v>
      </c>
      <c r="S1995">
        <v>167.75</v>
      </c>
      <c r="T1995">
        <v>145.41</v>
      </c>
      <c r="U1995">
        <f t="shared" si="31"/>
        <v>1</v>
      </c>
    </row>
    <row r="1996" spans="1:21" x14ac:dyDescent="0.25">
      <c r="A1996" s="2" t="s">
        <v>2787</v>
      </c>
      <c r="B1996" s="2" t="s">
        <v>1690</v>
      </c>
      <c r="C1996" s="1">
        <v>45693</v>
      </c>
      <c r="D1996" s="2" t="s">
        <v>38</v>
      </c>
      <c r="E1996" s="2" t="s">
        <v>46</v>
      </c>
      <c r="F1996" s="2" t="s">
        <v>51</v>
      </c>
      <c r="G1996">
        <v>1</v>
      </c>
      <c r="H1996" s="2" t="s">
        <v>77</v>
      </c>
      <c r="I1996">
        <v>26.5</v>
      </c>
      <c r="J1996">
        <v>15</v>
      </c>
      <c r="K1996">
        <v>3.98</v>
      </c>
      <c r="L1996">
        <v>5.5</v>
      </c>
      <c r="M1996">
        <v>8.06</v>
      </c>
      <c r="N1996">
        <v>0</v>
      </c>
      <c r="O1996">
        <v>0.95</v>
      </c>
      <c r="P1996" s="2" t="s">
        <v>42</v>
      </c>
      <c r="Q1996">
        <v>0</v>
      </c>
      <c r="R1996">
        <v>22.52</v>
      </c>
      <c r="S1996">
        <v>14.51</v>
      </c>
      <c r="T1996">
        <v>8.01</v>
      </c>
      <c r="U1996">
        <f t="shared" si="31"/>
        <v>0</v>
      </c>
    </row>
    <row r="1997" spans="1:21" x14ac:dyDescent="0.25">
      <c r="A1997" s="2" t="s">
        <v>2788</v>
      </c>
      <c r="B1997" s="2" t="s">
        <v>1721</v>
      </c>
      <c r="C1997" s="1">
        <v>45906</v>
      </c>
      <c r="D1997" s="2" t="s">
        <v>38</v>
      </c>
      <c r="E1997" s="2" t="s">
        <v>55</v>
      </c>
      <c r="F1997" s="2" t="s">
        <v>47</v>
      </c>
      <c r="G1997">
        <v>2</v>
      </c>
      <c r="H1997" s="2" t="s">
        <v>41</v>
      </c>
      <c r="I1997">
        <v>178.22</v>
      </c>
      <c r="J1997">
        <v>0</v>
      </c>
      <c r="K1997">
        <v>0</v>
      </c>
      <c r="L1997">
        <v>51.04</v>
      </c>
      <c r="M1997">
        <v>80.510000000000005</v>
      </c>
      <c r="N1997">
        <v>0</v>
      </c>
      <c r="O1997">
        <v>5.47</v>
      </c>
      <c r="P1997" s="2" t="s">
        <v>42</v>
      </c>
      <c r="Q1997">
        <v>0</v>
      </c>
      <c r="R1997">
        <v>178.22</v>
      </c>
      <c r="S1997">
        <v>137.02000000000001</v>
      </c>
      <c r="T1997">
        <v>41.2</v>
      </c>
      <c r="U1997">
        <f t="shared" si="31"/>
        <v>0</v>
      </c>
    </row>
    <row r="1998" spans="1:21" x14ac:dyDescent="0.25">
      <c r="A1998" s="2" t="s">
        <v>2789</v>
      </c>
      <c r="B1998" s="2" t="s">
        <v>2790</v>
      </c>
      <c r="C1998" s="1">
        <v>45835</v>
      </c>
      <c r="D1998" s="2" t="s">
        <v>38</v>
      </c>
      <c r="E1998" s="2" t="s">
        <v>67</v>
      </c>
      <c r="F1998" s="2" t="s">
        <v>47</v>
      </c>
      <c r="G1998">
        <v>3</v>
      </c>
      <c r="H1998" s="2" t="s">
        <v>48</v>
      </c>
      <c r="I1998">
        <v>201.02</v>
      </c>
      <c r="J1998">
        <v>0</v>
      </c>
      <c r="K1998">
        <v>0</v>
      </c>
      <c r="L1998">
        <v>42.54</v>
      </c>
      <c r="M1998">
        <v>75.39</v>
      </c>
      <c r="N1998">
        <v>0</v>
      </c>
      <c r="O1998">
        <v>6.13</v>
      </c>
      <c r="P1998" s="2" t="s">
        <v>42</v>
      </c>
      <c r="Q1998">
        <v>0</v>
      </c>
      <c r="R1998">
        <v>201.02</v>
      </c>
      <c r="S1998">
        <v>124.06</v>
      </c>
      <c r="T1998">
        <v>76.959999999999994</v>
      </c>
      <c r="U1998">
        <f t="shared" si="31"/>
        <v>0</v>
      </c>
    </row>
    <row r="1999" spans="1:21" x14ac:dyDescent="0.25">
      <c r="A1999" s="2" t="s">
        <v>2791</v>
      </c>
      <c r="B1999" s="2" t="s">
        <v>1211</v>
      </c>
      <c r="C1999" s="1">
        <v>45677</v>
      </c>
      <c r="D1999" s="2" t="s">
        <v>59</v>
      </c>
      <c r="E1999" s="2" t="s">
        <v>46</v>
      </c>
      <c r="F1999" s="2" t="s">
        <v>51</v>
      </c>
      <c r="G1999">
        <v>1</v>
      </c>
      <c r="H1999" s="2" t="s">
        <v>48</v>
      </c>
      <c r="I1999">
        <v>35.409999999999997</v>
      </c>
      <c r="J1999">
        <v>0</v>
      </c>
      <c r="K1999">
        <v>0</v>
      </c>
      <c r="L1999">
        <v>12.14</v>
      </c>
      <c r="M1999">
        <v>18.89</v>
      </c>
      <c r="N1999">
        <v>5.31</v>
      </c>
      <c r="O1999">
        <v>1.33</v>
      </c>
      <c r="P1999" s="2" t="s">
        <v>68</v>
      </c>
      <c r="Q1999">
        <v>35.409999999999997</v>
      </c>
      <c r="R1999">
        <v>0</v>
      </c>
      <c r="S1999">
        <v>37.67</v>
      </c>
      <c r="T1999">
        <v>-37.67</v>
      </c>
      <c r="U1999">
        <f t="shared" si="31"/>
        <v>0</v>
      </c>
    </row>
    <row r="2000" spans="1:21" x14ac:dyDescent="0.25">
      <c r="A2000" s="2" t="s">
        <v>2792</v>
      </c>
      <c r="B2000" s="2" t="s">
        <v>269</v>
      </c>
      <c r="C2000" s="1">
        <v>45883</v>
      </c>
      <c r="D2000" s="2" t="s">
        <v>45</v>
      </c>
      <c r="E2000" s="2" t="s">
        <v>46</v>
      </c>
      <c r="F2000" s="2" t="s">
        <v>40</v>
      </c>
      <c r="G2000">
        <v>2</v>
      </c>
      <c r="H2000" s="2" t="s">
        <v>52</v>
      </c>
      <c r="I2000">
        <v>81.67</v>
      </c>
      <c r="J2000">
        <v>10</v>
      </c>
      <c r="K2000">
        <v>8.17</v>
      </c>
      <c r="L2000">
        <v>27.08</v>
      </c>
      <c r="M2000">
        <v>36.909999999999997</v>
      </c>
      <c r="N2000">
        <v>0</v>
      </c>
      <c r="O2000">
        <v>2.4300000000000002</v>
      </c>
      <c r="P2000" s="2" t="s">
        <v>42</v>
      </c>
      <c r="Q2000">
        <v>0</v>
      </c>
      <c r="R2000">
        <v>73.5</v>
      </c>
      <c r="S2000">
        <v>66.42</v>
      </c>
      <c r="T2000">
        <v>7.08</v>
      </c>
      <c r="U2000">
        <f t="shared" si="31"/>
        <v>0</v>
      </c>
    </row>
    <row r="2001" spans="1:21" x14ac:dyDescent="0.25">
      <c r="A2001" s="2" t="s">
        <v>2793</v>
      </c>
      <c r="B2001" s="2" t="s">
        <v>1081</v>
      </c>
      <c r="C2001" s="1">
        <v>45982</v>
      </c>
      <c r="D2001" s="2" t="s">
        <v>45</v>
      </c>
      <c r="E2001" s="2" t="s">
        <v>46</v>
      </c>
      <c r="F2001" s="2" t="s">
        <v>94</v>
      </c>
      <c r="G2001">
        <v>1</v>
      </c>
      <c r="H2001" s="2" t="s">
        <v>41</v>
      </c>
      <c r="I2001">
        <v>260.5</v>
      </c>
      <c r="J2001">
        <v>20</v>
      </c>
      <c r="K2001">
        <v>52.1</v>
      </c>
      <c r="L2001">
        <v>11.82</v>
      </c>
      <c r="M2001">
        <v>78.92</v>
      </c>
      <c r="N2001">
        <v>0</v>
      </c>
      <c r="O2001">
        <v>6.34</v>
      </c>
      <c r="P2001" s="2" t="s">
        <v>68</v>
      </c>
      <c r="Q2001">
        <v>208.4</v>
      </c>
      <c r="R2001">
        <v>0</v>
      </c>
      <c r="S2001">
        <v>97.08</v>
      </c>
      <c r="T2001">
        <v>-97.08</v>
      </c>
      <c r="U2001">
        <f t="shared" si="31"/>
        <v>1</v>
      </c>
    </row>
    <row r="2002" spans="1:21" x14ac:dyDescent="0.25">
      <c r="A2002" s="2"/>
      <c r="B2002" s="2"/>
      <c r="C2002" s="1"/>
      <c r="D2002" s="2"/>
      <c r="E2002" s="2"/>
      <c r="F2002" s="2"/>
      <c r="H2002" s="2"/>
      <c r="P2002" s="2"/>
    </row>
    <row r="2003" spans="1:21" x14ac:dyDescent="0.25">
      <c r="A2003" s="2"/>
      <c r="B2003" s="2"/>
      <c r="C2003" s="1"/>
      <c r="D2003" s="2"/>
      <c r="E2003" s="2"/>
      <c r="F2003" s="2"/>
      <c r="H2003" s="2"/>
      <c r="P200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675F-B90C-45D5-AAA4-1FF170CEE68C}">
  <dimension ref="A1:K145"/>
  <sheetViews>
    <sheetView tabSelected="1" workbookViewId="0">
      <selection activeCell="M11" sqref="M11"/>
    </sheetView>
  </sheetViews>
  <sheetFormatPr defaultRowHeight="15" x14ac:dyDescent="0.25"/>
  <cols>
    <col min="1" max="1" width="9.7109375" bestFit="1" customWidth="1"/>
    <col min="2" max="2" width="15.42578125" bestFit="1" customWidth="1"/>
    <col min="3" max="3" width="9" bestFit="1" customWidth="1"/>
    <col min="4" max="4" width="14" bestFit="1" customWidth="1"/>
    <col min="5" max="5" width="8" bestFit="1" customWidth="1"/>
    <col min="6" max="6" width="13.85546875" bestFit="1" customWidth="1"/>
    <col min="7" max="7" width="21" bestFit="1" customWidth="1"/>
    <col min="8" max="8" width="6.140625" bestFit="1" customWidth="1"/>
    <col min="9" max="10" width="7" bestFit="1" customWidth="1"/>
    <col min="11" max="11" width="16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3277</v>
      </c>
    </row>
    <row r="2" spans="1:11" x14ac:dyDescent="0.25">
      <c r="A2" s="1">
        <v>45292</v>
      </c>
      <c r="B2" s="2" t="s">
        <v>10</v>
      </c>
      <c r="C2">
        <v>2676.14</v>
      </c>
      <c r="D2">
        <v>303594</v>
      </c>
      <c r="E2">
        <v>13271</v>
      </c>
      <c r="F2">
        <v>500</v>
      </c>
      <c r="G2">
        <v>43063.16</v>
      </c>
      <c r="H2">
        <v>0.2</v>
      </c>
      <c r="I2">
        <v>5.35</v>
      </c>
      <c r="J2">
        <v>16.09</v>
      </c>
      <c r="K2">
        <f t="shared" ref="K2:K33" si="0">G2 / C2</f>
        <v>16.091519875641783</v>
      </c>
    </row>
    <row r="3" spans="1:11" x14ac:dyDescent="0.25">
      <c r="A3" s="1">
        <v>45292</v>
      </c>
      <c r="B3" s="2" t="s">
        <v>11</v>
      </c>
      <c r="C3">
        <v>1971.43</v>
      </c>
      <c r="D3">
        <v>338022</v>
      </c>
      <c r="E3">
        <v>7163</v>
      </c>
      <c r="F3">
        <v>333</v>
      </c>
      <c r="G3">
        <v>15950.86</v>
      </c>
      <c r="H3">
        <v>0.28000000000000003</v>
      </c>
      <c r="I3">
        <v>5.92</v>
      </c>
      <c r="J3">
        <v>8.09</v>
      </c>
      <c r="K3">
        <f t="shared" si="0"/>
        <v>8.0910100789782042</v>
      </c>
    </row>
    <row r="4" spans="1:11" x14ac:dyDescent="0.25">
      <c r="A4" s="1">
        <v>45292</v>
      </c>
      <c r="B4" s="2" t="s">
        <v>12</v>
      </c>
      <c r="C4">
        <v>2418.9499999999998</v>
      </c>
      <c r="D4">
        <v>561361</v>
      </c>
      <c r="E4">
        <v>18729</v>
      </c>
      <c r="F4">
        <v>748</v>
      </c>
      <c r="G4">
        <v>54454.46</v>
      </c>
      <c r="H4">
        <v>0.13</v>
      </c>
      <c r="I4">
        <v>3.23</v>
      </c>
      <c r="J4">
        <v>22.51</v>
      </c>
      <c r="K4">
        <f t="shared" si="0"/>
        <v>22.511610409475185</v>
      </c>
    </row>
    <row r="5" spans="1:11" x14ac:dyDescent="0.25">
      <c r="A5" s="1">
        <v>45292</v>
      </c>
      <c r="B5" s="2" t="s">
        <v>13</v>
      </c>
      <c r="C5">
        <v>1141.7</v>
      </c>
      <c r="D5">
        <v>554273</v>
      </c>
      <c r="E5">
        <v>6967</v>
      </c>
      <c r="F5">
        <v>346</v>
      </c>
      <c r="G5">
        <v>22369.23</v>
      </c>
      <c r="H5">
        <v>0.16</v>
      </c>
      <c r="I5">
        <v>3.3</v>
      </c>
      <c r="J5">
        <v>19.59</v>
      </c>
      <c r="K5">
        <f t="shared" si="0"/>
        <v>19.592914075501444</v>
      </c>
    </row>
    <row r="6" spans="1:11" x14ac:dyDescent="0.25">
      <c r="A6" s="1">
        <v>45292</v>
      </c>
      <c r="B6" s="2" t="s">
        <v>14</v>
      </c>
      <c r="C6">
        <v>868.82</v>
      </c>
      <c r="D6">
        <v>29509</v>
      </c>
      <c r="E6">
        <v>1215</v>
      </c>
      <c r="F6">
        <v>58</v>
      </c>
      <c r="G6">
        <v>4223.97</v>
      </c>
      <c r="H6">
        <v>0.72</v>
      </c>
      <c r="I6">
        <v>14.98</v>
      </c>
      <c r="J6">
        <v>4.8600000000000003</v>
      </c>
      <c r="K6">
        <f t="shared" si="0"/>
        <v>4.8617320043277088</v>
      </c>
    </row>
    <row r="7" spans="1:11" x14ac:dyDescent="0.25">
      <c r="A7" s="1">
        <v>45292</v>
      </c>
      <c r="B7" s="2" t="s">
        <v>15</v>
      </c>
      <c r="C7">
        <v>2229.89</v>
      </c>
      <c r="D7">
        <v>324906</v>
      </c>
      <c r="E7">
        <v>18550</v>
      </c>
      <c r="F7">
        <v>672</v>
      </c>
      <c r="G7">
        <v>32663.79</v>
      </c>
      <c r="H7">
        <v>0.12</v>
      </c>
      <c r="I7">
        <v>3.32</v>
      </c>
      <c r="J7">
        <v>14.65</v>
      </c>
      <c r="K7">
        <f t="shared" si="0"/>
        <v>14.648162016960478</v>
      </c>
    </row>
    <row r="8" spans="1:11" x14ac:dyDescent="0.25">
      <c r="A8" s="1">
        <v>45323</v>
      </c>
      <c r="B8" s="2" t="s">
        <v>10</v>
      </c>
      <c r="C8">
        <v>6122.11</v>
      </c>
      <c r="D8">
        <v>497660</v>
      </c>
      <c r="E8">
        <v>15128</v>
      </c>
      <c r="F8">
        <v>1065</v>
      </c>
      <c r="G8">
        <v>110409.49</v>
      </c>
      <c r="H8">
        <v>0.4</v>
      </c>
      <c r="I8">
        <v>5.75</v>
      </c>
      <c r="J8">
        <v>18.03</v>
      </c>
      <c r="K8">
        <f t="shared" si="0"/>
        <v>18.034548546171173</v>
      </c>
    </row>
    <row r="9" spans="1:11" x14ac:dyDescent="0.25">
      <c r="A9" s="1">
        <v>45323</v>
      </c>
      <c r="B9" s="2" t="s">
        <v>11</v>
      </c>
      <c r="C9">
        <v>3681.15</v>
      </c>
      <c r="D9">
        <v>518814</v>
      </c>
      <c r="E9">
        <v>14679</v>
      </c>
      <c r="F9">
        <v>848</v>
      </c>
      <c r="G9">
        <v>84633.22</v>
      </c>
      <c r="H9">
        <v>0.25</v>
      </c>
      <c r="I9">
        <v>4.34</v>
      </c>
      <c r="J9">
        <v>22.99</v>
      </c>
      <c r="K9">
        <f t="shared" si="0"/>
        <v>22.990972929655136</v>
      </c>
    </row>
    <row r="10" spans="1:11" x14ac:dyDescent="0.25">
      <c r="A10" s="1">
        <v>45323</v>
      </c>
      <c r="B10" s="2" t="s">
        <v>12</v>
      </c>
      <c r="C10">
        <v>1667.58</v>
      </c>
      <c r="D10">
        <v>343834</v>
      </c>
      <c r="E10">
        <v>6693</v>
      </c>
      <c r="F10">
        <v>427</v>
      </c>
      <c r="G10">
        <v>38473.67</v>
      </c>
      <c r="H10">
        <v>0.25</v>
      </c>
      <c r="I10">
        <v>3.91</v>
      </c>
      <c r="J10">
        <v>23.07</v>
      </c>
      <c r="K10">
        <f t="shared" si="0"/>
        <v>23.071558785785388</v>
      </c>
    </row>
    <row r="11" spans="1:11" x14ac:dyDescent="0.25">
      <c r="A11" s="1">
        <v>45323</v>
      </c>
      <c r="B11" s="2" t="s">
        <v>13</v>
      </c>
      <c r="C11">
        <v>943.7</v>
      </c>
      <c r="D11">
        <v>322885</v>
      </c>
      <c r="E11">
        <v>6717</v>
      </c>
      <c r="F11">
        <v>471</v>
      </c>
      <c r="G11">
        <v>37368.129999999997</v>
      </c>
      <c r="H11">
        <v>0.14000000000000001</v>
      </c>
      <c r="I11">
        <v>2</v>
      </c>
      <c r="J11">
        <v>39.6</v>
      </c>
      <c r="K11">
        <f t="shared" si="0"/>
        <v>39.597467415492204</v>
      </c>
    </row>
    <row r="12" spans="1:11" x14ac:dyDescent="0.25">
      <c r="A12" s="1">
        <v>45323</v>
      </c>
      <c r="B12" s="2" t="s">
        <v>14</v>
      </c>
      <c r="C12">
        <v>860.15</v>
      </c>
      <c r="D12">
        <v>18261</v>
      </c>
      <c r="E12">
        <v>811</v>
      </c>
      <c r="F12">
        <v>63</v>
      </c>
      <c r="G12">
        <v>6865.91</v>
      </c>
      <c r="H12">
        <v>1.06</v>
      </c>
      <c r="I12">
        <v>13.65</v>
      </c>
      <c r="J12">
        <v>7.98</v>
      </c>
      <c r="K12">
        <f t="shared" si="0"/>
        <v>7.9822240306923211</v>
      </c>
    </row>
    <row r="13" spans="1:11" x14ac:dyDescent="0.25">
      <c r="A13" s="1">
        <v>45323</v>
      </c>
      <c r="B13" s="2" t="s">
        <v>15</v>
      </c>
      <c r="C13">
        <v>1902.35</v>
      </c>
      <c r="D13">
        <v>196661</v>
      </c>
      <c r="E13">
        <v>14807</v>
      </c>
      <c r="F13">
        <v>855</v>
      </c>
      <c r="G13">
        <v>91158.26</v>
      </c>
      <c r="H13">
        <v>0.13</v>
      </c>
      <c r="I13">
        <v>2.2200000000000002</v>
      </c>
      <c r="J13">
        <v>47.92</v>
      </c>
      <c r="K13">
        <f t="shared" si="0"/>
        <v>47.918763634452127</v>
      </c>
    </row>
    <row r="14" spans="1:11" x14ac:dyDescent="0.25">
      <c r="A14" s="1">
        <v>45352</v>
      </c>
      <c r="B14" s="2" t="s">
        <v>10</v>
      </c>
      <c r="C14">
        <v>7708.44</v>
      </c>
      <c r="D14">
        <v>1101566</v>
      </c>
      <c r="E14">
        <v>47333</v>
      </c>
      <c r="F14">
        <v>3387</v>
      </c>
      <c r="G14">
        <v>215294.41</v>
      </c>
      <c r="H14">
        <v>0.16</v>
      </c>
      <c r="I14">
        <v>2.2799999999999998</v>
      </c>
      <c r="J14">
        <v>27.93</v>
      </c>
      <c r="K14">
        <f t="shared" si="0"/>
        <v>27.929699134974133</v>
      </c>
    </row>
    <row r="15" spans="1:11" x14ac:dyDescent="0.25">
      <c r="A15" s="1">
        <v>45352</v>
      </c>
      <c r="B15" s="2" t="s">
        <v>11</v>
      </c>
      <c r="C15">
        <v>2513.96</v>
      </c>
      <c r="D15">
        <v>413529</v>
      </c>
      <c r="E15">
        <v>6540</v>
      </c>
      <c r="F15">
        <v>254</v>
      </c>
      <c r="G15">
        <v>30308.05</v>
      </c>
      <c r="H15">
        <v>0.38</v>
      </c>
      <c r="I15">
        <v>9.9</v>
      </c>
      <c r="J15">
        <v>12.06</v>
      </c>
      <c r="K15">
        <f t="shared" si="0"/>
        <v>12.055899855208516</v>
      </c>
    </row>
    <row r="16" spans="1:11" x14ac:dyDescent="0.25">
      <c r="A16" s="1">
        <v>45352</v>
      </c>
      <c r="B16" s="2" t="s">
        <v>12</v>
      </c>
      <c r="C16">
        <v>2118.63</v>
      </c>
      <c r="D16">
        <v>418139</v>
      </c>
      <c r="E16">
        <v>13241</v>
      </c>
      <c r="F16">
        <v>493</v>
      </c>
      <c r="G16">
        <v>55146.65</v>
      </c>
      <c r="H16">
        <v>0.16</v>
      </c>
      <c r="I16">
        <v>4.3</v>
      </c>
      <c r="J16">
        <v>26.03</v>
      </c>
      <c r="K16">
        <f t="shared" si="0"/>
        <v>26.029391635160458</v>
      </c>
    </row>
    <row r="17" spans="1:11" x14ac:dyDescent="0.25">
      <c r="A17" s="1">
        <v>45352</v>
      </c>
      <c r="B17" s="2" t="s">
        <v>13</v>
      </c>
      <c r="C17">
        <v>2936.85</v>
      </c>
      <c r="D17">
        <v>1113686</v>
      </c>
      <c r="E17">
        <v>19229</v>
      </c>
      <c r="F17">
        <v>1518</v>
      </c>
      <c r="G17">
        <v>128845.37</v>
      </c>
      <c r="H17">
        <v>0.15</v>
      </c>
      <c r="I17">
        <v>1.93</v>
      </c>
      <c r="J17">
        <v>43.87</v>
      </c>
      <c r="K17">
        <f t="shared" si="0"/>
        <v>43.871961455300749</v>
      </c>
    </row>
    <row r="18" spans="1:11" x14ac:dyDescent="0.25">
      <c r="A18" s="1">
        <v>45352</v>
      </c>
      <c r="B18" s="2" t="s">
        <v>14</v>
      </c>
      <c r="C18">
        <v>532.24</v>
      </c>
      <c r="D18">
        <v>25622</v>
      </c>
      <c r="E18">
        <v>1394</v>
      </c>
      <c r="F18">
        <v>75</v>
      </c>
      <c r="G18">
        <v>8860.06</v>
      </c>
      <c r="H18">
        <v>0.38</v>
      </c>
      <c r="I18">
        <v>7.1</v>
      </c>
      <c r="J18">
        <v>16.649999999999999</v>
      </c>
      <c r="K18">
        <f t="shared" si="0"/>
        <v>16.646738313542762</v>
      </c>
    </row>
    <row r="19" spans="1:11" x14ac:dyDescent="0.25">
      <c r="A19" s="1">
        <v>45352</v>
      </c>
      <c r="B19" s="2" t="s">
        <v>15</v>
      </c>
      <c r="C19">
        <v>3044.92</v>
      </c>
      <c r="D19">
        <v>310912</v>
      </c>
      <c r="E19">
        <v>20703</v>
      </c>
      <c r="F19">
        <v>456</v>
      </c>
      <c r="G19">
        <v>42953.97</v>
      </c>
      <c r="H19">
        <v>0.15</v>
      </c>
      <c r="I19">
        <v>6.68</v>
      </c>
      <c r="J19">
        <v>14.11</v>
      </c>
      <c r="K19">
        <f t="shared" si="0"/>
        <v>14.106764709746068</v>
      </c>
    </row>
    <row r="20" spans="1:11" x14ac:dyDescent="0.25">
      <c r="A20" s="1">
        <v>45383</v>
      </c>
      <c r="B20" s="2" t="s">
        <v>10</v>
      </c>
      <c r="C20">
        <v>7846.89</v>
      </c>
      <c r="D20">
        <v>639155</v>
      </c>
      <c r="E20">
        <v>27881</v>
      </c>
      <c r="F20">
        <v>831</v>
      </c>
      <c r="G20">
        <v>96956.59</v>
      </c>
      <c r="H20">
        <v>0.28000000000000003</v>
      </c>
      <c r="I20">
        <v>9.44</v>
      </c>
      <c r="J20">
        <v>12.36</v>
      </c>
      <c r="K20">
        <f t="shared" si="0"/>
        <v>12.356053162463089</v>
      </c>
    </row>
    <row r="21" spans="1:11" x14ac:dyDescent="0.25">
      <c r="A21" s="1">
        <v>45383</v>
      </c>
      <c r="B21" s="2" t="s">
        <v>11</v>
      </c>
      <c r="C21">
        <v>4664.76</v>
      </c>
      <c r="D21">
        <v>894426</v>
      </c>
      <c r="E21">
        <v>19779</v>
      </c>
      <c r="F21">
        <v>937</v>
      </c>
      <c r="G21">
        <v>39426.57</v>
      </c>
      <c r="H21">
        <v>0.24</v>
      </c>
      <c r="I21">
        <v>4.9800000000000004</v>
      </c>
      <c r="J21">
        <v>8.4499999999999993</v>
      </c>
      <c r="K21">
        <f t="shared" si="0"/>
        <v>8.4520039616186029</v>
      </c>
    </row>
    <row r="22" spans="1:11" x14ac:dyDescent="0.25">
      <c r="A22" s="1">
        <v>45383</v>
      </c>
      <c r="B22" s="2" t="s">
        <v>12</v>
      </c>
      <c r="C22">
        <v>2344.92</v>
      </c>
      <c r="D22">
        <v>484252</v>
      </c>
      <c r="E22">
        <v>12115</v>
      </c>
      <c r="F22">
        <v>691</v>
      </c>
      <c r="G22">
        <v>31193.79</v>
      </c>
      <c r="H22">
        <v>0.19</v>
      </c>
      <c r="I22">
        <v>3.39</v>
      </c>
      <c r="J22">
        <v>13.3</v>
      </c>
      <c r="K22">
        <f t="shared" si="0"/>
        <v>13.302709687324088</v>
      </c>
    </row>
    <row r="23" spans="1:11" x14ac:dyDescent="0.25">
      <c r="A23" s="1">
        <v>45383</v>
      </c>
      <c r="B23" s="2" t="s">
        <v>13</v>
      </c>
      <c r="C23">
        <v>2272.6999999999998</v>
      </c>
      <c r="D23">
        <v>555474</v>
      </c>
      <c r="E23">
        <v>8215</v>
      </c>
      <c r="F23">
        <v>412</v>
      </c>
      <c r="G23">
        <v>27601.49</v>
      </c>
      <c r="H23">
        <v>0.28000000000000003</v>
      </c>
      <c r="I23">
        <v>5.52</v>
      </c>
      <c r="J23">
        <v>12.14</v>
      </c>
      <c r="K23">
        <f t="shared" si="0"/>
        <v>12.144801337616054</v>
      </c>
    </row>
    <row r="24" spans="1:11" x14ac:dyDescent="0.25">
      <c r="A24" s="1">
        <v>45383</v>
      </c>
      <c r="B24" s="2" t="s">
        <v>14</v>
      </c>
      <c r="C24">
        <v>955.87</v>
      </c>
      <c r="D24">
        <v>18316</v>
      </c>
      <c r="E24">
        <v>785</v>
      </c>
      <c r="F24">
        <v>57</v>
      </c>
      <c r="G24">
        <v>4675.54</v>
      </c>
      <c r="H24">
        <v>1.22</v>
      </c>
      <c r="I24">
        <v>16.77</v>
      </c>
      <c r="J24">
        <v>4.8899999999999997</v>
      </c>
      <c r="K24">
        <f t="shared" si="0"/>
        <v>4.8913973657505725</v>
      </c>
    </row>
    <row r="25" spans="1:11" x14ac:dyDescent="0.25">
      <c r="A25" s="1">
        <v>45383</v>
      </c>
      <c r="B25" s="2" t="s">
        <v>15</v>
      </c>
      <c r="C25">
        <v>5861.27</v>
      </c>
      <c r="D25">
        <v>562441</v>
      </c>
      <c r="E25">
        <v>27581</v>
      </c>
      <c r="F25">
        <v>924</v>
      </c>
      <c r="G25">
        <v>34178.080000000002</v>
      </c>
      <c r="H25">
        <v>0.21</v>
      </c>
      <c r="I25">
        <v>6.34</v>
      </c>
      <c r="J25">
        <v>5.83</v>
      </c>
      <c r="K25">
        <f t="shared" si="0"/>
        <v>5.8311731075347151</v>
      </c>
    </row>
    <row r="26" spans="1:11" x14ac:dyDescent="0.25">
      <c r="A26" s="1">
        <v>45413</v>
      </c>
      <c r="B26" s="2" t="s">
        <v>10</v>
      </c>
      <c r="C26">
        <v>4994.33</v>
      </c>
      <c r="D26">
        <v>526794</v>
      </c>
      <c r="E26">
        <v>14956</v>
      </c>
      <c r="F26">
        <v>1012</v>
      </c>
      <c r="G26">
        <v>54138.89</v>
      </c>
      <c r="H26">
        <v>0.33</v>
      </c>
      <c r="I26">
        <v>4.9400000000000004</v>
      </c>
      <c r="J26">
        <v>10.84</v>
      </c>
      <c r="K26">
        <f t="shared" si="0"/>
        <v>10.84007064010588</v>
      </c>
    </row>
    <row r="27" spans="1:11" x14ac:dyDescent="0.25">
      <c r="A27" s="1">
        <v>45413</v>
      </c>
      <c r="B27" s="2" t="s">
        <v>11</v>
      </c>
      <c r="C27">
        <v>3902.42</v>
      </c>
      <c r="D27">
        <v>639214</v>
      </c>
      <c r="E27">
        <v>11483</v>
      </c>
      <c r="F27">
        <v>882</v>
      </c>
      <c r="G27">
        <v>95193.2</v>
      </c>
      <c r="H27">
        <v>0.34</v>
      </c>
      <c r="I27">
        <v>4.42</v>
      </c>
      <c r="J27">
        <v>24.39</v>
      </c>
      <c r="K27">
        <f t="shared" si="0"/>
        <v>24.393376417710034</v>
      </c>
    </row>
    <row r="28" spans="1:11" x14ac:dyDescent="0.25">
      <c r="A28" s="1">
        <v>45413</v>
      </c>
      <c r="B28" s="2" t="s">
        <v>12</v>
      </c>
      <c r="C28">
        <v>2409.3200000000002</v>
      </c>
      <c r="D28">
        <v>540211</v>
      </c>
      <c r="E28">
        <v>21439</v>
      </c>
      <c r="F28">
        <v>1534</v>
      </c>
      <c r="G28">
        <v>109119.91</v>
      </c>
      <c r="H28">
        <v>0.11</v>
      </c>
      <c r="I28">
        <v>1.57</v>
      </c>
      <c r="J28">
        <v>45.29</v>
      </c>
      <c r="K28">
        <f t="shared" si="0"/>
        <v>45.29075008716152</v>
      </c>
    </row>
    <row r="29" spans="1:11" x14ac:dyDescent="0.25">
      <c r="A29" s="1">
        <v>45413</v>
      </c>
      <c r="B29" s="2" t="s">
        <v>13</v>
      </c>
      <c r="C29">
        <v>2037.9</v>
      </c>
      <c r="D29">
        <v>632790</v>
      </c>
      <c r="E29">
        <v>15212</v>
      </c>
      <c r="F29">
        <v>362</v>
      </c>
      <c r="G29">
        <v>21835.26</v>
      </c>
      <c r="H29">
        <v>0.13</v>
      </c>
      <c r="I29">
        <v>5.63</v>
      </c>
      <c r="J29">
        <v>10.71</v>
      </c>
      <c r="K29">
        <f t="shared" si="0"/>
        <v>10.71458854703371</v>
      </c>
    </row>
    <row r="30" spans="1:11" x14ac:dyDescent="0.25">
      <c r="A30" s="1">
        <v>45413</v>
      </c>
      <c r="B30" s="2" t="s">
        <v>14</v>
      </c>
      <c r="C30">
        <v>1108.8800000000001</v>
      </c>
      <c r="D30">
        <v>27599</v>
      </c>
      <c r="E30">
        <v>1522</v>
      </c>
      <c r="F30">
        <v>79</v>
      </c>
      <c r="G30">
        <v>8046.32</v>
      </c>
      <c r="H30">
        <v>0.73</v>
      </c>
      <c r="I30">
        <v>14.04</v>
      </c>
      <c r="J30">
        <v>7.26</v>
      </c>
      <c r="K30">
        <f t="shared" si="0"/>
        <v>7.2562585672029423</v>
      </c>
    </row>
    <row r="31" spans="1:11" x14ac:dyDescent="0.25">
      <c r="A31" s="1">
        <v>45413</v>
      </c>
      <c r="B31" s="2" t="s">
        <v>15</v>
      </c>
      <c r="C31">
        <v>2088.13</v>
      </c>
      <c r="D31">
        <v>304073</v>
      </c>
      <c r="E31">
        <v>10311</v>
      </c>
      <c r="F31">
        <v>675</v>
      </c>
      <c r="G31">
        <v>39625.360000000001</v>
      </c>
      <c r="H31">
        <v>0.2</v>
      </c>
      <c r="I31">
        <v>3.09</v>
      </c>
      <c r="J31">
        <v>18.98</v>
      </c>
      <c r="K31">
        <f t="shared" si="0"/>
        <v>18.976481349341277</v>
      </c>
    </row>
    <row r="32" spans="1:11" x14ac:dyDescent="0.25">
      <c r="A32" s="1">
        <v>45444</v>
      </c>
      <c r="B32" s="2" t="s">
        <v>10</v>
      </c>
      <c r="C32">
        <v>7036.5</v>
      </c>
      <c r="D32">
        <v>896454</v>
      </c>
      <c r="E32">
        <v>36590</v>
      </c>
      <c r="F32">
        <v>1953</v>
      </c>
      <c r="G32">
        <v>81543.06</v>
      </c>
      <c r="H32">
        <v>0.19</v>
      </c>
      <c r="I32">
        <v>3.6</v>
      </c>
      <c r="J32">
        <v>11.59</v>
      </c>
      <c r="K32">
        <f t="shared" si="0"/>
        <v>11.588582391814112</v>
      </c>
    </row>
    <row r="33" spans="1:11" x14ac:dyDescent="0.25">
      <c r="A33" s="1">
        <v>45444</v>
      </c>
      <c r="B33" s="2" t="s">
        <v>11</v>
      </c>
      <c r="C33">
        <v>4786.0200000000004</v>
      </c>
      <c r="D33">
        <v>706031</v>
      </c>
      <c r="E33">
        <v>18625</v>
      </c>
      <c r="F33">
        <v>780</v>
      </c>
      <c r="G33">
        <v>79876.72</v>
      </c>
      <c r="H33">
        <v>0.26</v>
      </c>
      <c r="I33">
        <v>6.14</v>
      </c>
      <c r="J33">
        <v>16.690000000000001</v>
      </c>
      <c r="K33">
        <f t="shared" si="0"/>
        <v>16.689591769361598</v>
      </c>
    </row>
    <row r="34" spans="1:11" x14ac:dyDescent="0.25">
      <c r="A34" s="1">
        <v>45444</v>
      </c>
      <c r="B34" s="2" t="s">
        <v>12</v>
      </c>
      <c r="C34">
        <v>2595.1799999999998</v>
      </c>
      <c r="D34">
        <v>354096</v>
      </c>
      <c r="E34">
        <v>13074</v>
      </c>
      <c r="F34">
        <v>524</v>
      </c>
      <c r="G34">
        <v>45563.58</v>
      </c>
      <c r="H34">
        <v>0.2</v>
      </c>
      <c r="I34">
        <v>4.95</v>
      </c>
      <c r="J34">
        <v>17.559999999999999</v>
      </c>
      <c r="K34">
        <f t="shared" ref="K34:K65" si="1">G34 / C34</f>
        <v>17.557001826462905</v>
      </c>
    </row>
    <row r="35" spans="1:11" x14ac:dyDescent="0.25">
      <c r="A35" s="1">
        <v>45444</v>
      </c>
      <c r="B35" s="2" t="s">
        <v>13</v>
      </c>
      <c r="C35">
        <v>3202</v>
      </c>
      <c r="D35">
        <v>912644</v>
      </c>
      <c r="E35">
        <v>14800</v>
      </c>
      <c r="F35">
        <v>1018</v>
      </c>
      <c r="G35">
        <v>79914.880000000005</v>
      </c>
      <c r="H35">
        <v>0.22</v>
      </c>
      <c r="I35">
        <v>3.15</v>
      </c>
      <c r="J35">
        <v>24.96</v>
      </c>
      <c r="K35">
        <f t="shared" si="1"/>
        <v>24.957801374141162</v>
      </c>
    </row>
    <row r="36" spans="1:11" x14ac:dyDescent="0.25">
      <c r="A36" s="1">
        <v>45444</v>
      </c>
      <c r="B36" s="2" t="s">
        <v>14</v>
      </c>
      <c r="C36">
        <v>942.79</v>
      </c>
      <c r="D36">
        <v>18357</v>
      </c>
      <c r="E36">
        <v>1008</v>
      </c>
      <c r="F36">
        <v>22</v>
      </c>
      <c r="G36">
        <v>1694.39</v>
      </c>
      <c r="H36">
        <v>0.94</v>
      </c>
      <c r="I36">
        <v>42.85</v>
      </c>
      <c r="J36">
        <v>1.8</v>
      </c>
      <c r="K36">
        <f t="shared" si="1"/>
        <v>1.7972082860446124</v>
      </c>
    </row>
    <row r="37" spans="1:11" x14ac:dyDescent="0.25">
      <c r="A37" s="1">
        <v>45444</v>
      </c>
      <c r="B37" s="2" t="s">
        <v>15</v>
      </c>
      <c r="C37">
        <v>5428.83</v>
      </c>
      <c r="D37">
        <v>769724</v>
      </c>
      <c r="E37">
        <v>59427</v>
      </c>
      <c r="F37">
        <v>3701</v>
      </c>
      <c r="G37">
        <v>181649.73</v>
      </c>
      <c r="H37">
        <v>0.09</v>
      </c>
      <c r="I37">
        <v>1.47</v>
      </c>
      <c r="J37">
        <v>33.46</v>
      </c>
      <c r="K37">
        <f t="shared" si="1"/>
        <v>33.460198606329541</v>
      </c>
    </row>
    <row r="38" spans="1:11" x14ac:dyDescent="0.25">
      <c r="A38" s="1">
        <v>45474</v>
      </c>
      <c r="B38" s="2" t="s">
        <v>10</v>
      </c>
      <c r="C38">
        <v>5942.08</v>
      </c>
      <c r="D38">
        <v>572017</v>
      </c>
      <c r="E38">
        <v>24713</v>
      </c>
      <c r="F38">
        <v>987</v>
      </c>
      <c r="G38">
        <v>53985.04</v>
      </c>
      <c r="H38">
        <v>0.24</v>
      </c>
      <c r="I38">
        <v>6.02</v>
      </c>
      <c r="J38">
        <v>9.09</v>
      </c>
      <c r="K38">
        <f t="shared" si="1"/>
        <v>9.0852092196671883</v>
      </c>
    </row>
    <row r="39" spans="1:11" x14ac:dyDescent="0.25">
      <c r="A39" s="1">
        <v>45474</v>
      </c>
      <c r="B39" s="2" t="s">
        <v>11</v>
      </c>
      <c r="C39">
        <v>5816.93</v>
      </c>
      <c r="D39">
        <v>865034</v>
      </c>
      <c r="E39">
        <v>13829</v>
      </c>
      <c r="F39">
        <v>1025</v>
      </c>
      <c r="G39">
        <v>68591.490000000005</v>
      </c>
      <c r="H39">
        <v>0.42</v>
      </c>
      <c r="I39">
        <v>5.68</v>
      </c>
      <c r="J39">
        <v>11.79</v>
      </c>
      <c r="K39">
        <f t="shared" si="1"/>
        <v>11.79169940157437</v>
      </c>
    </row>
    <row r="40" spans="1:11" x14ac:dyDescent="0.25">
      <c r="A40" s="1">
        <v>45474</v>
      </c>
      <c r="B40" s="2" t="s">
        <v>12</v>
      </c>
      <c r="C40">
        <v>4640.72</v>
      </c>
      <c r="D40">
        <v>800126</v>
      </c>
      <c r="E40">
        <v>13752</v>
      </c>
      <c r="F40">
        <v>959</v>
      </c>
      <c r="G40">
        <v>36768.089999999997</v>
      </c>
      <c r="H40">
        <v>0.34</v>
      </c>
      <c r="I40">
        <v>4.84</v>
      </c>
      <c r="J40">
        <v>7.92</v>
      </c>
      <c r="K40">
        <f t="shared" si="1"/>
        <v>7.9229279077384529</v>
      </c>
    </row>
    <row r="41" spans="1:11" x14ac:dyDescent="0.25">
      <c r="A41" s="1">
        <v>45474</v>
      </c>
      <c r="B41" s="2" t="s">
        <v>13</v>
      </c>
      <c r="C41">
        <v>3322.38</v>
      </c>
      <c r="D41">
        <v>1515580</v>
      </c>
      <c r="E41">
        <v>36371</v>
      </c>
      <c r="F41">
        <v>912</v>
      </c>
      <c r="G41">
        <v>95348.39</v>
      </c>
      <c r="H41">
        <v>0.09</v>
      </c>
      <c r="I41">
        <v>3.64</v>
      </c>
      <c r="J41">
        <v>28.7</v>
      </c>
      <c r="K41">
        <f t="shared" si="1"/>
        <v>28.698821326880125</v>
      </c>
    </row>
    <row r="42" spans="1:11" x14ac:dyDescent="0.25">
      <c r="A42" s="1">
        <v>45474</v>
      </c>
      <c r="B42" s="2" t="s">
        <v>14</v>
      </c>
      <c r="C42">
        <v>834.24</v>
      </c>
      <c r="D42">
        <v>32390</v>
      </c>
      <c r="E42">
        <v>1425</v>
      </c>
      <c r="F42">
        <v>95</v>
      </c>
      <c r="G42">
        <v>6367.74</v>
      </c>
      <c r="H42">
        <v>0.59</v>
      </c>
      <c r="I42">
        <v>8.7799999999999994</v>
      </c>
      <c r="J42">
        <v>7.63</v>
      </c>
      <c r="K42">
        <f t="shared" si="1"/>
        <v>7.6329833141541998</v>
      </c>
    </row>
    <row r="43" spans="1:11" x14ac:dyDescent="0.25">
      <c r="A43" s="1">
        <v>45474</v>
      </c>
      <c r="B43" s="2" t="s">
        <v>15</v>
      </c>
      <c r="C43">
        <v>6449.46</v>
      </c>
      <c r="D43">
        <v>406960</v>
      </c>
      <c r="E43">
        <v>30323</v>
      </c>
      <c r="F43">
        <v>1498</v>
      </c>
      <c r="G43">
        <v>84700.19</v>
      </c>
      <c r="H43">
        <v>0.21</v>
      </c>
      <c r="I43">
        <v>4.3099999999999996</v>
      </c>
      <c r="J43">
        <v>13.13</v>
      </c>
      <c r="K43">
        <f t="shared" si="1"/>
        <v>13.132911902701933</v>
      </c>
    </row>
    <row r="44" spans="1:11" x14ac:dyDescent="0.25">
      <c r="A44" s="1">
        <v>45505</v>
      </c>
      <c r="B44" s="2" t="s">
        <v>10</v>
      </c>
      <c r="C44">
        <v>4024.01</v>
      </c>
      <c r="D44">
        <v>465545</v>
      </c>
      <c r="E44">
        <v>13730</v>
      </c>
      <c r="F44">
        <v>840</v>
      </c>
      <c r="G44">
        <v>45891.199999999997</v>
      </c>
      <c r="H44">
        <v>0.28999999999999998</v>
      </c>
      <c r="I44">
        <v>4.79</v>
      </c>
      <c r="J44">
        <v>11.4</v>
      </c>
      <c r="K44">
        <f t="shared" si="1"/>
        <v>11.404345416636637</v>
      </c>
    </row>
    <row r="45" spans="1:11" x14ac:dyDescent="0.25">
      <c r="A45" s="1">
        <v>45505</v>
      </c>
      <c r="B45" s="2" t="s">
        <v>11</v>
      </c>
      <c r="C45">
        <v>5418.73</v>
      </c>
      <c r="D45">
        <v>587723</v>
      </c>
      <c r="E45">
        <v>12869</v>
      </c>
      <c r="F45">
        <v>354</v>
      </c>
      <c r="G45">
        <v>16769.259999999998</v>
      </c>
      <c r="H45">
        <v>0.42</v>
      </c>
      <c r="I45">
        <v>15.31</v>
      </c>
      <c r="J45">
        <v>3.09</v>
      </c>
      <c r="K45">
        <f t="shared" si="1"/>
        <v>3.0946845478553091</v>
      </c>
    </row>
    <row r="46" spans="1:11" x14ac:dyDescent="0.25">
      <c r="A46" s="1">
        <v>45505</v>
      </c>
      <c r="B46" s="2" t="s">
        <v>12</v>
      </c>
      <c r="C46">
        <v>2935.6</v>
      </c>
      <c r="D46">
        <v>678174</v>
      </c>
      <c r="E46">
        <v>16111</v>
      </c>
      <c r="F46">
        <v>745</v>
      </c>
      <c r="G46">
        <v>28753.77</v>
      </c>
      <c r="H46">
        <v>0.18</v>
      </c>
      <c r="I46">
        <v>3.94</v>
      </c>
      <c r="J46">
        <v>9.7899999999999991</v>
      </c>
      <c r="K46">
        <f t="shared" si="1"/>
        <v>9.7948528409865112</v>
      </c>
    </row>
    <row r="47" spans="1:11" x14ac:dyDescent="0.25">
      <c r="A47" s="1">
        <v>45505</v>
      </c>
      <c r="B47" s="2" t="s">
        <v>13</v>
      </c>
      <c r="C47">
        <v>2195.14</v>
      </c>
      <c r="D47">
        <v>519254</v>
      </c>
      <c r="E47">
        <v>10882</v>
      </c>
      <c r="F47">
        <v>217</v>
      </c>
      <c r="G47">
        <v>13202.46</v>
      </c>
      <c r="H47">
        <v>0.2</v>
      </c>
      <c r="I47">
        <v>10.119999999999999</v>
      </c>
      <c r="J47">
        <v>6.01</v>
      </c>
      <c r="K47">
        <f t="shared" si="1"/>
        <v>6.0144045482292698</v>
      </c>
    </row>
    <row r="48" spans="1:11" x14ac:dyDescent="0.25">
      <c r="A48" s="1">
        <v>45505</v>
      </c>
      <c r="B48" s="2" t="s">
        <v>14</v>
      </c>
      <c r="C48">
        <v>1192.8599999999999</v>
      </c>
      <c r="D48">
        <v>27374</v>
      </c>
      <c r="E48">
        <v>1267</v>
      </c>
      <c r="F48">
        <v>87</v>
      </c>
      <c r="G48">
        <v>5926.54</v>
      </c>
      <c r="H48">
        <v>0.94</v>
      </c>
      <c r="I48">
        <v>13.71</v>
      </c>
      <c r="J48">
        <v>4.97</v>
      </c>
      <c r="K48">
        <f t="shared" si="1"/>
        <v>4.9683449860000337</v>
      </c>
    </row>
    <row r="49" spans="1:11" x14ac:dyDescent="0.25">
      <c r="A49" s="1">
        <v>45505</v>
      </c>
      <c r="B49" s="2" t="s">
        <v>15</v>
      </c>
      <c r="C49">
        <v>4408.57</v>
      </c>
      <c r="D49">
        <v>515060</v>
      </c>
      <c r="E49">
        <v>29058</v>
      </c>
      <c r="F49">
        <v>1673</v>
      </c>
      <c r="G49">
        <v>111754.27</v>
      </c>
      <c r="H49">
        <v>0.15</v>
      </c>
      <c r="I49">
        <v>2.64</v>
      </c>
      <c r="J49">
        <v>25.35</v>
      </c>
      <c r="K49">
        <f t="shared" si="1"/>
        <v>25.349324157266416</v>
      </c>
    </row>
    <row r="50" spans="1:11" x14ac:dyDescent="0.25">
      <c r="A50" s="1">
        <v>45536</v>
      </c>
      <c r="B50" s="2" t="s">
        <v>10</v>
      </c>
      <c r="C50">
        <v>7818.64</v>
      </c>
      <c r="D50">
        <v>1036560</v>
      </c>
      <c r="E50">
        <v>22546</v>
      </c>
      <c r="F50">
        <v>1784</v>
      </c>
      <c r="G50">
        <v>188990.84</v>
      </c>
      <c r="H50">
        <v>0.35</v>
      </c>
      <c r="I50">
        <v>4.38</v>
      </c>
      <c r="J50">
        <v>24.17</v>
      </c>
      <c r="K50">
        <f t="shared" si="1"/>
        <v>24.171830395055917</v>
      </c>
    </row>
    <row r="51" spans="1:11" x14ac:dyDescent="0.25">
      <c r="A51" s="1">
        <v>45536</v>
      </c>
      <c r="B51" s="2" t="s">
        <v>11</v>
      </c>
      <c r="C51">
        <v>2585.4299999999998</v>
      </c>
      <c r="D51">
        <v>507610</v>
      </c>
      <c r="E51">
        <v>14146</v>
      </c>
      <c r="F51">
        <v>471</v>
      </c>
      <c r="G51">
        <v>43588.98</v>
      </c>
      <c r="H51">
        <v>0.18</v>
      </c>
      <c r="I51">
        <v>5.49</v>
      </c>
      <c r="J51">
        <v>16.86</v>
      </c>
      <c r="K51">
        <f t="shared" si="1"/>
        <v>16.859470184843531</v>
      </c>
    </row>
    <row r="52" spans="1:11" x14ac:dyDescent="0.25">
      <c r="A52" s="1">
        <v>45536</v>
      </c>
      <c r="B52" s="2" t="s">
        <v>12</v>
      </c>
      <c r="C52">
        <v>1515.15</v>
      </c>
      <c r="D52">
        <v>282171</v>
      </c>
      <c r="E52">
        <v>10165</v>
      </c>
      <c r="F52">
        <v>675</v>
      </c>
      <c r="G52">
        <v>56561.19</v>
      </c>
      <c r="H52">
        <v>0.15</v>
      </c>
      <c r="I52">
        <v>2.2400000000000002</v>
      </c>
      <c r="J52">
        <v>37.33</v>
      </c>
      <c r="K52">
        <f t="shared" si="1"/>
        <v>37.330422730422733</v>
      </c>
    </row>
    <row r="53" spans="1:11" x14ac:dyDescent="0.25">
      <c r="A53" s="1">
        <v>45536</v>
      </c>
      <c r="B53" s="2" t="s">
        <v>13</v>
      </c>
      <c r="C53">
        <v>2120.0500000000002</v>
      </c>
      <c r="D53">
        <v>663058</v>
      </c>
      <c r="E53">
        <v>9314</v>
      </c>
      <c r="F53">
        <v>337</v>
      </c>
      <c r="G53">
        <v>36454.239999999998</v>
      </c>
      <c r="H53">
        <v>0.23</v>
      </c>
      <c r="I53">
        <v>6.29</v>
      </c>
      <c r="J53">
        <v>17.190000000000001</v>
      </c>
      <c r="K53">
        <f t="shared" si="1"/>
        <v>17.194990684181974</v>
      </c>
    </row>
    <row r="54" spans="1:11" x14ac:dyDescent="0.25">
      <c r="A54" s="1">
        <v>45536</v>
      </c>
      <c r="B54" s="2" t="s">
        <v>14</v>
      </c>
      <c r="C54">
        <v>722.81</v>
      </c>
      <c r="D54">
        <v>29960</v>
      </c>
      <c r="E54">
        <v>812</v>
      </c>
      <c r="F54">
        <v>36</v>
      </c>
      <c r="G54">
        <v>2813.58</v>
      </c>
      <c r="H54">
        <v>0.89</v>
      </c>
      <c r="I54">
        <v>20.079999999999998</v>
      </c>
      <c r="J54">
        <v>3.89</v>
      </c>
      <c r="K54">
        <f t="shared" si="1"/>
        <v>3.8925582103180645</v>
      </c>
    </row>
    <row r="55" spans="1:11" x14ac:dyDescent="0.25">
      <c r="A55" s="1">
        <v>45536</v>
      </c>
      <c r="B55" s="2" t="s">
        <v>15</v>
      </c>
      <c r="C55">
        <v>3246.37</v>
      </c>
      <c r="D55">
        <v>222653</v>
      </c>
      <c r="E55">
        <v>13102</v>
      </c>
      <c r="F55">
        <v>492</v>
      </c>
      <c r="G55">
        <v>57105.61</v>
      </c>
      <c r="H55">
        <v>0.25</v>
      </c>
      <c r="I55">
        <v>6.6</v>
      </c>
      <c r="J55">
        <v>17.59</v>
      </c>
      <c r="K55">
        <f t="shared" si="1"/>
        <v>17.590604274928612</v>
      </c>
    </row>
    <row r="56" spans="1:11" x14ac:dyDescent="0.25">
      <c r="A56" s="1">
        <v>45566</v>
      </c>
      <c r="B56" s="2" t="s">
        <v>10</v>
      </c>
      <c r="C56">
        <v>6161.95</v>
      </c>
      <c r="D56">
        <v>615892</v>
      </c>
      <c r="E56">
        <v>17065</v>
      </c>
      <c r="F56">
        <v>1283</v>
      </c>
      <c r="G56">
        <v>116873.09</v>
      </c>
      <c r="H56">
        <v>0.36</v>
      </c>
      <c r="I56">
        <v>4.8</v>
      </c>
      <c r="J56">
        <v>18.97</v>
      </c>
      <c r="K56">
        <f t="shared" si="1"/>
        <v>18.966900088446028</v>
      </c>
    </row>
    <row r="57" spans="1:11" x14ac:dyDescent="0.25">
      <c r="A57" s="1">
        <v>45566</v>
      </c>
      <c r="B57" s="2" t="s">
        <v>11</v>
      </c>
      <c r="C57">
        <v>5251.93</v>
      </c>
      <c r="D57">
        <v>804087</v>
      </c>
      <c r="E57">
        <v>11568</v>
      </c>
      <c r="F57">
        <v>640</v>
      </c>
      <c r="G57">
        <v>34053.519999999997</v>
      </c>
      <c r="H57">
        <v>0.45</v>
      </c>
      <c r="I57">
        <v>8.2100000000000009</v>
      </c>
      <c r="J57">
        <v>6.48</v>
      </c>
      <c r="K57">
        <f t="shared" si="1"/>
        <v>6.4840011195884166</v>
      </c>
    </row>
    <row r="58" spans="1:11" x14ac:dyDescent="0.25">
      <c r="A58" s="1">
        <v>45566</v>
      </c>
      <c r="B58" s="2" t="s">
        <v>12</v>
      </c>
      <c r="C58">
        <v>1838.91</v>
      </c>
      <c r="D58">
        <v>277966</v>
      </c>
      <c r="E58">
        <v>7574</v>
      </c>
      <c r="F58">
        <v>272</v>
      </c>
      <c r="G58">
        <v>16657.189999999999</v>
      </c>
      <c r="H58">
        <v>0.24</v>
      </c>
      <c r="I58">
        <v>6.76</v>
      </c>
      <c r="J58">
        <v>9.06</v>
      </c>
      <c r="K58">
        <f t="shared" si="1"/>
        <v>9.0581866431744889</v>
      </c>
    </row>
    <row r="59" spans="1:11" x14ac:dyDescent="0.25">
      <c r="A59" s="1">
        <v>45566</v>
      </c>
      <c r="B59" s="2" t="s">
        <v>13</v>
      </c>
      <c r="C59">
        <v>2727.8</v>
      </c>
      <c r="D59">
        <v>1187855</v>
      </c>
      <c r="E59">
        <v>23296</v>
      </c>
      <c r="F59">
        <v>1086</v>
      </c>
      <c r="G59">
        <v>103967.94</v>
      </c>
      <c r="H59">
        <v>0.12</v>
      </c>
      <c r="I59">
        <v>2.5099999999999998</v>
      </c>
      <c r="J59">
        <v>38.11</v>
      </c>
      <c r="K59">
        <f t="shared" si="1"/>
        <v>38.114209252877778</v>
      </c>
    </row>
    <row r="60" spans="1:11" x14ac:dyDescent="0.25">
      <c r="A60" s="1">
        <v>45566</v>
      </c>
      <c r="B60" s="2" t="s">
        <v>14</v>
      </c>
      <c r="C60">
        <v>1040.57</v>
      </c>
      <c r="D60">
        <v>25380</v>
      </c>
      <c r="E60">
        <v>1279</v>
      </c>
      <c r="F60">
        <v>58</v>
      </c>
      <c r="G60">
        <v>2620.5700000000002</v>
      </c>
      <c r="H60">
        <v>0.81</v>
      </c>
      <c r="I60">
        <v>17.940000000000001</v>
      </c>
      <c r="J60">
        <v>2.52</v>
      </c>
      <c r="K60">
        <f t="shared" si="1"/>
        <v>2.5183985700145115</v>
      </c>
    </row>
    <row r="61" spans="1:11" x14ac:dyDescent="0.25">
      <c r="A61" s="1">
        <v>45566</v>
      </c>
      <c r="B61" s="2" t="s">
        <v>15</v>
      </c>
      <c r="C61">
        <v>3840.5</v>
      </c>
      <c r="D61">
        <v>546315</v>
      </c>
      <c r="E61">
        <v>34996</v>
      </c>
      <c r="F61">
        <v>1789</v>
      </c>
      <c r="G61">
        <v>201925.01</v>
      </c>
      <c r="H61">
        <v>0.11</v>
      </c>
      <c r="I61">
        <v>2.15</v>
      </c>
      <c r="J61">
        <v>52.58</v>
      </c>
      <c r="K61">
        <f t="shared" si="1"/>
        <v>52.577791954172639</v>
      </c>
    </row>
    <row r="62" spans="1:11" x14ac:dyDescent="0.25">
      <c r="A62" s="1">
        <v>45597</v>
      </c>
      <c r="B62" s="2" t="s">
        <v>10</v>
      </c>
      <c r="C62">
        <v>9899.2199999999993</v>
      </c>
      <c r="D62">
        <v>817243</v>
      </c>
      <c r="E62">
        <v>18205</v>
      </c>
      <c r="F62">
        <v>1229</v>
      </c>
      <c r="G62">
        <v>139961.49</v>
      </c>
      <c r="H62">
        <v>0.54</v>
      </c>
      <c r="I62">
        <v>8.0500000000000007</v>
      </c>
      <c r="J62">
        <v>14.14</v>
      </c>
      <c r="K62">
        <f t="shared" si="1"/>
        <v>14.138638195736634</v>
      </c>
    </row>
    <row r="63" spans="1:11" x14ac:dyDescent="0.25">
      <c r="A63" s="1">
        <v>45597</v>
      </c>
      <c r="B63" s="2" t="s">
        <v>11</v>
      </c>
      <c r="C63">
        <v>8556.1</v>
      </c>
      <c r="D63">
        <v>1434080</v>
      </c>
      <c r="E63">
        <v>14395</v>
      </c>
      <c r="F63">
        <v>963</v>
      </c>
      <c r="G63">
        <v>56432.58</v>
      </c>
      <c r="H63">
        <v>0.59</v>
      </c>
      <c r="I63">
        <v>8.8800000000000008</v>
      </c>
      <c r="J63">
        <v>6.6</v>
      </c>
      <c r="K63">
        <f t="shared" si="1"/>
        <v>6.5955961244024728</v>
      </c>
    </row>
    <row r="64" spans="1:11" x14ac:dyDescent="0.25">
      <c r="A64" s="1">
        <v>45597</v>
      </c>
      <c r="B64" s="2" t="s">
        <v>12</v>
      </c>
      <c r="C64">
        <v>5965.21</v>
      </c>
      <c r="D64">
        <v>853655</v>
      </c>
      <c r="E64">
        <v>28959</v>
      </c>
      <c r="F64">
        <v>628</v>
      </c>
      <c r="G64">
        <v>34361.79</v>
      </c>
      <c r="H64">
        <v>0.21</v>
      </c>
      <c r="I64">
        <v>9.5</v>
      </c>
      <c r="J64">
        <v>5.76</v>
      </c>
      <c r="K64">
        <f t="shared" si="1"/>
        <v>5.7603655194033401</v>
      </c>
    </row>
    <row r="65" spans="1:11" x14ac:dyDescent="0.25">
      <c r="A65" s="1">
        <v>45597</v>
      </c>
      <c r="B65" s="2" t="s">
        <v>13</v>
      </c>
      <c r="C65">
        <v>4303.7299999999996</v>
      </c>
      <c r="D65">
        <v>1610695</v>
      </c>
      <c r="E65">
        <v>25062</v>
      </c>
      <c r="F65">
        <v>1155</v>
      </c>
      <c r="G65">
        <v>86870.93</v>
      </c>
      <c r="H65">
        <v>0.17</v>
      </c>
      <c r="I65">
        <v>3.73</v>
      </c>
      <c r="J65">
        <v>20.190000000000001</v>
      </c>
      <c r="K65">
        <f t="shared" si="1"/>
        <v>20.185032518303892</v>
      </c>
    </row>
    <row r="66" spans="1:11" x14ac:dyDescent="0.25">
      <c r="A66" s="1">
        <v>45597</v>
      </c>
      <c r="B66" s="2" t="s">
        <v>14</v>
      </c>
      <c r="C66">
        <v>1841.71</v>
      </c>
      <c r="D66">
        <v>24088</v>
      </c>
      <c r="E66">
        <v>972</v>
      </c>
      <c r="F66">
        <v>55</v>
      </c>
      <c r="G66">
        <v>6200.27</v>
      </c>
      <c r="H66">
        <v>1.89</v>
      </c>
      <c r="I66">
        <v>33.49</v>
      </c>
      <c r="J66">
        <v>3.37</v>
      </c>
      <c r="K66">
        <f t="shared" ref="K66:K97" si="2">G66 / C66</f>
        <v>3.3665832297158622</v>
      </c>
    </row>
    <row r="67" spans="1:11" x14ac:dyDescent="0.25">
      <c r="A67" s="1">
        <v>45597</v>
      </c>
      <c r="B67" s="2" t="s">
        <v>15</v>
      </c>
      <c r="C67">
        <v>4269.49</v>
      </c>
      <c r="D67">
        <v>235145</v>
      </c>
      <c r="E67">
        <v>15447</v>
      </c>
      <c r="F67">
        <v>375</v>
      </c>
      <c r="G67">
        <v>21202.36</v>
      </c>
      <c r="H67">
        <v>0.28000000000000003</v>
      </c>
      <c r="I67">
        <v>11.39</v>
      </c>
      <c r="J67">
        <v>4.97</v>
      </c>
      <c r="K67">
        <f t="shared" si="2"/>
        <v>4.966017018426089</v>
      </c>
    </row>
    <row r="68" spans="1:11" x14ac:dyDescent="0.25">
      <c r="A68" s="1">
        <v>45627</v>
      </c>
      <c r="B68" s="2" t="s">
        <v>10</v>
      </c>
      <c r="C68">
        <v>6324.04</v>
      </c>
      <c r="D68">
        <v>660589</v>
      </c>
      <c r="E68">
        <v>21577</v>
      </c>
      <c r="F68">
        <v>1093</v>
      </c>
      <c r="G68">
        <v>71106.59</v>
      </c>
      <c r="H68">
        <v>0.28999999999999998</v>
      </c>
      <c r="I68">
        <v>5.79</v>
      </c>
      <c r="J68">
        <v>11.24</v>
      </c>
      <c r="K68">
        <f t="shared" si="2"/>
        <v>11.243855193831791</v>
      </c>
    </row>
    <row r="69" spans="1:11" x14ac:dyDescent="0.25">
      <c r="A69" s="1">
        <v>45627</v>
      </c>
      <c r="B69" s="2" t="s">
        <v>11</v>
      </c>
      <c r="C69">
        <v>4828.8999999999996</v>
      </c>
      <c r="D69">
        <v>695009</v>
      </c>
      <c r="E69">
        <v>14964</v>
      </c>
      <c r="F69">
        <v>1187</v>
      </c>
      <c r="G69">
        <v>64482.93</v>
      </c>
      <c r="H69">
        <v>0.32</v>
      </c>
      <c r="I69">
        <v>4.07</v>
      </c>
      <c r="J69">
        <v>13.35</v>
      </c>
      <c r="K69">
        <f t="shared" si="2"/>
        <v>13.353544285448033</v>
      </c>
    </row>
    <row r="70" spans="1:11" x14ac:dyDescent="0.25">
      <c r="A70" s="1">
        <v>45627</v>
      </c>
      <c r="B70" s="2" t="s">
        <v>12</v>
      </c>
      <c r="C70">
        <v>2953.9</v>
      </c>
      <c r="D70">
        <v>532486</v>
      </c>
      <c r="E70">
        <v>13661</v>
      </c>
      <c r="F70">
        <v>413</v>
      </c>
      <c r="G70">
        <v>37390.910000000003</v>
      </c>
      <c r="H70">
        <v>0.22</v>
      </c>
      <c r="I70">
        <v>7.15</v>
      </c>
      <c r="J70">
        <v>12.66</v>
      </c>
      <c r="K70">
        <f t="shared" si="2"/>
        <v>12.65815024205288</v>
      </c>
    </row>
    <row r="71" spans="1:11" x14ac:dyDescent="0.25">
      <c r="A71" s="1">
        <v>45627</v>
      </c>
      <c r="B71" s="2" t="s">
        <v>13</v>
      </c>
      <c r="C71">
        <v>2219.2800000000002</v>
      </c>
      <c r="D71">
        <v>1043919</v>
      </c>
      <c r="E71">
        <v>15552</v>
      </c>
      <c r="F71">
        <v>318</v>
      </c>
      <c r="G71">
        <v>13937.47</v>
      </c>
      <c r="H71">
        <v>0.14000000000000001</v>
      </c>
      <c r="I71">
        <v>6.98</v>
      </c>
      <c r="J71">
        <v>6.28</v>
      </c>
      <c r="K71">
        <f t="shared" si="2"/>
        <v>6.2801764536245983</v>
      </c>
    </row>
    <row r="72" spans="1:11" x14ac:dyDescent="0.25">
      <c r="A72" s="1">
        <v>45627</v>
      </c>
      <c r="B72" s="2" t="s">
        <v>14</v>
      </c>
      <c r="C72">
        <v>1029.27</v>
      </c>
      <c r="D72">
        <v>28124</v>
      </c>
      <c r="E72">
        <v>1213</v>
      </c>
      <c r="F72">
        <v>87</v>
      </c>
      <c r="G72">
        <v>6975.87</v>
      </c>
      <c r="H72">
        <v>0.85</v>
      </c>
      <c r="I72">
        <v>11.83</v>
      </c>
      <c r="J72">
        <v>6.78</v>
      </c>
      <c r="K72">
        <f t="shared" si="2"/>
        <v>6.7774927861494065</v>
      </c>
    </row>
    <row r="73" spans="1:11" x14ac:dyDescent="0.25">
      <c r="A73" s="1">
        <v>45627</v>
      </c>
      <c r="B73" s="2" t="s">
        <v>15</v>
      </c>
      <c r="C73">
        <v>3521.84</v>
      </c>
      <c r="D73">
        <v>410225</v>
      </c>
      <c r="E73">
        <v>25902</v>
      </c>
      <c r="F73">
        <v>1627</v>
      </c>
      <c r="G73">
        <v>75390.95</v>
      </c>
      <c r="H73">
        <v>0.14000000000000001</v>
      </c>
      <c r="I73">
        <v>2.16</v>
      </c>
      <c r="J73">
        <v>21.41</v>
      </c>
      <c r="K73">
        <f t="shared" si="2"/>
        <v>21.406693660132202</v>
      </c>
    </row>
    <row r="74" spans="1:11" x14ac:dyDescent="0.25">
      <c r="A74" s="1">
        <v>45658</v>
      </c>
      <c r="B74" s="2" t="s">
        <v>10</v>
      </c>
      <c r="C74">
        <v>2419.64</v>
      </c>
      <c r="D74">
        <v>246287</v>
      </c>
      <c r="E74">
        <v>7644</v>
      </c>
      <c r="F74">
        <v>365</v>
      </c>
      <c r="G74">
        <v>25542.59</v>
      </c>
      <c r="H74">
        <v>0.32</v>
      </c>
      <c r="I74">
        <v>6.63</v>
      </c>
      <c r="J74">
        <v>10.56</v>
      </c>
      <c r="K74">
        <f t="shared" si="2"/>
        <v>10.556359623745681</v>
      </c>
    </row>
    <row r="75" spans="1:11" x14ac:dyDescent="0.25">
      <c r="A75" s="1">
        <v>45658</v>
      </c>
      <c r="B75" s="2" t="s">
        <v>11</v>
      </c>
      <c r="C75">
        <v>2367.52</v>
      </c>
      <c r="D75">
        <v>416899</v>
      </c>
      <c r="E75">
        <v>7683</v>
      </c>
      <c r="F75">
        <v>287</v>
      </c>
      <c r="G75">
        <v>11865.8</v>
      </c>
      <c r="H75">
        <v>0.31</v>
      </c>
      <c r="I75">
        <v>8.25</v>
      </c>
      <c r="J75">
        <v>5.01</v>
      </c>
      <c r="K75">
        <f t="shared" si="2"/>
        <v>5.011911198215854</v>
      </c>
    </row>
    <row r="76" spans="1:11" x14ac:dyDescent="0.25">
      <c r="A76" s="1">
        <v>45658</v>
      </c>
      <c r="B76" s="2" t="s">
        <v>12</v>
      </c>
      <c r="C76">
        <v>1728.09</v>
      </c>
      <c r="D76">
        <v>357769</v>
      </c>
      <c r="E76">
        <v>8998</v>
      </c>
      <c r="F76">
        <v>495</v>
      </c>
      <c r="G76">
        <v>48198.87</v>
      </c>
      <c r="H76">
        <v>0.19</v>
      </c>
      <c r="I76">
        <v>3.49</v>
      </c>
      <c r="J76">
        <v>27.89</v>
      </c>
      <c r="K76">
        <f t="shared" si="2"/>
        <v>27.891411905629919</v>
      </c>
    </row>
    <row r="77" spans="1:11" x14ac:dyDescent="0.25">
      <c r="A77" s="1">
        <v>45658</v>
      </c>
      <c r="B77" s="2" t="s">
        <v>13</v>
      </c>
      <c r="C77">
        <v>1968.38</v>
      </c>
      <c r="D77">
        <v>729442</v>
      </c>
      <c r="E77">
        <v>16828</v>
      </c>
      <c r="F77">
        <v>829</v>
      </c>
      <c r="G77">
        <v>74390.880000000005</v>
      </c>
      <c r="H77">
        <v>0.12</v>
      </c>
      <c r="I77">
        <v>2.37</v>
      </c>
      <c r="J77">
        <v>37.79</v>
      </c>
      <c r="K77">
        <f t="shared" si="2"/>
        <v>37.792946483910626</v>
      </c>
    </row>
    <row r="78" spans="1:11" x14ac:dyDescent="0.25">
      <c r="A78" s="1">
        <v>45658</v>
      </c>
      <c r="B78" s="2" t="s">
        <v>14</v>
      </c>
      <c r="C78">
        <v>730.59</v>
      </c>
      <c r="D78">
        <v>29426</v>
      </c>
      <c r="E78">
        <v>878</v>
      </c>
      <c r="F78">
        <v>36</v>
      </c>
      <c r="G78">
        <v>3745.83</v>
      </c>
      <c r="H78">
        <v>0.83</v>
      </c>
      <c r="I78">
        <v>20.29</v>
      </c>
      <c r="J78">
        <v>5.13</v>
      </c>
      <c r="K78">
        <f t="shared" si="2"/>
        <v>5.127130127705005</v>
      </c>
    </row>
    <row r="79" spans="1:11" x14ac:dyDescent="0.25">
      <c r="A79" s="1">
        <v>45658</v>
      </c>
      <c r="B79" s="2" t="s">
        <v>15</v>
      </c>
      <c r="C79">
        <v>4482.46</v>
      </c>
      <c r="D79">
        <v>259271</v>
      </c>
      <c r="E79">
        <v>12860</v>
      </c>
      <c r="F79">
        <v>272</v>
      </c>
      <c r="G79">
        <v>16965.03</v>
      </c>
      <c r="H79">
        <v>0.35</v>
      </c>
      <c r="I79">
        <v>16.48</v>
      </c>
      <c r="J79">
        <v>3.78</v>
      </c>
      <c r="K79">
        <f t="shared" si="2"/>
        <v>3.7847588154718612</v>
      </c>
    </row>
    <row r="80" spans="1:11" x14ac:dyDescent="0.25">
      <c r="A80" s="1">
        <v>45689</v>
      </c>
      <c r="B80" s="2" t="s">
        <v>10</v>
      </c>
      <c r="C80">
        <v>3865.38</v>
      </c>
      <c r="D80">
        <v>389308</v>
      </c>
      <c r="E80">
        <v>12899</v>
      </c>
      <c r="F80">
        <v>273</v>
      </c>
      <c r="G80">
        <v>15024.39</v>
      </c>
      <c r="H80">
        <v>0.3</v>
      </c>
      <c r="I80">
        <v>14.16</v>
      </c>
      <c r="J80">
        <v>3.89</v>
      </c>
      <c r="K80">
        <f t="shared" si="2"/>
        <v>3.8869115067600077</v>
      </c>
    </row>
    <row r="81" spans="1:11" x14ac:dyDescent="0.25">
      <c r="A81" s="1">
        <v>45689</v>
      </c>
      <c r="B81" s="2" t="s">
        <v>11</v>
      </c>
      <c r="C81">
        <v>3426.6</v>
      </c>
      <c r="D81">
        <v>574506</v>
      </c>
      <c r="E81">
        <v>13385</v>
      </c>
      <c r="F81">
        <v>291</v>
      </c>
      <c r="G81">
        <v>24511.8</v>
      </c>
      <c r="H81">
        <v>0.26</v>
      </c>
      <c r="I81">
        <v>11.78</v>
      </c>
      <c r="J81">
        <v>7.15</v>
      </c>
      <c r="K81">
        <f t="shared" si="2"/>
        <v>7.1533881982139729</v>
      </c>
    </row>
    <row r="82" spans="1:11" x14ac:dyDescent="0.25">
      <c r="A82" s="1">
        <v>45689</v>
      </c>
      <c r="B82" s="2" t="s">
        <v>12</v>
      </c>
      <c r="C82">
        <v>1209.8499999999999</v>
      </c>
      <c r="D82">
        <v>268204</v>
      </c>
      <c r="E82">
        <v>5850</v>
      </c>
      <c r="F82">
        <v>178</v>
      </c>
      <c r="G82">
        <v>19822.71</v>
      </c>
      <c r="H82">
        <v>0.21</v>
      </c>
      <c r="I82">
        <v>6.8</v>
      </c>
      <c r="J82">
        <v>16.38</v>
      </c>
      <c r="K82">
        <f t="shared" si="2"/>
        <v>16.384436087118239</v>
      </c>
    </row>
    <row r="83" spans="1:11" x14ac:dyDescent="0.25">
      <c r="A83" s="1">
        <v>45689</v>
      </c>
      <c r="B83" s="2" t="s">
        <v>13</v>
      </c>
      <c r="C83">
        <v>1749.5</v>
      </c>
      <c r="D83">
        <v>755271</v>
      </c>
      <c r="E83">
        <v>17300</v>
      </c>
      <c r="F83">
        <v>605</v>
      </c>
      <c r="G83">
        <v>34578.68</v>
      </c>
      <c r="H83">
        <v>0.1</v>
      </c>
      <c r="I83">
        <v>2.89</v>
      </c>
      <c r="J83">
        <v>19.760000000000002</v>
      </c>
      <c r="K83">
        <f t="shared" si="2"/>
        <v>19.764892826521862</v>
      </c>
    </row>
    <row r="84" spans="1:11" x14ac:dyDescent="0.25">
      <c r="A84" s="1">
        <v>45689</v>
      </c>
      <c r="B84" s="2" t="s">
        <v>14</v>
      </c>
      <c r="C84">
        <v>724.9</v>
      </c>
      <c r="D84">
        <v>34283</v>
      </c>
      <c r="E84">
        <v>841</v>
      </c>
      <c r="F84">
        <v>23</v>
      </c>
      <c r="G84">
        <v>2632.2</v>
      </c>
      <c r="H84">
        <v>0.86</v>
      </c>
      <c r="I84">
        <v>31.52</v>
      </c>
      <c r="J84">
        <v>3.63</v>
      </c>
      <c r="K84">
        <f t="shared" si="2"/>
        <v>3.6311215340046901</v>
      </c>
    </row>
    <row r="85" spans="1:11" x14ac:dyDescent="0.25">
      <c r="A85" s="1">
        <v>45689</v>
      </c>
      <c r="B85" s="2" t="s">
        <v>15</v>
      </c>
      <c r="C85">
        <v>3299.54</v>
      </c>
      <c r="D85">
        <v>459041</v>
      </c>
      <c r="E85">
        <v>23850</v>
      </c>
      <c r="F85">
        <v>1314</v>
      </c>
      <c r="G85">
        <v>145897.87</v>
      </c>
      <c r="H85">
        <v>0.14000000000000001</v>
      </c>
      <c r="I85">
        <v>2.5099999999999998</v>
      </c>
      <c r="J85">
        <v>44.22</v>
      </c>
      <c r="K85">
        <f t="shared" si="2"/>
        <v>44.217639428526397</v>
      </c>
    </row>
    <row r="86" spans="1:11" x14ac:dyDescent="0.25">
      <c r="A86" s="1">
        <v>45717</v>
      </c>
      <c r="B86" s="2" t="s">
        <v>10</v>
      </c>
      <c r="C86">
        <v>4709.29</v>
      </c>
      <c r="D86">
        <v>593246</v>
      </c>
      <c r="E86">
        <v>20049</v>
      </c>
      <c r="F86">
        <v>419</v>
      </c>
      <c r="G86">
        <v>15626.52</v>
      </c>
      <c r="H86">
        <v>0.23</v>
      </c>
      <c r="I86">
        <v>11.24</v>
      </c>
      <c r="J86">
        <v>3.32</v>
      </c>
      <c r="K86">
        <f t="shared" si="2"/>
        <v>3.3182326847571502</v>
      </c>
    </row>
    <row r="87" spans="1:11" x14ac:dyDescent="0.25">
      <c r="A87" s="1">
        <v>45717</v>
      </c>
      <c r="B87" s="2" t="s">
        <v>11</v>
      </c>
      <c r="C87">
        <v>4232.78</v>
      </c>
      <c r="D87">
        <v>519688</v>
      </c>
      <c r="E87">
        <v>7437</v>
      </c>
      <c r="F87">
        <v>187</v>
      </c>
      <c r="G87">
        <v>19451.189999999999</v>
      </c>
      <c r="H87">
        <v>0.56999999999999995</v>
      </c>
      <c r="I87">
        <v>22.64</v>
      </c>
      <c r="J87">
        <v>4.5999999999999996</v>
      </c>
      <c r="K87">
        <f t="shared" si="2"/>
        <v>4.5953699459929407</v>
      </c>
    </row>
    <row r="88" spans="1:11" x14ac:dyDescent="0.25">
      <c r="A88" s="1">
        <v>45717</v>
      </c>
      <c r="B88" s="2" t="s">
        <v>12</v>
      </c>
      <c r="C88">
        <v>1879.89</v>
      </c>
      <c r="D88">
        <v>271949</v>
      </c>
      <c r="E88">
        <v>10176</v>
      </c>
      <c r="F88">
        <v>385</v>
      </c>
      <c r="G88">
        <v>26118.46</v>
      </c>
      <c r="H88">
        <v>0.18</v>
      </c>
      <c r="I88">
        <v>4.88</v>
      </c>
      <c r="J88">
        <v>13.89</v>
      </c>
      <c r="K88">
        <f t="shared" si="2"/>
        <v>13.893610796376382</v>
      </c>
    </row>
    <row r="89" spans="1:11" x14ac:dyDescent="0.25">
      <c r="A89" s="1">
        <v>45717</v>
      </c>
      <c r="B89" s="2" t="s">
        <v>13</v>
      </c>
      <c r="C89">
        <v>2507.12</v>
      </c>
      <c r="D89">
        <v>1243607</v>
      </c>
      <c r="E89">
        <v>25093</v>
      </c>
      <c r="F89">
        <v>1739</v>
      </c>
      <c r="G89">
        <v>74893.05</v>
      </c>
      <c r="H89">
        <v>0.1</v>
      </c>
      <c r="I89">
        <v>1.44</v>
      </c>
      <c r="J89">
        <v>29.87</v>
      </c>
      <c r="K89">
        <f t="shared" si="2"/>
        <v>29.872144133507771</v>
      </c>
    </row>
    <row r="90" spans="1:11" x14ac:dyDescent="0.25">
      <c r="A90" s="1">
        <v>45717</v>
      </c>
      <c r="B90" s="2" t="s">
        <v>14</v>
      </c>
      <c r="C90">
        <v>1106.72</v>
      </c>
      <c r="D90">
        <v>32243</v>
      </c>
      <c r="E90">
        <v>1215</v>
      </c>
      <c r="F90">
        <v>65</v>
      </c>
      <c r="G90">
        <v>7269.93</v>
      </c>
      <c r="H90">
        <v>0.91</v>
      </c>
      <c r="I90">
        <v>17.03</v>
      </c>
      <c r="J90">
        <v>6.57</v>
      </c>
      <c r="K90">
        <f t="shared" si="2"/>
        <v>6.5688972820586962</v>
      </c>
    </row>
    <row r="91" spans="1:11" x14ac:dyDescent="0.25">
      <c r="A91" s="1">
        <v>45717</v>
      </c>
      <c r="B91" s="2" t="s">
        <v>15</v>
      </c>
      <c r="C91">
        <v>4766.51</v>
      </c>
      <c r="D91">
        <v>665757</v>
      </c>
      <c r="E91">
        <v>23664</v>
      </c>
      <c r="F91">
        <v>737</v>
      </c>
      <c r="G91">
        <v>55748.27</v>
      </c>
      <c r="H91">
        <v>0.2</v>
      </c>
      <c r="I91">
        <v>6.47</v>
      </c>
      <c r="J91">
        <v>11.7</v>
      </c>
      <c r="K91">
        <f t="shared" si="2"/>
        <v>11.695825666997445</v>
      </c>
    </row>
    <row r="92" spans="1:11" x14ac:dyDescent="0.25">
      <c r="A92" s="1">
        <v>45748</v>
      </c>
      <c r="B92" s="2" t="s">
        <v>10</v>
      </c>
      <c r="C92">
        <v>6090.74</v>
      </c>
      <c r="D92">
        <v>793655</v>
      </c>
      <c r="E92">
        <v>25107</v>
      </c>
      <c r="F92">
        <v>1461</v>
      </c>
      <c r="G92">
        <v>113492.74</v>
      </c>
      <c r="H92">
        <v>0.24</v>
      </c>
      <c r="I92">
        <v>4.17</v>
      </c>
      <c r="J92">
        <v>18.63</v>
      </c>
      <c r="K92">
        <f t="shared" si="2"/>
        <v>18.633653710386589</v>
      </c>
    </row>
    <row r="93" spans="1:11" x14ac:dyDescent="0.25">
      <c r="A93" s="1">
        <v>45748</v>
      </c>
      <c r="B93" s="2" t="s">
        <v>11</v>
      </c>
      <c r="C93">
        <v>4830.1000000000004</v>
      </c>
      <c r="D93">
        <v>801899</v>
      </c>
      <c r="E93">
        <v>21530</v>
      </c>
      <c r="F93">
        <v>1240</v>
      </c>
      <c r="G93">
        <v>102989.85</v>
      </c>
      <c r="H93">
        <v>0.22</v>
      </c>
      <c r="I93">
        <v>3.9</v>
      </c>
      <c r="J93">
        <v>21.32</v>
      </c>
      <c r="K93">
        <f t="shared" si="2"/>
        <v>21.322508850748431</v>
      </c>
    </row>
    <row r="94" spans="1:11" x14ac:dyDescent="0.25">
      <c r="A94" s="1">
        <v>45748</v>
      </c>
      <c r="B94" s="2" t="s">
        <v>12</v>
      </c>
      <c r="C94">
        <v>3324.89</v>
      </c>
      <c r="D94">
        <v>537804</v>
      </c>
      <c r="E94">
        <v>17879</v>
      </c>
      <c r="F94">
        <v>569</v>
      </c>
      <c r="G94">
        <v>51919.29</v>
      </c>
      <c r="H94">
        <v>0.19</v>
      </c>
      <c r="I94">
        <v>5.84</v>
      </c>
      <c r="J94">
        <v>15.62</v>
      </c>
      <c r="K94">
        <f t="shared" si="2"/>
        <v>15.615340657886428</v>
      </c>
    </row>
    <row r="95" spans="1:11" x14ac:dyDescent="0.25">
      <c r="A95" s="1">
        <v>45748</v>
      </c>
      <c r="B95" s="2" t="s">
        <v>13</v>
      </c>
      <c r="C95">
        <v>1641.2</v>
      </c>
      <c r="D95">
        <v>669391</v>
      </c>
      <c r="E95">
        <v>13741</v>
      </c>
      <c r="F95">
        <v>929</v>
      </c>
      <c r="G95">
        <v>95190.94</v>
      </c>
      <c r="H95">
        <v>0.12</v>
      </c>
      <c r="I95">
        <v>1.77</v>
      </c>
      <c r="J95">
        <v>58</v>
      </c>
      <c r="K95">
        <f t="shared" si="2"/>
        <v>58.000816475749453</v>
      </c>
    </row>
    <row r="96" spans="1:11" x14ac:dyDescent="0.25">
      <c r="A96" s="1">
        <v>45748</v>
      </c>
      <c r="B96" s="2" t="s">
        <v>14</v>
      </c>
      <c r="C96">
        <v>682.35</v>
      </c>
      <c r="D96">
        <v>29295</v>
      </c>
      <c r="E96">
        <v>1599</v>
      </c>
      <c r="F96">
        <v>88</v>
      </c>
      <c r="G96">
        <v>5435.52</v>
      </c>
      <c r="H96">
        <v>0.43</v>
      </c>
      <c r="I96">
        <v>7.75</v>
      </c>
      <c r="J96">
        <v>7.97</v>
      </c>
      <c r="K96">
        <f t="shared" si="2"/>
        <v>7.9658826115629813</v>
      </c>
    </row>
    <row r="97" spans="1:11" x14ac:dyDescent="0.25">
      <c r="A97" s="1">
        <v>45748</v>
      </c>
      <c r="B97" s="2" t="s">
        <v>15</v>
      </c>
      <c r="C97">
        <v>5320.31</v>
      </c>
      <c r="D97">
        <v>351288</v>
      </c>
      <c r="E97">
        <v>25672</v>
      </c>
      <c r="F97">
        <v>1154</v>
      </c>
      <c r="G97">
        <v>118652.19</v>
      </c>
      <c r="H97">
        <v>0.21</v>
      </c>
      <c r="I97">
        <v>4.6100000000000003</v>
      </c>
      <c r="J97">
        <v>22.3</v>
      </c>
      <c r="K97">
        <f t="shared" si="2"/>
        <v>22.301743695386168</v>
      </c>
    </row>
    <row r="98" spans="1:11" x14ac:dyDescent="0.25">
      <c r="A98" s="1">
        <v>45778</v>
      </c>
      <c r="B98" s="2" t="s">
        <v>10</v>
      </c>
      <c r="C98">
        <v>7647.25</v>
      </c>
      <c r="D98">
        <v>974567</v>
      </c>
      <c r="E98">
        <v>48686</v>
      </c>
      <c r="F98">
        <v>3109</v>
      </c>
      <c r="G98">
        <v>203610.44</v>
      </c>
      <c r="H98">
        <v>0.16</v>
      </c>
      <c r="I98">
        <v>2.46</v>
      </c>
      <c r="J98">
        <v>26.63</v>
      </c>
      <c r="K98">
        <f t="shared" ref="K98:K129" si="3">G98 / C98</f>
        <v>26.625314982510051</v>
      </c>
    </row>
    <row r="99" spans="1:11" x14ac:dyDescent="0.25">
      <c r="A99" s="1">
        <v>45778</v>
      </c>
      <c r="B99" s="2" t="s">
        <v>11</v>
      </c>
      <c r="C99">
        <v>2606.5100000000002</v>
      </c>
      <c r="D99">
        <v>265540</v>
      </c>
      <c r="E99">
        <v>4450</v>
      </c>
      <c r="F99">
        <v>207</v>
      </c>
      <c r="G99">
        <v>17816.900000000001</v>
      </c>
      <c r="H99">
        <v>0.59</v>
      </c>
      <c r="I99">
        <v>12.59</v>
      </c>
      <c r="J99">
        <v>6.84</v>
      </c>
      <c r="K99">
        <f t="shared" si="3"/>
        <v>6.8355387088482296</v>
      </c>
    </row>
    <row r="100" spans="1:11" x14ac:dyDescent="0.25">
      <c r="A100" s="1">
        <v>45778</v>
      </c>
      <c r="B100" s="2" t="s">
        <v>12</v>
      </c>
      <c r="C100">
        <v>2046.54</v>
      </c>
      <c r="D100">
        <v>489976</v>
      </c>
      <c r="E100">
        <v>11843</v>
      </c>
      <c r="F100">
        <v>310</v>
      </c>
      <c r="G100">
        <v>20859.689999999999</v>
      </c>
      <c r="H100">
        <v>0.17</v>
      </c>
      <c r="I100">
        <v>6.6</v>
      </c>
      <c r="J100">
        <v>10.19</v>
      </c>
      <c r="K100">
        <f t="shared" si="3"/>
        <v>10.192661760825589</v>
      </c>
    </row>
    <row r="101" spans="1:11" x14ac:dyDescent="0.25">
      <c r="A101" s="1">
        <v>45778</v>
      </c>
      <c r="B101" s="2" t="s">
        <v>13</v>
      </c>
      <c r="C101">
        <v>1366.22</v>
      </c>
      <c r="D101">
        <v>579593</v>
      </c>
      <c r="E101">
        <v>10786</v>
      </c>
      <c r="F101">
        <v>727</v>
      </c>
      <c r="G101">
        <v>34666.980000000003</v>
      </c>
      <c r="H101">
        <v>0.13</v>
      </c>
      <c r="I101">
        <v>1.88</v>
      </c>
      <c r="J101">
        <v>25.37</v>
      </c>
      <c r="K101">
        <f t="shared" si="3"/>
        <v>25.374376015575823</v>
      </c>
    </row>
    <row r="102" spans="1:11" x14ac:dyDescent="0.25">
      <c r="A102" s="1">
        <v>45778</v>
      </c>
      <c r="B102" s="2" t="s">
        <v>14</v>
      </c>
      <c r="C102">
        <v>749.19</v>
      </c>
      <c r="D102">
        <v>25894</v>
      </c>
      <c r="E102">
        <v>1280</v>
      </c>
      <c r="F102">
        <v>98</v>
      </c>
      <c r="G102">
        <v>6871.07</v>
      </c>
      <c r="H102">
        <v>0.59</v>
      </c>
      <c r="I102">
        <v>7.64</v>
      </c>
      <c r="J102">
        <v>9.17</v>
      </c>
      <c r="K102">
        <f t="shared" si="3"/>
        <v>9.171331704907967</v>
      </c>
    </row>
    <row r="103" spans="1:11" x14ac:dyDescent="0.25">
      <c r="A103" s="1">
        <v>45778</v>
      </c>
      <c r="B103" s="2" t="s">
        <v>15</v>
      </c>
      <c r="C103">
        <v>2073.6799999999998</v>
      </c>
      <c r="D103">
        <v>278956</v>
      </c>
      <c r="E103">
        <v>16107</v>
      </c>
      <c r="F103">
        <v>685</v>
      </c>
      <c r="G103">
        <v>48327.13</v>
      </c>
      <c r="H103">
        <v>0.13</v>
      </c>
      <c r="I103">
        <v>3.03</v>
      </c>
      <c r="J103">
        <v>23.31</v>
      </c>
      <c r="K103">
        <f t="shared" si="3"/>
        <v>23.30500848732688</v>
      </c>
    </row>
    <row r="104" spans="1:11" x14ac:dyDescent="0.25">
      <c r="A104" s="1">
        <v>45809</v>
      </c>
      <c r="B104" s="2" t="s">
        <v>10</v>
      </c>
      <c r="C104">
        <v>6596.09</v>
      </c>
      <c r="D104">
        <v>680816</v>
      </c>
      <c r="E104">
        <v>29467</v>
      </c>
      <c r="F104">
        <v>2261</v>
      </c>
      <c r="G104">
        <v>87271.92</v>
      </c>
      <c r="H104">
        <v>0.22</v>
      </c>
      <c r="I104">
        <v>2.92</v>
      </c>
      <c r="J104">
        <v>13.23</v>
      </c>
      <c r="K104">
        <f t="shared" si="3"/>
        <v>13.230856461934266</v>
      </c>
    </row>
    <row r="105" spans="1:11" x14ac:dyDescent="0.25">
      <c r="A105" s="1">
        <v>45809</v>
      </c>
      <c r="B105" s="2" t="s">
        <v>11</v>
      </c>
      <c r="C105">
        <v>4942.6899999999996</v>
      </c>
      <c r="D105">
        <v>742608</v>
      </c>
      <c r="E105">
        <v>14778</v>
      </c>
      <c r="F105">
        <v>762</v>
      </c>
      <c r="G105">
        <v>64842.82</v>
      </c>
      <c r="H105">
        <v>0.33</v>
      </c>
      <c r="I105">
        <v>6.49</v>
      </c>
      <c r="J105">
        <v>13.12</v>
      </c>
      <c r="K105">
        <f t="shared" si="3"/>
        <v>13.118933212481464</v>
      </c>
    </row>
    <row r="106" spans="1:11" x14ac:dyDescent="0.25">
      <c r="A106" s="1">
        <v>45809</v>
      </c>
      <c r="B106" s="2" t="s">
        <v>12</v>
      </c>
      <c r="C106">
        <v>3626.73</v>
      </c>
      <c r="D106">
        <v>450696</v>
      </c>
      <c r="E106">
        <v>14857</v>
      </c>
      <c r="F106">
        <v>1110</v>
      </c>
      <c r="G106">
        <v>85124.39</v>
      </c>
      <c r="H106">
        <v>0.24</v>
      </c>
      <c r="I106">
        <v>3.27</v>
      </c>
      <c r="J106">
        <v>23.47</v>
      </c>
      <c r="K106">
        <f t="shared" si="3"/>
        <v>23.47138882684953</v>
      </c>
    </row>
    <row r="107" spans="1:11" x14ac:dyDescent="0.25">
      <c r="A107" s="1">
        <v>45809</v>
      </c>
      <c r="B107" s="2" t="s">
        <v>13</v>
      </c>
      <c r="C107">
        <v>2672.46</v>
      </c>
      <c r="D107">
        <v>798351</v>
      </c>
      <c r="E107">
        <v>16277</v>
      </c>
      <c r="F107">
        <v>489</v>
      </c>
      <c r="G107">
        <v>33199.24</v>
      </c>
      <c r="H107">
        <v>0.16</v>
      </c>
      <c r="I107">
        <v>5.47</v>
      </c>
      <c r="J107">
        <v>12.42</v>
      </c>
      <c r="K107">
        <f t="shared" si="3"/>
        <v>12.422726626404136</v>
      </c>
    </row>
    <row r="108" spans="1:11" x14ac:dyDescent="0.25">
      <c r="A108" s="1">
        <v>45809</v>
      </c>
      <c r="B108" s="2" t="s">
        <v>14</v>
      </c>
      <c r="C108">
        <v>1293.73</v>
      </c>
      <c r="D108">
        <v>31040</v>
      </c>
      <c r="E108">
        <v>1612</v>
      </c>
      <c r="F108">
        <v>38</v>
      </c>
      <c r="G108">
        <v>4167.46</v>
      </c>
      <c r="H108">
        <v>0.8</v>
      </c>
      <c r="I108">
        <v>34.049999999999997</v>
      </c>
      <c r="J108">
        <v>3.22</v>
      </c>
      <c r="K108">
        <f t="shared" si="3"/>
        <v>3.2212749182596059</v>
      </c>
    </row>
    <row r="109" spans="1:11" x14ac:dyDescent="0.25">
      <c r="A109" s="1">
        <v>45809</v>
      </c>
      <c r="B109" s="2" t="s">
        <v>15</v>
      </c>
      <c r="C109">
        <v>4583.34</v>
      </c>
      <c r="D109">
        <v>673654</v>
      </c>
      <c r="E109">
        <v>48789</v>
      </c>
      <c r="F109">
        <v>2877</v>
      </c>
      <c r="G109">
        <v>255897.99</v>
      </c>
      <c r="H109">
        <v>0.09</v>
      </c>
      <c r="I109">
        <v>1.59</v>
      </c>
      <c r="J109">
        <v>55.83</v>
      </c>
      <c r="K109">
        <f t="shared" si="3"/>
        <v>55.832207516789062</v>
      </c>
    </row>
    <row r="110" spans="1:11" x14ac:dyDescent="0.25">
      <c r="A110" s="1">
        <v>45839</v>
      </c>
      <c r="B110" s="2" t="s">
        <v>10</v>
      </c>
      <c r="C110">
        <v>5843.74</v>
      </c>
      <c r="D110">
        <v>487289</v>
      </c>
      <c r="E110">
        <v>12489</v>
      </c>
      <c r="F110">
        <v>480</v>
      </c>
      <c r="G110">
        <v>24954.400000000001</v>
      </c>
      <c r="H110">
        <v>0.47</v>
      </c>
      <c r="I110">
        <v>12.17</v>
      </c>
      <c r="J110">
        <v>4.2699999999999996</v>
      </c>
      <c r="K110">
        <f t="shared" si="3"/>
        <v>4.2702789651832562</v>
      </c>
    </row>
    <row r="111" spans="1:11" x14ac:dyDescent="0.25">
      <c r="A111" s="1">
        <v>45839</v>
      </c>
      <c r="B111" s="2" t="s">
        <v>11</v>
      </c>
      <c r="C111">
        <v>3147.25</v>
      </c>
      <c r="D111">
        <v>414354</v>
      </c>
      <c r="E111">
        <v>6374</v>
      </c>
      <c r="F111">
        <v>379</v>
      </c>
      <c r="G111">
        <v>32851.11</v>
      </c>
      <c r="H111">
        <v>0.49</v>
      </c>
      <c r="I111">
        <v>8.3000000000000007</v>
      </c>
      <c r="J111">
        <v>10.44</v>
      </c>
      <c r="K111">
        <f t="shared" si="3"/>
        <v>10.438036380967512</v>
      </c>
    </row>
    <row r="112" spans="1:11" x14ac:dyDescent="0.25">
      <c r="A112" s="1">
        <v>45839</v>
      </c>
      <c r="B112" s="2" t="s">
        <v>12</v>
      </c>
      <c r="C112">
        <v>2196.06</v>
      </c>
      <c r="D112">
        <v>301227</v>
      </c>
      <c r="E112">
        <v>4833</v>
      </c>
      <c r="F112">
        <v>269</v>
      </c>
      <c r="G112">
        <v>22554.37</v>
      </c>
      <c r="H112">
        <v>0.45</v>
      </c>
      <c r="I112">
        <v>8.16</v>
      </c>
      <c r="J112">
        <v>10.27</v>
      </c>
      <c r="K112">
        <f t="shared" si="3"/>
        <v>10.270379679972313</v>
      </c>
    </row>
    <row r="113" spans="1:11" x14ac:dyDescent="0.25">
      <c r="A113" s="1">
        <v>45839</v>
      </c>
      <c r="B113" s="2" t="s">
        <v>13</v>
      </c>
      <c r="C113">
        <v>3326.9</v>
      </c>
      <c r="D113">
        <v>977120</v>
      </c>
      <c r="E113">
        <v>17387</v>
      </c>
      <c r="F113">
        <v>429</v>
      </c>
      <c r="G113">
        <v>22073.93</v>
      </c>
      <c r="H113">
        <v>0.19</v>
      </c>
      <c r="I113">
        <v>7.76</v>
      </c>
      <c r="J113">
        <v>6.63</v>
      </c>
      <c r="K113">
        <f t="shared" si="3"/>
        <v>6.6349845201238393</v>
      </c>
    </row>
    <row r="114" spans="1:11" x14ac:dyDescent="0.25">
      <c r="A114" s="1">
        <v>45839</v>
      </c>
      <c r="B114" s="2" t="s">
        <v>14</v>
      </c>
      <c r="C114">
        <v>1362</v>
      </c>
      <c r="D114">
        <v>31149</v>
      </c>
      <c r="E114">
        <v>725</v>
      </c>
      <c r="F114">
        <v>41</v>
      </c>
      <c r="G114">
        <v>2364.5300000000002</v>
      </c>
      <c r="H114">
        <v>1.88</v>
      </c>
      <c r="I114">
        <v>33.22</v>
      </c>
      <c r="J114">
        <v>1.74</v>
      </c>
      <c r="K114">
        <f t="shared" si="3"/>
        <v>1.7360719530102791</v>
      </c>
    </row>
    <row r="115" spans="1:11" x14ac:dyDescent="0.25">
      <c r="A115" s="1">
        <v>45839</v>
      </c>
      <c r="B115" s="2" t="s">
        <v>15</v>
      </c>
      <c r="C115">
        <v>4182.8900000000003</v>
      </c>
      <c r="D115">
        <v>320406</v>
      </c>
      <c r="E115">
        <v>15265</v>
      </c>
      <c r="F115">
        <v>831</v>
      </c>
      <c r="G115">
        <v>88649.84</v>
      </c>
      <c r="H115">
        <v>0.27</v>
      </c>
      <c r="I115">
        <v>5.03</v>
      </c>
      <c r="J115">
        <v>21.19</v>
      </c>
      <c r="K115">
        <f t="shared" si="3"/>
        <v>21.193442811070813</v>
      </c>
    </row>
    <row r="116" spans="1:11" x14ac:dyDescent="0.25">
      <c r="A116" s="1">
        <v>45870</v>
      </c>
      <c r="B116" s="2" t="s">
        <v>10</v>
      </c>
      <c r="C116">
        <v>4482.62</v>
      </c>
      <c r="D116">
        <v>649315</v>
      </c>
      <c r="E116">
        <v>17276</v>
      </c>
      <c r="F116">
        <v>605</v>
      </c>
      <c r="G116">
        <v>71909.84</v>
      </c>
      <c r="H116">
        <v>0.26</v>
      </c>
      <c r="I116">
        <v>7.41</v>
      </c>
      <c r="J116">
        <v>16.04</v>
      </c>
      <c r="K116">
        <f t="shared" si="3"/>
        <v>16.041921911739117</v>
      </c>
    </row>
    <row r="117" spans="1:11" x14ac:dyDescent="0.25">
      <c r="A117" s="1">
        <v>45870</v>
      </c>
      <c r="B117" s="2" t="s">
        <v>11</v>
      </c>
      <c r="C117">
        <v>4299.84</v>
      </c>
      <c r="D117">
        <v>730386</v>
      </c>
      <c r="E117">
        <v>19582</v>
      </c>
      <c r="F117">
        <v>842</v>
      </c>
      <c r="G117">
        <v>39541.480000000003</v>
      </c>
      <c r="H117">
        <v>0.22</v>
      </c>
      <c r="I117">
        <v>5.1100000000000003</v>
      </c>
      <c r="J117">
        <v>9.1999999999999993</v>
      </c>
      <c r="K117">
        <f t="shared" si="3"/>
        <v>9.196035201309817</v>
      </c>
    </row>
    <row r="118" spans="1:11" x14ac:dyDescent="0.25">
      <c r="A118" s="1">
        <v>45870</v>
      </c>
      <c r="B118" s="2" t="s">
        <v>12</v>
      </c>
      <c r="C118">
        <v>1627.91</v>
      </c>
      <c r="D118">
        <v>311503</v>
      </c>
      <c r="E118">
        <v>5905</v>
      </c>
      <c r="F118">
        <v>145</v>
      </c>
      <c r="G118">
        <v>11960.16</v>
      </c>
      <c r="H118">
        <v>0.28000000000000003</v>
      </c>
      <c r="I118">
        <v>11.23</v>
      </c>
      <c r="J118">
        <v>7.35</v>
      </c>
      <c r="K118">
        <f t="shared" si="3"/>
        <v>7.3469417842509719</v>
      </c>
    </row>
    <row r="119" spans="1:11" x14ac:dyDescent="0.25">
      <c r="A119" s="1">
        <v>45870</v>
      </c>
      <c r="B119" s="2" t="s">
        <v>13</v>
      </c>
      <c r="C119">
        <v>2937.8</v>
      </c>
      <c r="D119">
        <v>927533</v>
      </c>
      <c r="E119">
        <v>21550</v>
      </c>
      <c r="F119">
        <v>1621</v>
      </c>
      <c r="G119">
        <v>77463.73</v>
      </c>
      <c r="H119">
        <v>0.14000000000000001</v>
      </c>
      <c r="I119">
        <v>1.81</v>
      </c>
      <c r="J119">
        <v>26.37</v>
      </c>
      <c r="K119">
        <f t="shared" si="3"/>
        <v>26.36793859350534</v>
      </c>
    </row>
    <row r="120" spans="1:11" x14ac:dyDescent="0.25">
      <c r="A120" s="1">
        <v>45870</v>
      </c>
      <c r="B120" s="2" t="s">
        <v>14</v>
      </c>
      <c r="C120">
        <v>979.16</v>
      </c>
      <c r="D120">
        <v>21708</v>
      </c>
      <c r="E120">
        <v>1286</v>
      </c>
      <c r="F120">
        <v>62</v>
      </c>
      <c r="G120">
        <v>6962.74</v>
      </c>
      <c r="H120">
        <v>0.76</v>
      </c>
      <c r="I120">
        <v>15.79</v>
      </c>
      <c r="J120">
        <v>7.11</v>
      </c>
      <c r="K120">
        <f t="shared" si="3"/>
        <v>7.1109318191102577</v>
      </c>
    </row>
    <row r="121" spans="1:11" x14ac:dyDescent="0.25">
      <c r="A121" s="1">
        <v>45870</v>
      </c>
      <c r="B121" s="2" t="s">
        <v>15</v>
      </c>
      <c r="C121">
        <v>4692.08</v>
      </c>
      <c r="D121">
        <v>468848</v>
      </c>
      <c r="E121">
        <v>26005</v>
      </c>
      <c r="F121">
        <v>935</v>
      </c>
      <c r="G121">
        <v>54665.760000000002</v>
      </c>
      <c r="H121">
        <v>0.18</v>
      </c>
      <c r="I121">
        <v>5.0199999999999996</v>
      </c>
      <c r="J121">
        <v>11.65</v>
      </c>
      <c r="K121">
        <f t="shared" si="3"/>
        <v>11.650645342790405</v>
      </c>
    </row>
    <row r="122" spans="1:11" x14ac:dyDescent="0.25">
      <c r="A122" s="1">
        <v>45901</v>
      </c>
      <c r="B122" s="2" t="s">
        <v>10</v>
      </c>
      <c r="C122">
        <v>6501.13</v>
      </c>
      <c r="D122">
        <v>816614</v>
      </c>
      <c r="E122">
        <v>16811</v>
      </c>
      <c r="F122">
        <v>377</v>
      </c>
      <c r="G122">
        <v>24956.21</v>
      </c>
      <c r="H122">
        <v>0.39</v>
      </c>
      <c r="I122">
        <v>17.239999999999998</v>
      </c>
      <c r="J122">
        <v>3.84</v>
      </c>
      <c r="K122">
        <f t="shared" si="3"/>
        <v>3.8387495712283863</v>
      </c>
    </row>
    <row r="123" spans="1:11" x14ac:dyDescent="0.25">
      <c r="A123" s="1">
        <v>45901</v>
      </c>
      <c r="B123" s="2" t="s">
        <v>11</v>
      </c>
      <c r="C123">
        <v>3877.76</v>
      </c>
      <c r="D123">
        <v>476467</v>
      </c>
      <c r="E123">
        <v>7608</v>
      </c>
      <c r="F123">
        <v>275</v>
      </c>
      <c r="G123">
        <v>9733.42</v>
      </c>
      <c r="H123">
        <v>0.51</v>
      </c>
      <c r="I123">
        <v>14.1</v>
      </c>
      <c r="J123">
        <v>2.5099999999999998</v>
      </c>
      <c r="K123">
        <f t="shared" si="3"/>
        <v>2.5100625103152332</v>
      </c>
    </row>
    <row r="124" spans="1:11" x14ac:dyDescent="0.25">
      <c r="A124" s="1">
        <v>45901</v>
      </c>
      <c r="B124" s="2" t="s">
        <v>12</v>
      </c>
      <c r="C124">
        <v>2906.69</v>
      </c>
      <c r="D124">
        <v>460017</v>
      </c>
      <c r="E124">
        <v>10269</v>
      </c>
      <c r="F124">
        <v>577</v>
      </c>
      <c r="G124">
        <v>28673.9</v>
      </c>
      <c r="H124">
        <v>0.28000000000000003</v>
      </c>
      <c r="I124">
        <v>5.04</v>
      </c>
      <c r="J124">
        <v>9.86</v>
      </c>
      <c r="K124">
        <f t="shared" si="3"/>
        <v>9.8647946633455934</v>
      </c>
    </row>
    <row r="125" spans="1:11" x14ac:dyDescent="0.25">
      <c r="A125" s="1">
        <v>45901</v>
      </c>
      <c r="B125" s="2" t="s">
        <v>13</v>
      </c>
      <c r="C125">
        <v>1930.66</v>
      </c>
      <c r="D125">
        <v>883901</v>
      </c>
      <c r="E125">
        <v>12498</v>
      </c>
      <c r="F125">
        <v>571</v>
      </c>
      <c r="G125">
        <v>44399.02</v>
      </c>
      <c r="H125">
        <v>0.15</v>
      </c>
      <c r="I125">
        <v>3.38</v>
      </c>
      <c r="J125">
        <v>23</v>
      </c>
      <c r="K125">
        <f t="shared" si="3"/>
        <v>22.996809381247861</v>
      </c>
    </row>
    <row r="126" spans="1:11" x14ac:dyDescent="0.25">
      <c r="A126" s="1">
        <v>45901</v>
      </c>
      <c r="B126" s="2" t="s">
        <v>14</v>
      </c>
      <c r="C126">
        <v>758.43</v>
      </c>
      <c r="D126">
        <v>19102</v>
      </c>
      <c r="E126">
        <v>1035</v>
      </c>
      <c r="F126">
        <v>65</v>
      </c>
      <c r="G126">
        <v>5572.64</v>
      </c>
      <c r="H126">
        <v>0.73</v>
      </c>
      <c r="I126">
        <v>11.67</v>
      </c>
      <c r="J126">
        <v>7.35</v>
      </c>
      <c r="K126">
        <f t="shared" si="3"/>
        <v>7.347599646638451</v>
      </c>
    </row>
    <row r="127" spans="1:11" x14ac:dyDescent="0.25">
      <c r="A127" s="1">
        <v>45901</v>
      </c>
      <c r="B127" s="2" t="s">
        <v>15</v>
      </c>
      <c r="C127">
        <v>2371.92</v>
      </c>
      <c r="D127">
        <v>301265</v>
      </c>
      <c r="E127">
        <v>14815</v>
      </c>
      <c r="F127">
        <v>300</v>
      </c>
      <c r="G127">
        <v>10831.61</v>
      </c>
      <c r="H127">
        <v>0.16</v>
      </c>
      <c r="I127">
        <v>7.91</v>
      </c>
      <c r="J127">
        <v>4.57</v>
      </c>
      <c r="K127">
        <f t="shared" si="3"/>
        <v>4.5666000539647209</v>
      </c>
    </row>
    <row r="128" spans="1:11" x14ac:dyDescent="0.25">
      <c r="A128" s="1">
        <v>45931</v>
      </c>
      <c r="B128" s="2" t="s">
        <v>10</v>
      </c>
      <c r="C128">
        <v>7934.97</v>
      </c>
      <c r="D128">
        <v>995004</v>
      </c>
      <c r="E128">
        <v>30908</v>
      </c>
      <c r="F128">
        <v>1940</v>
      </c>
      <c r="G128">
        <v>94963.74</v>
      </c>
      <c r="H128">
        <v>0.26</v>
      </c>
      <c r="I128">
        <v>4.09</v>
      </c>
      <c r="J128">
        <v>11.97</v>
      </c>
      <c r="K128">
        <f t="shared" si="3"/>
        <v>11.967750350662952</v>
      </c>
    </row>
    <row r="129" spans="1:11" x14ac:dyDescent="0.25">
      <c r="A129" s="1">
        <v>45931</v>
      </c>
      <c r="B129" s="2" t="s">
        <v>11</v>
      </c>
      <c r="C129">
        <v>4378.84</v>
      </c>
      <c r="D129">
        <v>504101</v>
      </c>
      <c r="E129">
        <v>7870</v>
      </c>
      <c r="F129">
        <v>320</v>
      </c>
      <c r="G129">
        <v>33977.43</v>
      </c>
      <c r="H129">
        <v>0.56000000000000005</v>
      </c>
      <c r="I129">
        <v>13.68</v>
      </c>
      <c r="J129">
        <v>7.76</v>
      </c>
      <c r="K129">
        <f t="shared" si="3"/>
        <v>7.759459126161266</v>
      </c>
    </row>
    <row r="130" spans="1:11" x14ac:dyDescent="0.25">
      <c r="A130" s="1">
        <v>45931</v>
      </c>
      <c r="B130" s="2" t="s">
        <v>12</v>
      </c>
      <c r="C130">
        <v>2800.41</v>
      </c>
      <c r="D130">
        <v>374771</v>
      </c>
      <c r="E130">
        <v>10510</v>
      </c>
      <c r="F130">
        <v>593</v>
      </c>
      <c r="G130">
        <v>59619.96</v>
      </c>
      <c r="H130">
        <v>0.27</v>
      </c>
      <c r="I130">
        <v>4.72</v>
      </c>
      <c r="J130">
        <v>21.29</v>
      </c>
      <c r="K130">
        <f t="shared" ref="K130:K145" si="4">G130 / C130</f>
        <v>21.289725433061587</v>
      </c>
    </row>
    <row r="131" spans="1:11" x14ac:dyDescent="0.25">
      <c r="A131" s="1">
        <v>45931</v>
      </c>
      <c r="B131" s="2" t="s">
        <v>13</v>
      </c>
      <c r="C131">
        <v>1835.34</v>
      </c>
      <c r="D131">
        <v>654311</v>
      </c>
      <c r="E131">
        <v>7132</v>
      </c>
      <c r="F131">
        <v>328</v>
      </c>
      <c r="G131">
        <v>34272.9</v>
      </c>
      <c r="H131">
        <v>0.26</v>
      </c>
      <c r="I131">
        <v>5.6</v>
      </c>
      <c r="J131">
        <v>18.670000000000002</v>
      </c>
      <c r="K131">
        <f t="shared" si="4"/>
        <v>18.673869691719247</v>
      </c>
    </row>
    <row r="132" spans="1:11" x14ac:dyDescent="0.25">
      <c r="A132" s="1">
        <v>45931</v>
      </c>
      <c r="B132" s="2" t="s">
        <v>14</v>
      </c>
      <c r="C132">
        <v>791.74</v>
      </c>
      <c r="D132">
        <v>34439</v>
      </c>
      <c r="E132">
        <v>701</v>
      </c>
      <c r="F132">
        <v>23</v>
      </c>
      <c r="G132">
        <v>959.52</v>
      </c>
      <c r="H132">
        <v>1.1299999999999999</v>
      </c>
      <c r="I132">
        <v>34.42</v>
      </c>
      <c r="J132">
        <v>1.21</v>
      </c>
      <c r="K132">
        <f t="shared" si="4"/>
        <v>1.2119130017429964</v>
      </c>
    </row>
    <row r="133" spans="1:11" x14ac:dyDescent="0.25">
      <c r="A133" s="1">
        <v>45931</v>
      </c>
      <c r="B133" s="2" t="s">
        <v>15</v>
      </c>
      <c r="C133">
        <v>5530.28</v>
      </c>
      <c r="D133">
        <v>556117</v>
      </c>
      <c r="E133">
        <v>27000</v>
      </c>
      <c r="F133">
        <v>1454</v>
      </c>
      <c r="G133">
        <v>161882.79999999999</v>
      </c>
      <c r="H133">
        <v>0.2</v>
      </c>
      <c r="I133">
        <v>3.8</v>
      </c>
      <c r="J133">
        <v>29.27</v>
      </c>
      <c r="K133">
        <f t="shared" si="4"/>
        <v>29.272080256334217</v>
      </c>
    </row>
    <row r="134" spans="1:11" x14ac:dyDescent="0.25">
      <c r="A134" s="1">
        <v>45962</v>
      </c>
      <c r="B134" s="2" t="s">
        <v>10</v>
      </c>
      <c r="C134">
        <v>9175.0499999999993</v>
      </c>
      <c r="D134">
        <v>1213190</v>
      </c>
      <c r="E134">
        <v>42156</v>
      </c>
      <c r="F134">
        <v>2649</v>
      </c>
      <c r="G134">
        <v>156629.41</v>
      </c>
      <c r="H134">
        <v>0.22</v>
      </c>
      <c r="I134">
        <v>3.46</v>
      </c>
      <c r="J134">
        <v>17.07</v>
      </c>
      <c r="K134">
        <f t="shared" si="4"/>
        <v>17.071232309360713</v>
      </c>
    </row>
    <row r="135" spans="1:11" x14ac:dyDescent="0.25">
      <c r="A135" s="1">
        <v>45962</v>
      </c>
      <c r="B135" s="2" t="s">
        <v>11</v>
      </c>
      <c r="C135">
        <v>6884.2</v>
      </c>
      <c r="D135">
        <v>1001489</v>
      </c>
      <c r="E135">
        <v>26466</v>
      </c>
      <c r="F135">
        <v>836</v>
      </c>
      <c r="G135">
        <v>30596.67</v>
      </c>
      <c r="H135">
        <v>0.26</v>
      </c>
      <c r="I135">
        <v>8.23</v>
      </c>
      <c r="J135">
        <v>4.4400000000000004</v>
      </c>
      <c r="K135">
        <f t="shared" si="4"/>
        <v>4.4444772086807474</v>
      </c>
    </row>
    <row r="136" spans="1:11" x14ac:dyDescent="0.25">
      <c r="A136" s="1">
        <v>45962</v>
      </c>
      <c r="B136" s="2" t="s">
        <v>12</v>
      </c>
      <c r="C136">
        <v>2731.23</v>
      </c>
      <c r="D136">
        <v>512210</v>
      </c>
      <c r="E136">
        <v>8585</v>
      </c>
      <c r="F136">
        <v>254</v>
      </c>
      <c r="G136">
        <v>14166.78</v>
      </c>
      <c r="H136">
        <v>0.32</v>
      </c>
      <c r="I136">
        <v>10.75</v>
      </c>
      <c r="J136">
        <v>5.19</v>
      </c>
      <c r="K136">
        <f t="shared" si="4"/>
        <v>5.1869597214441843</v>
      </c>
    </row>
    <row r="137" spans="1:11" x14ac:dyDescent="0.25">
      <c r="A137" s="1">
        <v>45962</v>
      </c>
      <c r="B137" s="2" t="s">
        <v>13</v>
      </c>
      <c r="C137">
        <v>2461.91</v>
      </c>
      <c r="D137">
        <v>1144872</v>
      </c>
      <c r="E137">
        <v>15014</v>
      </c>
      <c r="F137">
        <v>1094</v>
      </c>
      <c r="G137">
        <v>69939.429999999993</v>
      </c>
      <c r="H137">
        <v>0.16</v>
      </c>
      <c r="I137">
        <v>2.25</v>
      </c>
      <c r="J137">
        <v>28.41</v>
      </c>
      <c r="K137">
        <f t="shared" si="4"/>
        <v>28.408605513605288</v>
      </c>
    </row>
    <row r="138" spans="1:11" x14ac:dyDescent="0.25">
      <c r="A138" s="1">
        <v>45962</v>
      </c>
      <c r="B138" s="2" t="s">
        <v>14</v>
      </c>
      <c r="C138">
        <v>1555.69</v>
      </c>
      <c r="D138">
        <v>27509</v>
      </c>
      <c r="E138">
        <v>619</v>
      </c>
      <c r="F138">
        <v>48</v>
      </c>
      <c r="G138">
        <v>5230.26</v>
      </c>
      <c r="H138">
        <v>2.5099999999999998</v>
      </c>
      <c r="I138">
        <v>32.409999999999997</v>
      </c>
      <c r="J138">
        <v>3.36</v>
      </c>
      <c r="K138">
        <f t="shared" si="4"/>
        <v>3.3620194254639419</v>
      </c>
    </row>
    <row r="139" spans="1:11" x14ac:dyDescent="0.25">
      <c r="A139" s="1">
        <v>45962</v>
      </c>
      <c r="B139" s="2" t="s">
        <v>15</v>
      </c>
      <c r="C139">
        <v>3739.24</v>
      </c>
      <c r="D139">
        <v>513437</v>
      </c>
      <c r="E139">
        <v>35516</v>
      </c>
      <c r="F139">
        <v>2154</v>
      </c>
      <c r="G139">
        <v>181593.14</v>
      </c>
      <c r="H139">
        <v>0.11</v>
      </c>
      <c r="I139">
        <v>1.74</v>
      </c>
      <c r="J139">
        <v>48.56</v>
      </c>
      <c r="K139">
        <f t="shared" si="4"/>
        <v>48.564184165766314</v>
      </c>
    </row>
    <row r="140" spans="1:11" x14ac:dyDescent="0.25">
      <c r="A140" s="1">
        <v>45992</v>
      </c>
      <c r="B140" s="2" t="s">
        <v>10</v>
      </c>
      <c r="C140">
        <v>10726.23</v>
      </c>
      <c r="D140">
        <v>1557007</v>
      </c>
      <c r="E140">
        <v>75253</v>
      </c>
      <c r="F140">
        <v>2406</v>
      </c>
      <c r="G140">
        <v>141924.78</v>
      </c>
      <c r="H140">
        <v>0.14000000000000001</v>
      </c>
      <c r="I140">
        <v>4.46</v>
      </c>
      <c r="J140">
        <v>13.23</v>
      </c>
      <c r="K140">
        <f t="shared" si="4"/>
        <v>13.231562254398797</v>
      </c>
    </row>
    <row r="141" spans="1:11" x14ac:dyDescent="0.25">
      <c r="A141" s="1">
        <v>45992</v>
      </c>
      <c r="B141" s="2" t="s">
        <v>11</v>
      </c>
      <c r="C141">
        <v>7480.08</v>
      </c>
      <c r="D141">
        <v>1454093</v>
      </c>
      <c r="E141">
        <v>34543</v>
      </c>
      <c r="F141">
        <v>2668</v>
      </c>
      <c r="G141">
        <v>201086.58</v>
      </c>
      <c r="H141">
        <v>0.22</v>
      </c>
      <c r="I141">
        <v>2.8</v>
      </c>
      <c r="J141">
        <v>26.88</v>
      </c>
      <c r="K141">
        <f t="shared" si="4"/>
        <v>26.882945102191417</v>
      </c>
    </row>
    <row r="142" spans="1:11" x14ac:dyDescent="0.25">
      <c r="A142" s="1">
        <v>45992</v>
      </c>
      <c r="B142" s="2" t="s">
        <v>12</v>
      </c>
      <c r="C142">
        <v>5671.66</v>
      </c>
      <c r="D142">
        <v>910841</v>
      </c>
      <c r="E142">
        <v>21625</v>
      </c>
      <c r="F142">
        <v>869</v>
      </c>
      <c r="G142">
        <v>91175.48</v>
      </c>
      <c r="H142">
        <v>0.26</v>
      </c>
      <c r="I142">
        <v>6.53</v>
      </c>
      <c r="J142">
        <v>16.079999999999998</v>
      </c>
      <c r="K142">
        <f t="shared" si="4"/>
        <v>16.075625125624597</v>
      </c>
    </row>
    <row r="143" spans="1:11" x14ac:dyDescent="0.25">
      <c r="A143" s="1">
        <v>45992</v>
      </c>
      <c r="B143" s="2" t="s">
        <v>13</v>
      </c>
      <c r="C143">
        <v>3408.5</v>
      </c>
      <c r="D143">
        <v>755034</v>
      </c>
      <c r="E143">
        <v>18046</v>
      </c>
      <c r="F143">
        <v>1171</v>
      </c>
      <c r="G143">
        <v>111842.6</v>
      </c>
      <c r="H143">
        <v>0.19</v>
      </c>
      <c r="I143">
        <v>2.91</v>
      </c>
      <c r="J143">
        <v>32.81</v>
      </c>
      <c r="K143">
        <f t="shared" si="4"/>
        <v>32.812850227372749</v>
      </c>
    </row>
    <row r="144" spans="1:11" x14ac:dyDescent="0.25">
      <c r="A144" s="1">
        <v>45992</v>
      </c>
      <c r="B144" s="2" t="s">
        <v>14</v>
      </c>
      <c r="C144">
        <v>1796.66</v>
      </c>
      <c r="D144">
        <v>15675</v>
      </c>
      <c r="E144">
        <v>477</v>
      </c>
      <c r="F144">
        <v>11</v>
      </c>
      <c r="G144">
        <v>1198.99</v>
      </c>
      <c r="H144">
        <v>3.77</v>
      </c>
      <c r="I144">
        <v>163.33000000000001</v>
      </c>
      <c r="J144">
        <v>0.67</v>
      </c>
      <c r="K144">
        <f t="shared" si="4"/>
        <v>0.66734384914229739</v>
      </c>
    </row>
    <row r="145" spans="1:11" x14ac:dyDescent="0.25">
      <c r="A145" s="1">
        <v>45992</v>
      </c>
      <c r="B145" s="2" t="s">
        <v>15</v>
      </c>
      <c r="C145">
        <v>6329.25</v>
      </c>
      <c r="D145">
        <v>337538</v>
      </c>
      <c r="E145">
        <v>17751</v>
      </c>
      <c r="F145">
        <v>1374</v>
      </c>
      <c r="G145">
        <v>103555.05</v>
      </c>
      <c r="H145">
        <v>0.36</v>
      </c>
      <c r="I145">
        <v>4.6100000000000003</v>
      </c>
      <c r="J145">
        <v>16.36</v>
      </c>
      <c r="K145">
        <f t="shared" si="4"/>
        <v>16.361346131058184</v>
      </c>
    </row>
  </sheetData>
  <conditionalFormatting sqref="K1:K145">
    <cfRule type="top10" priority="2" percent="1" rank="20"/>
    <cfRule type="top10" dxfId="0" priority="1" percent="1" bottom="1" rank="20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DBAC3-FAD7-463E-A63B-5E013C9EE1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Pivottable</vt:lpstr>
      <vt:lpstr>orders</vt:lpstr>
      <vt:lpstr>marketing_spend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CHRISTINE</cp:lastModifiedBy>
  <dcterms:created xsi:type="dcterms:W3CDTF">2026-04-25T12:07:10Z</dcterms:created>
  <dcterms:modified xsi:type="dcterms:W3CDTF">2026-04-25T15:10:03Z</dcterms:modified>
</cp:coreProperties>
</file>